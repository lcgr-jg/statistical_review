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5.xml" ContentType="application/vnd.openxmlformats-officedocument.spreadsheetml.worksheet+xml"/>
  <Override PartName="/xl/comments/comment2.xml" ContentType="application/vnd.openxmlformats-officedocument.spreadsheetml.comments+xml"/>
  <Override PartName="/xl/tables/table3.xml" ContentType="application/vnd.openxmlformats-officedocument.spreadsheetml.table+xml"/>
  <Override PartName="/xl/worksheets/sheet6.xml" ContentType="application/vnd.openxmlformats-officedocument.spreadsheetml.worksheet+xml"/>
  <Override PartName="/xl/comments/comment3.xml" ContentType="application/vnd.openxmlformats-officedocument.spreadsheetml.comments+xml"/>
  <Override PartName="/xl/tables/table4.xml" ContentType="application/vnd.openxmlformats-officedocument.spreadsheetml.table+xml"/>
  <Override PartName="/xl/worksheets/sheet7.xml" ContentType="application/vnd.openxmlformats-officedocument.spreadsheetml.worksheet+xml"/>
  <Override PartName="/xl/comments/comment4.xml" ContentType="application/vnd.openxmlformats-officedocument.spreadsheetml.comments+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comments/comment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rts" sheetId="2" state="visible" r:id="rId2"/>
    <sheet xmlns:r="http://schemas.openxmlformats.org/officeDocument/2006/relationships" name="Annual imports" sheetId="3" state="visible" r:id="rId3"/>
    <sheet xmlns:r="http://schemas.openxmlformats.org/officeDocument/2006/relationships" name="Annual raw" sheetId="4" state="visible" r:id="rId4"/>
    <sheet xmlns:r="http://schemas.openxmlformats.org/officeDocument/2006/relationships" name="Partners" sheetId="5" state="visible" r:id="rId5"/>
    <sheet xmlns:r="http://schemas.openxmlformats.org/officeDocument/2006/relationships" name="BMC scenario" sheetId="6" state="visible" r:id="rId6"/>
    <sheet xmlns:r="http://schemas.openxmlformats.org/officeDocument/2006/relationships" name="Selected monthly" sheetId="7" state="visible" r:id="rId7"/>
    <sheet xmlns:r="http://schemas.openxmlformats.org/officeDocument/2006/relationships" name="Monthly imports" sheetId="8" state="visible" r:id="rId8"/>
    <sheet xmlns:r="http://schemas.openxmlformats.org/officeDocument/2006/relationships" name="Checks" sheetId="9" state="visible" r:id="rId9"/>
    <sheet xmlns:r="http://schemas.openxmlformats.org/officeDocument/2006/relationships" name="Sources" sheetId="10" state="visible" r:id="rId10"/>
    <sheet xmlns:r="http://schemas.openxmlformats.org/officeDocument/2006/relationships" name="Dictionary" sheetId="11" state="visible" r:id="rId11"/>
    <sheet xmlns:r="http://schemas.openxmlformats.org/officeDocument/2006/relationships" name="Settings" sheetId="12" state="visible" r:id="rId12"/>
  </sheets>
  <definedNames>
    <definedName name="_xlnm.Print_Titles" localSheetId="0">'Read me'!$1:$6</definedName>
    <definedName name="_xlnm.Print_Titles" localSheetId="1">'Charts'!$1:$6</definedName>
    <definedName name="_xlnm.Print_Titles" localSheetId="2">'Annual imports'!$1:$6</definedName>
    <definedName name="_xlnm.Print_Titles" localSheetId="3">'Annual raw'!$1:$6</definedName>
    <definedName name="_xlnm.Print_Titles" localSheetId="4">'Partners'!$1:$6</definedName>
    <definedName name="_xlnm.Print_Titles" localSheetId="5">'BMC scenario'!$1:$6</definedName>
    <definedName name="_xlnm.Print_Titles" localSheetId="6">'Selected monthly'!$1:$6</definedName>
    <definedName name="_xlnm.Print_Titles" localSheetId="7">'Monthly imports'!$1:$6</definedName>
    <definedName name="_xlnm.Print_Titles" localSheetId="8">'Checks'!$1:$6</definedName>
    <definedName name="_xlnm.Print_Titles" localSheetId="9">'Sources'!$1:$6</definedName>
    <definedName name="_xlnm.Print_Titles" localSheetId="10">'Dictionary'!$1:$6</definedName>
    <definedName name="_xlnm.Print_Titles" localSheetId="11">'Settings'!$1:$6</definedName>
  </definedNames>
  <calcPr calcId="191029" fullCalcOnLoad="1" forceFullCalc="1"/>
</workbook>
</file>

<file path=xl/styles.xml><?xml version="1.0" encoding="utf-8"?>
<styleSheet xmlns="http://schemas.openxmlformats.org/spreadsheetml/2006/main">
  <numFmts count="7">
    <numFmt numFmtId="164" formatCode="#,##0.00;[Red](#,##0.00);&quot;-&quot;"/>
    <numFmt numFmtId="165" formatCode="#,##0;[Red](#,##0);&quot;-&quot;"/>
    <numFmt numFmtId="166" formatCode="0.0%;[Red](0.0%);&quot;-&quot;"/>
    <numFmt numFmtId="167" formatCode="yyyy-mm-dd h:mm:ss"/>
    <numFmt numFmtId="168" formatCode="mmm yyyy"/>
    <numFmt numFmtId="169" formatCode="0.0"/>
    <numFmt numFmtId="170" formatCode="$0.0&quot;m&quot;"/>
  </numFmts>
  <fonts count="15">
    <font>
      <name val="Calibri"/>
      <family val="2"/>
      <color theme="1"/>
      <sz val="11"/>
      <scheme val="minor"/>
    </font>
    <font>
      <name val="Aptos Display"/>
      <b val="1"/>
      <color rgb="00FFFFFF"/>
      <sz val="22"/>
    </font>
    <font>
      <name val="Aptos"/>
      <color rgb="00667783"/>
      <sz val="11"/>
    </font>
    <font>
      <name val="Aptos"/>
      <b val="1"/>
      <color rgb="00FFFFFF"/>
      <sz val="10"/>
    </font>
    <font>
      <name val="Aptos"/>
      <color rgb="00008000"/>
      <sz val="10"/>
    </font>
    <font>
      <name val="Aptos"/>
      <color rgb="000000FF"/>
      <sz val="11"/>
    </font>
    <font>
      <name val="Aptos"/>
      <color rgb="00000000"/>
      <sz val="10"/>
    </font>
    <font>
      <name val="Aptos"/>
      <color rgb="00B66B16"/>
      <sz val="10"/>
    </font>
    <font>
      <name val="Aptos"/>
      <color rgb="00B66B16"/>
      <sz val="11"/>
    </font>
    <font>
      <name val="Aptos"/>
      <color rgb="000000FF"/>
      <sz val="10"/>
    </font>
    <font>
      <name val="Aptos"/>
      <b val="1"/>
      <color rgb="00137D87"/>
      <sz val="10"/>
    </font>
    <font>
      <name val="Aptos Display"/>
      <b val="1"/>
      <color rgb="0018384A"/>
      <sz val="24"/>
    </font>
    <font>
      <name val="Aptos Display"/>
      <b val="1"/>
      <color rgb="00B66B16"/>
      <sz val="24"/>
    </font>
    <font>
      <name val="Aptos"/>
      <b val="1"/>
      <color rgb="00137D87"/>
      <sz val="12"/>
    </font>
    <font>
      <name val="Aptos"/>
      <color rgb="0018384A"/>
      <sz val="11"/>
    </font>
  </fonts>
  <fills count="7">
    <fill>
      <patternFill/>
    </fill>
    <fill>
      <patternFill patternType="gray125"/>
    </fill>
    <fill>
      <patternFill patternType="solid">
        <fgColor rgb="0018384A"/>
      </patternFill>
    </fill>
    <fill>
      <patternFill patternType="solid">
        <fgColor rgb="00137D87"/>
      </patternFill>
    </fill>
    <fill>
      <patternFill patternType="solid">
        <fgColor rgb="00F2F7F8"/>
      </patternFill>
    </fill>
    <fill>
      <patternFill patternType="solid">
        <fgColor rgb="00FFF3B8"/>
      </patternFill>
    </fill>
    <fill>
      <patternFill patternType="solid">
        <fgColor rgb="00FFF0D9"/>
      </patternFill>
    </fill>
  </fills>
  <borders count="1">
    <border>
      <left/>
      <right/>
      <top/>
      <bottom/>
      <diagonal/>
    </border>
  </borders>
  <cellStyleXfs count="1">
    <xf numFmtId="0" fontId="0" fillId="0" borderId="0"/>
  </cellStyleXfs>
  <cellXfs count="48">
    <xf numFmtId="0" fontId="0" fillId="0" borderId="0" pivotButton="0" quotePrefix="0" xfId="0"/>
    <xf numFmtId="0" fontId="1" fillId="2" borderId="0" pivotButton="0" quotePrefix="0" xfId="0"/>
    <xf numFmtId="0" fontId="0" fillId="2" borderId="0" pivotButton="0" quotePrefix="0" xfId="0"/>
    <xf numFmtId="0" fontId="2" fillId="0" borderId="0" applyAlignment="1" pivotButton="0" quotePrefix="0" xfId="0">
      <alignment vertical="center" wrapText="1"/>
    </xf>
    <xf numFmtId="0" fontId="10" fillId="0" borderId="0" pivotButton="0" quotePrefix="0" xfId="0"/>
    <xf numFmtId="170" fontId="11"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8" fillId="0" borderId="0" applyAlignment="1" pivotButton="0" quotePrefix="0" xfId="0">
      <alignment vertical="center" wrapText="1"/>
    </xf>
    <xf numFmtId="0" fontId="13" fillId="0" borderId="0" pivotButton="0" quotePrefix="0" xfId="0"/>
    <xf numFmtId="0" fontId="14" fillId="0" borderId="0" applyAlignment="1" pivotButton="0" quotePrefix="0" xfId="0">
      <alignment vertical="center" wrapText="1"/>
    </xf>
    <xf numFmtId="164" fontId="0" fillId="0" borderId="0" pivotButton="0" quotePrefix="0" xfId="0"/>
    <xf numFmtId="0" fontId="3" fillId="3" borderId="0" applyAlignment="1" pivotButton="0" quotePrefix="0" xfId="0">
      <alignment vertical="center" wrapText="1"/>
    </xf>
    <xf numFmtId="1" fontId="4" fillId="0" borderId="0" applyAlignment="1" pivotButton="0" quotePrefix="0" xfId="0">
      <alignment horizontal="right" vertical="center" wrapText="1"/>
    </xf>
    <xf numFmtId="164" fontId="4" fillId="0" borderId="0" applyAlignment="1" pivotButton="0" quotePrefix="0" xfId="0">
      <alignment horizontal="right" vertical="center" wrapText="1"/>
    </xf>
    <xf numFmtId="164" fontId="4" fillId="0" borderId="0" applyAlignment="1" pivotButton="0" quotePrefix="0" xfId="0">
      <alignment horizontal="left" vertical="center" wrapText="1"/>
    </xf>
    <xf numFmtId="164" fontId="6" fillId="0" borderId="0" applyAlignment="1" pivotButton="0" quotePrefix="0" xfId="0">
      <alignment horizontal="right" vertical="center" wrapText="1"/>
    </xf>
    <xf numFmtId="166" fontId="4" fillId="0" borderId="0" applyAlignment="1" pivotButton="0" quotePrefix="0" xfId="0">
      <alignment horizontal="left" vertical="center" wrapText="1"/>
    </xf>
    <xf numFmtId="0" fontId="4" fillId="0" borderId="0" applyAlignment="1" pivotButton="0" quotePrefix="0" xfId="0">
      <alignment horizontal="left" vertical="center" wrapText="1"/>
    </xf>
    <xf numFmtId="1" fontId="4" fillId="4" borderId="0" applyAlignment="1" pivotButton="0" quotePrefix="0" xfId="0">
      <alignment horizontal="right" vertical="center" wrapText="1"/>
    </xf>
    <xf numFmtId="164" fontId="4" fillId="4" borderId="0" applyAlignment="1" pivotButton="0" quotePrefix="0" xfId="0">
      <alignment horizontal="right" vertical="center" wrapText="1"/>
    </xf>
    <xf numFmtId="164" fontId="4" fillId="4" borderId="0" applyAlignment="1" pivotButton="0" quotePrefix="0" xfId="0">
      <alignment horizontal="left" vertical="center" wrapText="1"/>
    </xf>
    <xf numFmtId="164" fontId="6" fillId="4" borderId="0" applyAlignment="1" pivotButton="0" quotePrefix="0" xfId="0">
      <alignment horizontal="right" vertical="center" wrapText="1"/>
    </xf>
    <xf numFmtId="166" fontId="6" fillId="4" borderId="0" applyAlignment="1" pivotButton="0" quotePrefix="0" xfId="0">
      <alignment horizontal="right" vertical="center" wrapText="1"/>
    </xf>
    <xf numFmtId="0" fontId="4" fillId="4" borderId="0" applyAlignment="1" pivotButton="0" quotePrefix="0" xfId="0">
      <alignment horizontal="left" vertical="center" wrapText="1"/>
    </xf>
    <xf numFmtId="166" fontId="6" fillId="0" borderId="0" applyAlignment="1" pivotButton="0" quotePrefix="0" xfId="0">
      <alignment horizontal="right" vertical="center" wrapText="1"/>
    </xf>
    <xf numFmtId="0" fontId="7" fillId="0" borderId="0" applyAlignment="1" pivotButton="0" quotePrefix="0" xfId="0">
      <alignment horizontal="left" vertical="center" wrapText="1"/>
    </xf>
    <xf numFmtId="165" fontId="4" fillId="0" borderId="0" applyAlignment="1" pivotButton="0" quotePrefix="0" xfId="0">
      <alignment horizontal="right" vertical="center" wrapText="1"/>
    </xf>
    <xf numFmtId="0" fontId="6" fillId="0" borderId="0" applyAlignment="1" pivotButton="0" quotePrefix="0" xfId="0">
      <alignment horizontal="right" vertical="center" wrapText="1"/>
    </xf>
    <xf numFmtId="165" fontId="4" fillId="4" borderId="0" applyAlignment="1" pivotButton="0" quotePrefix="0" xfId="0">
      <alignment horizontal="right" vertical="center" wrapText="1"/>
    </xf>
    <xf numFmtId="0" fontId="6" fillId="4" borderId="0" applyAlignment="1" pivotButton="0" quotePrefix="0" xfId="0">
      <alignment horizontal="right" vertical="center" wrapText="1"/>
    </xf>
    <xf numFmtId="165" fontId="4" fillId="0" borderId="0" applyAlignment="1" pivotButton="0" quotePrefix="0" xfId="0">
      <alignment horizontal="left" vertical="center" wrapText="1"/>
    </xf>
    <xf numFmtId="165" fontId="4" fillId="4" borderId="0" applyAlignment="1" pivotButton="0" quotePrefix="0" xfId="0">
      <alignment horizontal="left" vertical="center" wrapText="1"/>
    </xf>
    <xf numFmtId="0" fontId="7" fillId="6" borderId="0" applyAlignment="1" pivotButton="0" quotePrefix="0" xfId="0">
      <alignment horizontal="left" vertical="center" wrapText="1"/>
    </xf>
    <xf numFmtId="168" fontId="4" fillId="0" borderId="0" applyAlignment="1" pivotButton="0" quotePrefix="0" xfId="0">
      <alignment horizontal="left" vertical="center" wrapText="1"/>
    </xf>
    <xf numFmtId="165" fontId="6" fillId="0" borderId="0" applyAlignment="1" pivotButton="0" quotePrefix="0" xfId="0">
      <alignment horizontal="right" vertical="center" wrapText="1"/>
    </xf>
    <xf numFmtId="0" fontId="6" fillId="0" borderId="0" applyAlignment="1" pivotButton="0" quotePrefix="0" xfId="0">
      <alignment horizontal="center" vertical="center"/>
    </xf>
    <xf numFmtId="165" fontId="9" fillId="5" borderId="0" applyAlignment="1" pivotButton="0" quotePrefix="0" xfId="0">
      <alignment horizontal="left" vertical="center" wrapText="1"/>
    </xf>
    <xf numFmtId="2" fontId="4" fillId="0" borderId="0" applyAlignment="1" pivotButton="0" quotePrefix="0" xfId="0">
      <alignment horizontal="right" vertical="center" wrapText="1"/>
    </xf>
    <xf numFmtId="168" fontId="4" fillId="4" borderId="0" applyAlignment="1" pivotButton="0" quotePrefix="0" xfId="0">
      <alignment horizontal="left" vertical="center" wrapText="1"/>
    </xf>
    <xf numFmtId="165" fontId="6" fillId="4" borderId="0" applyAlignment="1" pivotButton="0" quotePrefix="0" xfId="0">
      <alignment horizontal="right" vertical="center" wrapText="1"/>
    </xf>
    <xf numFmtId="0" fontId="6" fillId="4" borderId="0" applyAlignment="1" pivotButton="0" quotePrefix="0" xfId="0">
      <alignment horizontal="center" vertical="center"/>
    </xf>
    <xf numFmtId="2" fontId="4" fillId="4" borderId="0" applyAlignment="1" pivotButton="0" quotePrefix="0" xfId="0">
      <alignment horizontal="right" vertical="center" wrapText="1"/>
    </xf>
    <xf numFmtId="169" fontId="4" fillId="0" borderId="0" applyAlignment="1" pivotButton="0" quotePrefix="0" xfId="0">
      <alignment horizontal="right" vertical="center" wrapText="1"/>
    </xf>
    <xf numFmtId="169" fontId="4" fillId="4" borderId="0" applyAlignment="1" pivotButton="0" quotePrefix="0" xfId="0">
      <alignment horizontal="right" vertical="center" wrapText="1"/>
    </xf>
    <xf numFmtId="164" fontId="5" fillId="0" borderId="0" applyAlignment="1" pivotButton="0" quotePrefix="0" xfId="0">
      <alignment horizontal="right" vertical="center" wrapText="1"/>
    </xf>
    <xf numFmtId="164" fontId="5" fillId="4" borderId="0" applyAlignment="1" pivotButton="0" quotePrefix="0" xfId="0">
      <alignment horizontal="right" vertical="center" wrapText="1"/>
    </xf>
    <xf numFmtId="164" fontId="5" fillId="5" borderId="0" applyAlignment="1" pivotButton="0" quotePrefix="0" xfId="0">
      <alignment horizontal="right" vertical="center" wrapText="1"/>
    </xf>
  </cellXfs>
  <cellStyles count="1">
    <cellStyle name="Normal" xfId="0" builtinId="0" hidden="0"/>
  </cellStyles>
  <dxfs count="1">
    <dxf>
      <fill>
        <patternFill patternType="solid">
          <fgColor rgb="00FCE5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Colombia LNG import bill</a:t>
            </a:r>
          </a:p>
        </rich>
      </tx>
    </title>
    <plotArea>
      <lineChart>
        <grouping val="standard"/>
        <ser>
          <idx val="0"/>
          <order val="0"/>
          <tx>
            <strRef>
              <f>'Annual imports'!E6</f>
            </strRef>
          </tx>
          <spPr>
            <a:ln xmlns:a="http://schemas.openxmlformats.org/drawingml/2006/main">
              <a:prstDash val="solid"/>
            </a:ln>
          </spPr>
          <marker>
            <symbol val="circle"/>
            <size val="5"/>
            <spPr>
              <a:ln xmlns:a="http://schemas.openxmlformats.org/drawingml/2006/main">
                <a:prstDash val="solid"/>
              </a:ln>
            </spPr>
          </marker>
          <cat>
            <numRef>
              <f>'Annual imports'!$A$7:$A$15</f>
            </numRef>
          </cat>
          <val>
            <numRef>
              <f>'Annual imports'!$E$7:$E$15</f>
            </numRef>
          </val>
          <smooth val="0"/>
        </ser>
        <smooth val="0"/>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 million, CIF</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LNG imports by reported partner</a:t>
            </a:r>
          </a:p>
        </rich>
      </tx>
    </title>
    <plotArea>
      <barChart>
        <barDir val="col"/>
        <grouping val="stacked"/>
        <ser>
          <idx val="0"/>
          <order val="0"/>
          <tx>
            <v>United States</v>
          </tx>
          <spPr>
            <a:solidFill xmlns:a="http://schemas.openxmlformats.org/drawingml/2006/main">
              <a:srgbClr val="137D87"/>
            </a:solidFill>
            <a:ln xmlns:a="http://schemas.openxmlformats.org/drawingml/2006/main">
              <a:solidFill>
                <a:srgbClr val="137D87"/>
              </a:solidFill>
              <a:prstDash val="solid"/>
            </a:ln>
          </spPr>
          <cat>
            <numRef>
              <f>'Charts'!$A$67:$A$75</f>
            </numRef>
          </cat>
          <val>
            <numRef>
              <f>'Charts'!$B$67:$B$75</f>
            </numRef>
          </val>
        </ser>
        <ser>
          <idx val="1"/>
          <order val="1"/>
          <tx>
            <v>Trinidad and Tobago</v>
          </tx>
          <spPr>
            <a:solidFill xmlns:a="http://schemas.openxmlformats.org/drawingml/2006/main">
              <a:srgbClr val="4F83B8"/>
            </a:solidFill>
            <a:ln xmlns:a="http://schemas.openxmlformats.org/drawingml/2006/main">
              <a:solidFill>
                <a:srgbClr val="4F83B8"/>
              </a:solidFill>
              <a:prstDash val="solid"/>
            </a:ln>
          </spPr>
          <cat>
            <numRef>
              <f>'Charts'!$A$67:$A$75</f>
            </numRef>
          </cat>
          <val>
            <numRef>
              <f>'Charts'!$C$67:$C$75</f>
            </numRef>
          </val>
        </ser>
        <ser>
          <idx val="2"/>
          <order val="2"/>
          <tx>
            <v>United Kingdom</v>
          </tx>
          <spPr>
            <a:solidFill xmlns:a="http://schemas.openxmlformats.org/drawingml/2006/main">
              <a:srgbClr val="E2A548"/>
            </a:solidFill>
            <a:ln xmlns:a="http://schemas.openxmlformats.org/drawingml/2006/main">
              <a:solidFill>
                <a:srgbClr val="E2A548"/>
              </a:solidFill>
              <a:prstDash val="solid"/>
            </a:ln>
          </spPr>
          <cat>
            <numRef>
              <f>'Charts'!$A$67:$A$75</f>
            </numRef>
          </cat>
          <val>
            <numRef>
              <f>'Charts'!$D$67:$D$75</f>
            </numRef>
          </val>
        </ser>
        <ser>
          <idx val="3"/>
          <order val="3"/>
          <tx>
            <v>Other reported partners</v>
          </tx>
          <spPr>
            <a:solidFill xmlns:a="http://schemas.openxmlformats.org/drawingml/2006/main">
              <a:srgbClr val="B0BCC4"/>
            </a:solidFill>
            <a:ln xmlns:a="http://schemas.openxmlformats.org/drawingml/2006/main">
              <a:solidFill>
                <a:srgbClr val="B0BCC4"/>
              </a:solidFill>
              <a:prstDash val="solid"/>
            </a:ln>
          </spPr>
          <cat>
            <numRef>
              <f>'Charts'!$A$67:$A$75</f>
            </numRef>
          </cat>
          <val>
            <numRef>
              <f>'Charts'!$E$67:$E$75</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 million, CIF</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3"/>
  <chart>
    <title>
      <tx>
        <rich>
          <a:bodyPr xmlns:a="http://schemas.openxmlformats.org/drawingml/2006/main"/>
          <a:p xmlns:a="http://schemas.openxmlformats.org/drawingml/2006/main">
            <a:pPr>
              <a:defRPr/>
            </a:pPr>
            <a:r>
              <a:t>BMC scenario: total supply versus demand</a:t>
            </a:r>
          </a:p>
        </rich>
      </tx>
    </title>
    <plotArea>
      <lineChart>
        <grouping val="standard"/>
        <ser>
          <idx val="0"/>
          <order val="0"/>
          <tx>
            <v>Total scenario supply</v>
          </tx>
          <spPr>
            <a:ln xmlns:a="http://schemas.openxmlformats.org/drawingml/2006/main">
              <a:solidFill>
                <a:srgbClr val="137D87"/>
              </a:solidFill>
              <a:prstDash val="solid"/>
            </a:ln>
          </spPr>
          <marker>
            <symbol val="circle"/>
            <size val="4"/>
            <spPr>
              <a:ln xmlns:a="http://schemas.openxmlformats.org/drawingml/2006/main">
                <a:prstDash val="solid"/>
              </a:ln>
            </spPr>
          </marker>
          <cat>
            <numRef>
              <f>'BMC scenario'!$A$7:$A$20</f>
            </numRef>
          </cat>
          <val>
            <numRef>
              <f>'BMC scenario'!$B$7:$B$20</f>
            </numRef>
          </val>
          <smooth val="0"/>
        </ser>
        <ser>
          <idx val="1"/>
          <order val="1"/>
          <tx>
            <v>Projected demand</v>
          </tx>
          <spPr>
            <a:ln xmlns:a="http://schemas.openxmlformats.org/drawingml/2006/main">
              <a:solidFill>
                <a:srgbClr val="E2A548"/>
              </a:solidFill>
              <a:prstDash val="solid"/>
            </a:ln>
          </spPr>
          <marker>
            <symbol val="circle"/>
            <size val="4"/>
            <spPr>
              <a:ln xmlns:a="http://schemas.openxmlformats.org/drawingml/2006/main">
                <a:prstDash val="solid"/>
              </a:ln>
            </spPr>
          </marker>
          <cat>
            <numRef>
              <f>'BMC scenario'!$A$7:$A$20</f>
            </numRef>
          </cat>
          <val>
            <numRef>
              <f>'BMC scenario'!$C$7:$C$20</f>
            </numRef>
          </val>
          <smooth val="0"/>
        </ser>
        <smooth val="0"/>
        <axId val="500"/>
        <axId val="100"/>
      </lineChart>
      <dateAx>
        <axId val="500"/>
        <scaling>
          <orientation val="minMax"/>
        </scaling>
        <axPos val="l"/>
        <numFmt formatCode="mmm-yy" sourceLinked="0"/>
        <majorTickMark val="none"/>
        <minorTickMark val="none"/>
        <crossAx val="100"/>
        <majorTimeUnit val="months"/>
      </dateAx>
      <valAx>
        <axId val="100"/>
        <scaling>
          <orientation val="minMax"/>
        </scaling>
        <axPos val="l"/>
        <majorGridlines/>
        <title>
          <tx>
            <rich>
              <a:bodyPr xmlns:a="http://schemas.openxmlformats.org/drawingml/2006/main"/>
              <a:p xmlns:a="http://schemas.openxmlformats.org/drawingml/2006/main">
                <a:pPr>
                  <a:defRPr/>
                </a:pPr>
                <a:r>
                  <a:t>MBtu/day</a:t>
                </a:r>
              </a:p>
            </rich>
          </tx>
        </title>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Source / methodology</author>
  </authors>
  <commentList>
    <comment ref="D7" authorId="0" shapeId="0">
      <text>
        <t>Source: https://wits.worldbank.org/trade/comtrade/en/country/COL/year/2017/tradeflow/Imports/partner/ALL/product/271111</t>
      </text>
    </comment>
    <comment ref="E7" authorId="0" shapeId="0">
      <text>
        <t>Source: https://wits.worldbank.org/trade/comtrade/en/country/COL/year/2017/tradeflow/Imports/partner/ALL/product/271111</t>
      </text>
    </comment>
    <comment ref="D8" authorId="0" shapeId="0">
      <text>
        <t>Source: https://wits.worldbank.org/trade/comtrade/en/country/COL/year/2018/tradeflow/Imports/partner/ALL/product/271111</t>
      </text>
    </comment>
    <comment ref="E8" authorId="0" shapeId="0">
      <text>
        <t>Source: https://wits.worldbank.org/trade/comtrade/en/country/COL/year/2018/tradeflow/Imports/partner/ALL/product/271111</t>
      </text>
    </comment>
    <comment ref="D9" authorId="0" shapeId="0">
      <text>
        <t>Source: https://wits.worldbank.org/trade/comtrade/en/country/COL/year/2019/tradeflow/Imports/partner/ALL/product/271111</t>
      </text>
    </comment>
    <comment ref="E9" authorId="0" shapeId="0">
      <text>
        <t>Source: https://wits.worldbank.org/trade/comtrade/en/country/COL/year/2019/tradeflow/Imports/partner/ALL/product/271111</t>
      </text>
    </comment>
    <comment ref="D10" authorId="0" shapeId="0">
      <text>
        <t>Source: https://wits.worldbank.org/trade/comtrade/en/country/COL/year/2020/tradeflow/Imports/partner/ALL/product/271111</t>
      </text>
    </comment>
    <comment ref="E10" authorId="0" shapeId="0">
      <text>
        <t>Source: https://wits.worldbank.org/trade/comtrade/en/country/COL/year/2020/tradeflow/Imports/partner/ALL/product/271111</t>
      </text>
    </comment>
    <comment ref="D11" authorId="0" shapeId="0">
      <text>
        <t>Source: https://wits.worldbank.org/trade/comtrade/en/country/COL/year/2021/tradeflow/Imports/partner/ALL/product/271111</t>
      </text>
    </comment>
    <comment ref="E11" authorId="0" shapeId="0">
      <text>
        <t>Source: https://wits.worldbank.org/trade/comtrade/en/country/COL/year/2021/tradeflow/Imports/partner/ALL/product/271111</t>
      </text>
    </comment>
    <comment ref="D12" authorId="0" shapeId="0">
      <text>
        <t>Source: https://wits.worldbank.org/trade/comtrade/en/country/COL/year/2021/tradeflow/Imports/partner/ALL/product/271121</t>
      </text>
    </comment>
    <comment ref="E12" authorId="0" shapeId="0">
      <text>
        <t>Source: https://wits.worldbank.org/trade/comtrade/en/country/COL/year/2021/tradeflow/Imports/partner/ALL/product/271121</t>
      </text>
    </comment>
    <comment ref="D13" authorId="0" shapeId="0">
      <text>
        <t>Source: https://wits.worldbank.org/trade/comtrade/en/country/COL/year/2022/tradeflow/Imports/partner/ALL/product/271111</t>
      </text>
    </comment>
    <comment ref="E13" authorId="0" shapeId="0">
      <text>
        <t>Source: https://wits.worldbank.org/trade/comtrade/en/country/COL/year/2022/tradeflow/Imports/partner/ALL/product/271111</t>
      </text>
    </comment>
    <comment ref="D14" authorId="0" shapeId="0">
      <text>
        <t>Source: https://wits.worldbank.org/trade/comtrade/en/country/COL/year/2022/tradeflow/Imports/partner/ALL/product/271121</t>
      </text>
    </comment>
    <comment ref="E14" authorId="0" shapeId="0">
      <text>
        <t>Source: https://wits.worldbank.org/trade/comtrade/en/country/COL/year/2022/tradeflow/Imports/partner/ALL/product/271121</t>
      </text>
    </comment>
    <comment ref="D15" authorId="0" shapeId="0">
      <text>
        <t>Source: https://wits.worldbank.org/trade/comtrade/en/country/COL/year/2023/tradeflow/Imports/partner/ALL/product/271111</t>
      </text>
    </comment>
    <comment ref="E15" authorId="0" shapeId="0">
      <text>
        <t>Source: https://wits.worldbank.org/trade/comtrade/en/country/COL/year/2023/tradeflow/Imports/partner/ALL/product/271111</t>
      </text>
    </comment>
    <comment ref="D16" authorId="0" shapeId="0">
      <text>
        <t>Source: https://wits.worldbank.org/trade/comtrade/en/country/COL/year/2023/tradeflow/Imports/partner/ALL/product/271121</t>
      </text>
    </comment>
    <comment ref="E16" authorId="0" shapeId="0">
      <text>
        <t>Source: https://wits.worldbank.org/trade/comtrade/en/country/COL/year/2023/tradeflow/Imports/partner/ALL/product/271121</t>
      </text>
    </comment>
    <comment ref="D17" authorId="0" shapeId="0">
      <text>
        <t>Source: https://wits.worldbank.org/trade/comtrade/en/country/COL/year/2024/tradeflow/Imports/partner/ALL/product/271111</t>
      </text>
    </comment>
    <comment ref="E17" authorId="0" shapeId="0">
      <text>
        <t>Source: https://wits.worldbank.org/trade/comtrade/en/country/COL/year/2024/tradeflow/Imports/partner/ALL/product/271111</t>
      </text>
    </comment>
    <comment ref="D18" authorId="0" shapeId="0">
      <text>
        <t>Source: https://wits.worldbank.org/trade/comtrade/en/country/COL/year/2024/tradeflow/Imports/partner/ALL/product/271121</t>
      </text>
    </comment>
    <comment ref="E18" authorId="0" shapeId="0">
      <text>
        <t>Source: https://wits.worldbank.org/trade/comtrade/en/country/COL/year/2024/tradeflow/Imports/partner/ALL/product/271121</t>
      </text>
    </comment>
    <comment ref="D19" authorId="0" shapeId="0">
      <text>
        <t>Source: https://wits.worldbank.org/trade/comtrade/en/country/COL/year/2025/tradeflow/Imports/partner/ALL/product/271111</t>
      </text>
    </comment>
    <comment ref="E19" authorId="0" shapeId="0">
      <text>
        <t>Source: https://wits.worldbank.org/trade/comtrade/en/country/COL/year/2025/tradeflow/Imports/partner/ALL/product/271111</t>
      </text>
    </comment>
    <comment ref="D20" authorId="0" shapeId="0">
      <text>
        <t>Source: https://wits.worldbank.org/trade/comtrade/en/country/COL/year/2025/tradeflow/Imports/partner/ALL/product/271121</t>
      </text>
    </comment>
    <comment ref="E20" authorId="0" shapeId="0">
      <text>
        <t>Source: https://wits.worldbank.org/trade/comtrade/en/country/COL/year/2025/tradeflow/Imports/partner/ALL/product/271121</t>
      </text>
    </comment>
  </commentList>
</comments>
</file>

<file path=xl/comments/comment2.xml><?xml version="1.0" encoding="utf-8"?>
<comments xmlns="http://schemas.openxmlformats.org/spreadsheetml/2006/main">
  <authors>
    <author>Source / methodology</author>
  </authors>
  <commentList>
    <comment ref="E7" authorId="0" shapeId="0">
      <text>
        <t>Source: https://wits.worldbank.org/trade/comtrade/en/country/COL/year/2017/tradeflow/Imports/partner/ALL/product/271111</t>
      </text>
    </comment>
    <comment ref="G7" authorId="0" shapeId="0">
      <text>
        <t>Source: https://wits.worldbank.org/trade/comtrade/en/country/COL/year/2017/tradeflow/Imports/partner/ALL/product/271111</t>
      </text>
    </comment>
    <comment ref="E8" authorId="0" shapeId="0">
      <text>
        <t>Source: https://wits.worldbank.org/trade/comtrade/en/country/COL/year/2018/tradeflow/Imports/partner/ALL/product/271111</t>
      </text>
    </comment>
    <comment ref="G8" authorId="0" shapeId="0">
      <text>
        <t>Source: https://wits.worldbank.org/trade/comtrade/en/country/COL/year/2018/tradeflow/Imports/partner/ALL/product/271111</t>
      </text>
    </comment>
    <comment ref="E9" authorId="0" shapeId="0">
      <text>
        <t>Source: https://wits.worldbank.org/trade/comtrade/en/country/COL/year/2018/tradeflow/Imports/partner/ALL/product/271111</t>
      </text>
    </comment>
    <comment ref="G9" authorId="0" shapeId="0">
      <text>
        <t>Source: https://wits.worldbank.org/trade/comtrade/en/country/COL/year/2018/tradeflow/Imports/partner/ALL/product/271111</t>
      </text>
    </comment>
    <comment ref="E10" authorId="0" shapeId="0">
      <text>
        <t>Source: https://wits.worldbank.org/trade/comtrade/en/country/COL/year/2018/tradeflow/Imports/partner/ALL/product/271111</t>
      </text>
    </comment>
    <comment ref="G10" authorId="0" shapeId="0">
      <text>
        <t>Source: https://wits.worldbank.org/trade/comtrade/en/country/COL/year/2018/tradeflow/Imports/partner/ALL/product/271111</t>
      </text>
    </comment>
    <comment ref="E11" authorId="0" shapeId="0">
      <text>
        <t>Source: https://wits.worldbank.org/trade/comtrade/en/country/COL/year/2018/tradeflow/Imports/partner/ALL/product/271111</t>
      </text>
    </comment>
    <comment ref="G11" authorId="0" shapeId="0">
      <text>
        <t>Source: https://wits.worldbank.org/trade/comtrade/en/country/COL/year/2018/tradeflow/Imports/partner/ALL/product/271111</t>
      </text>
    </comment>
    <comment ref="E12" authorId="0" shapeId="0">
      <text>
        <t>Source: https://wits.worldbank.org/trade/comtrade/en/country/COL/year/2018/tradeflow/Imports/partner/ALL/product/271111</t>
      </text>
    </comment>
    <comment ref="G12" authorId="0" shapeId="0">
      <text>
        <t>Source: https://wits.worldbank.org/trade/comtrade/en/country/COL/year/2018/tradeflow/Imports/partner/ALL/product/271111</t>
      </text>
    </comment>
    <comment ref="E13" authorId="0" shapeId="0">
      <text>
        <t>Source: https://wits.worldbank.org/trade/comtrade/en/country/COL/year/2019/tradeflow/Imports/partner/ALL/product/271111</t>
      </text>
    </comment>
    <comment ref="G13" authorId="0" shapeId="0">
      <text>
        <t>Source: https://wits.worldbank.org/trade/comtrade/en/country/COL/year/2019/tradeflow/Imports/partner/ALL/product/271111</t>
      </text>
    </comment>
    <comment ref="E14" authorId="0" shapeId="0">
      <text>
        <t>Source: https://wits.worldbank.org/trade/comtrade/en/country/COL/year/2019/tradeflow/Imports/partner/ALL/product/271111</t>
      </text>
    </comment>
    <comment ref="G14" authorId="0" shapeId="0">
      <text>
        <t>Source: https://wits.worldbank.org/trade/comtrade/en/country/COL/year/2019/tradeflow/Imports/partner/ALL/product/271111</t>
      </text>
    </comment>
    <comment ref="E15" authorId="0" shapeId="0">
      <text>
        <t>Source: https://wits.worldbank.org/trade/comtrade/en/country/COL/year/2019/tradeflow/Imports/partner/ALL/product/271111</t>
      </text>
    </comment>
    <comment ref="G15" authorId="0" shapeId="0">
      <text>
        <t>Source: https://wits.worldbank.org/trade/comtrade/en/country/COL/year/2019/tradeflow/Imports/partner/ALL/product/271111</t>
      </text>
    </comment>
    <comment ref="E16" authorId="0" shapeId="0">
      <text>
        <t>Source: https://wits.worldbank.org/trade/comtrade/en/country/COL/year/2020/tradeflow/Imports/partner/ALL/product/271111</t>
      </text>
    </comment>
    <comment ref="G16" authorId="0" shapeId="0">
      <text>
        <t>Source: https://wits.worldbank.org/trade/comtrade/en/country/COL/year/2020/tradeflow/Imports/partner/ALL/product/271111</t>
      </text>
    </comment>
    <comment ref="E17" authorId="0" shapeId="0">
      <text>
        <t>Source: https://wits.worldbank.org/trade/comtrade/en/country/COL/year/2020/tradeflow/Imports/partner/ALL/product/271111</t>
      </text>
    </comment>
    <comment ref="G17" authorId="0" shapeId="0">
      <text>
        <t>Source: https://wits.worldbank.org/trade/comtrade/en/country/COL/year/2020/tradeflow/Imports/partner/ALL/product/271111</t>
      </text>
    </comment>
    <comment ref="E18" authorId="0" shapeId="0">
      <text>
        <t>Source: https://wits.worldbank.org/trade/comtrade/en/country/COL/year/2020/tradeflow/Imports/partner/ALL/product/271111</t>
      </text>
    </comment>
    <comment ref="G18" authorId="0" shapeId="0">
      <text>
        <t>Source: https://wits.worldbank.org/trade/comtrade/en/country/COL/year/2020/tradeflow/Imports/partner/ALL/product/271111</t>
      </text>
    </comment>
    <comment ref="E19" authorId="0" shapeId="0">
      <text>
        <t>Source: https://wits.worldbank.org/trade/comtrade/en/country/COL/year/2020/tradeflow/Imports/partner/ALL/product/271111</t>
      </text>
    </comment>
    <comment ref="G19" authorId="0" shapeId="0">
      <text>
        <t>Source: https://wits.worldbank.org/trade/comtrade/en/country/COL/year/2020/tradeflow/Imports/partner/ALL/product/271111</t>
      </text>
    </comment>
    <comment ref="E20" authorId="0" shapeId="0">
      <text>
        <t>Source: https://wits.worldbank.org/trade/comtrade/en/country/COL/year/2020/tradeflow/Imports/partner/ALL/product/271111</t>
      </text>
    </comment>
    <comment ref="G20" authorId="0" shapeId="0">
      <text>
        <t>Source: https://wits.worldbank.org/trade/comtrade/en/country/COL/year/2020/tradeflow/Imports/partner/ALL/product/271111</t>
      </text>
    </comment>
    <comment ref="E21" authorId="0" shapeId="0">
      <text>
        <t>Source: https://wits.worldbank.org/trade/comtrade/en/country/COL/year/2021/tradeflow/Imports/partner/ALL/product/271111</t>
      </text>
    </comment>
    <comment ref="G21" authorId="0" shapeId="0">
      <text>
        <t>Source: https://wits.worldbank.org/trade/comtrade/en/country/COL/year/2021/tradeflow/Imports/partner/ALL/product/271111</t>
      </text>
    </comment>
    <comment ref="E22" authorId="0" shapeId="0">
      <text>
        <t>Source: https://wits.worldbank.org/trade/comtrade/en/country/COL/year/2021/tradeflow/Imports/partner/ALL/product/271111</t>
      </text>
    </comment>
    <comment ref="G22" authorId="0" shapeId="0">
      <text>
        <t>Source: https://wits.worldbank.org/trade/comtrade/en/country/COL/year/2021/tradeflow/Imports/partner/ALL/product/271111</t>
      </text>
    </comment>
    <comment ref="E23" authorId="0" shapeId="0">
      <text>
        <t>Source: https://wits.worldbank.org/trade/comtrade/en/country/COL/year/2021/tradeflow/Imports/partner/ALL/product/271111</t>
      </text>
    </comment>
    <comment ref="G23" authorId="0" shapeId="0">
      <text>
        <t>Source: https://wits.worldbank.org/trade/comtrade/en/country/COL/year/2021/tradeflow/Imports/partner/ALL/product/271111</t>
      </text>
    </comment>
    <comment ref="E24" authorId="0" shapeId="0">
      <text>
        <t>Source: https://wits.worldbank.org/trade/comtrade/en/country/COL/year/2021/tradeflow/Imports/partner/ALL/product/271111</t>
      </text>
    </comment>
    <comment ref="G24" authorId="0" shapeId="0">
      <text>
        <t>Source: https://wits.worldbank.org/trade/comtrade/en/country/COL/year/2021/tradeflow/Imports/partner/ALL/product/271111</t>
      </text>
    </comment>
    <comment ref="E25" authorId="0" shapeId="0">
      <text>
        <t>Source: https://wits.worldbank.org/trade/comtrade/en/country/COL/year/2021/tradeflow/Imports/partner/ALL/product/271121</t>
      </text>
    </comment>
    <comment ref="G25" authorId="0" shapeId="0">
      <text>
        <t>Source: https://wits.worldbank.org/trade/comtrade/en/country/COL/year/2021/tradeflow/Imports/partner/ALL/product/271121</t>
      </text>
    </comment>
    <comment ref="E26" authorId="0" shapeId="0">
      <text>
        <t>Source: https://wits.worldbank.org/trade/comtrade/en/country/COL/year/2021/tradeflow/Imports/partner/ALL/product/271121</t>
      </text>
    </comment>
    <comment ref="G26" authorId="0" shapeId="0">
      <text>
        <t>Source: https://wits.worldbank.org/trade/comtrade/en/country/COL/year/2021/tradeflow/Imports/partner/ALL/product/271121</t>
      </text>
    </comment>
    <comment ref="E27" authorId="0" shapeId="0">
      <text>
        <t>Source: https://wits.worldbank.org/trade/comtrade/en/country/COL/year/2022/tradeflow/Imports/partner/ALL/product/271111</t>
      </text>
    </comment>
    <comment ref="G27" authorId="0" shapeId="0">
      <text>
        <t>Source: https://wits.worldbank.org/trade/comtrade/en/country/COL/year/2022/tradeflow/Imports/partner/ALL/product/271111</t>
      </text>
    </comment>
    <comment ref="E28" authorId="0" shapeId="0">
      <text>
        <t>Source: https://wits.worldbank.org/trade/comtrade/en/country/COL/year/2022/tradeflow/Imports/partner/ALL/product/271121</t>
      </text>
    </comment>
    <comment ref="G28" authorId="0" shapeId="0">
      <text>
        <t>Source: https://wits.worldbank.org/trade/comtrade/en/country/COL/year/2022/tradeflow/Imports/partner/ALL/product/271121</t>
      </text>
    </comment>
    <comment ref="E29" authorId="0" shapeId="0">
      <text>
        <t>Source: https://wits.worldbank.org/trade/comtrade/en/country/COL/year/2022/tradeflow/Imports/partner/ALL/product/271121</t>
      </text>
    </comment>
    <comment ref="G29" authorId="0" shapeId="0">
      <text>
        <t>Source: https://wits.worldbank.org/trade/comtrade/en/country/COL/year/2022/tradeflow/Imports/partner/ALL/product/271121</t>
      </text>
    </comment>
    <comment ref="E30" authorId="0" shapeId="0">
      <text>
        <t>Source: https://wits.worldbank.org/trade/comtrade/en/country/COL/year/2023/tradeflow/Imports/partner/ALL/product/271111</t>
      </text>
    </comment>
    <comment ref="G30" authorId="0" shapeId="0">
      <text>
        <t>Source: https://wits.worldbank.org/trade/comtrade/en/country/COL/year/2023/tradeflow/Imports/partner/ALL/product/271111</t>
      </text>
    </comment>
    <comment ref="E31" authorId="0" shapeId="0">
      <text>
        <t>Source: https://wits.worldbank.org/trade/comtrade/en/country/COL/year/2023/tradeflow/Imports/partner/ALL/product/271111</t>
      </text>
    </comment>
    <comment ref="G31" authorId="0" shapeId="0">
      <text>
        <t>Source: https://wits.worldbank.org/trade/comtrade/en/country/COL/year/2023/tradeflow/Imports/partner/ALL/product/271111</t>
      </text>
    </comment>
    <comment ref="E32" authorId="0" shapeId="0">
      <text>
        <t>Source: https://wits.worldbank.org/trade/comtrade/en/country/COL/year/2023/tradeflow/Imports/partner/ALL/product/271111</t>
      </text>
    </comment>
    <comment ref="G32" authorId="0" shapeId="0">
      <text>
        <t>Source: https://wits.worldbank.org/trade/comtrade/en/country/COL/year/2023/tradeflow/Imports/partner/ALL/product/271111</t>
      </text>
    </comment>
    <comment ref="E33" authorId="0" shapeId="0">
      <text>
        <t>Source: https://wits.worldbank.org/trade/comtrade/en/country/COL/year/2023/tradeflow/Imports/partner/ALL/product/271121</t>
      </text>
    </comment>
    <comment ref="G33" authorId="0" shapeId="0">
      <text>
        <t>Source: https://wits.worldbank.org/trade/comtrade/en/country/COL/year/2023/tradeflow/Imports/partner/ALL/product/271121</t>
      </text>
    </comment>
    <comment ref="E34" authorId="0" shapeId="0">
      <text>
        <t>Source: https://wits.worldbank.org/trade/comtrade/en/country/COL/year/2024/tradeflow/Imports/partner/ALL/product/271111</t>
      </text>
    </comment>
    <comment ref="G34" authorId="0" shapeId="0">
      <text>
        <t>Source: https://wits.worldbank.org/trade/comtrade/en/country/COL/year/2024/tradeflow/Imports/partner/ALL/product/271111</t>
      </text>
    </comment>
    <comment ref="E35" authorId="0" shapeId="0">
      <text>
        <t>Source: https://wits.worldbank.org/trade/comtrade/en/country/COL/year/2024/tradeflow/Imports/partner/ALL/product/271111</t>
      </text>
    </comment>
    <comment ref="G35" authorId="0" shapeId="0">
      <text>
        <t>Source: https://wits.worldbank.org/trade/comtrade/en/country/COL/year/2024/tradeflow/Imports/partner/ALL/product/271111</t>
      </text>
    </comment>
    <comment ref="E36" authorId="0" shapeId="0">
      <text>
        <t>Source: https://wits.worldbank.org/trade/comtrade/en/country/COL/year/2024/tradeflow/Imports/partner/ALL/product/271111</t>
      </text>
    </comment>
    <comment ref="G36" authorId="0" shapeId="0">
      <text>
        <t>Source: https://wits.worldbank.org/trade/comtrade/en/country/COL/year/2024/tradeflow/Imports/partner/ALL/product/271111</t>
      </text>
    </comment>
    <comment ref="E37" authorId="0" shapeId="0">
      <text>
        <t>Source: https://wits.worldbank.org/trade/comtrade/en/country/COL/year/2024/tradeflow/Imports/partner/ALL/product/271121</t>
      </text>
    </comment>
    <comment ref="G37" authorId="0" shapeId="0">
      <text>
        <t>Source: https://wits.worldbank.org/trade/comtrade/en/country/COL/year/2024/tradeflow/Imports/partner/ALL/product/271121</t>
      </text>
    </comment>
    <comment ref="E38" authorId="0" shapeId="0">
      <text>
        <t>Source: https://wits.worldbank.org/trade/comtrade/en/country/COL/year/2024/tradeflow/Imports/partner/ALL/product/271121</t>
      </text>
    </comment>
    <comment ref="G38" authorId="0" shapeId="0">
      <text>
        <t>Source: https://wits.worldbank.org/trade/comtrade/en/country/COL/year/2024/tradeflow/Imports/partner/ALL/product/271121</t>
      </text>
    </comment>
    <comment ref="E39" authorId="0" shapeId="0">
      <text>
        <t>Source: https://wits.worldbank.org/trade/comtrade/en/country/COL/year/2025/tradeflow/Imports/partner/ALL/product/271111</t>
      </text>
    </comment>
    <comment ref="G39" authorId="0" shapeId="0">
      <text>
        <t>Source: https://wits.worldbank.org/trade/comtrade/en/country/COL/year/2025/tradeflow/Imports/partner/ALL/product/271111</t>
      </text>
    </comment>
    <comment ref="E40" authorId="0" shapeId="0">
      <text>
        <t>Source: https://wits.worldbank.org/trade/comtrade/en/country/COL/year/2025/tradeflow/Imports/partner/ALL/product/271111</t>
      </text>
    </comment>
    <comment ref="G40" authorId="0" shapeId="0">
      <text>
        <t>Source: https://wits.worldbank.org/trade/comtrade/en/country/COL/year/2025/tradeflow/Imports/partner/ALL/product/271111</t>
      </text>
    </comment>
    <comment ref="E41" authorId="0" shapeId="0">
      <text>
        <t>Source: https://wits.worldbank.org/trade/comtrade/en/country/COL/year/2025/tradeflow/Imports/partner/ALL/product/271111</t>
      </text>
    </comment>
    <comment ref="G41" authorId="0" shapeId="0">
      <text>
        <t>Source: https://wits.worldbank.org/trade/comtrade/en/country/COL/year/2025/tradeflow/Imports/partner/ALL/product/271111</t>
      </text>
    </comment>
    <comment ref="E42" authorId="0" shapeId="0">
      <text>
        <t>Source: https://wits.worldbank.org/trade/comtrade/en/country/COL/year/2025/tradeflow/Imports/partner/ALL/product/271121</t>
      </text>
    </comment>
    <comment ref="G42" authorId="0" shapeId="0">
      <text>
        <t>Source: https://wits.worldbank.org/trade/comtrade/en/country/COL/year/2025/tradeflow/Imports/partner/ALL/product/271121</t>
      </text>
    </comment>
    <comment ref="E43" authorId="0" shapeId="0">
      <text>
        <t>Source: https://wits.worldbank.org/trade/comtrade/en/country/COL/year/2025/tradeflow/Imports/partner/ALL/product/271121</t>
      </text>
    </comment>
    <comment ref="G43" authorId="0" shapeId="0">
      <text>
        <t>Source: https://wits.worldbank.org/trade/comtrade/en/country/COL/year/2025/tradeflow/Imports/partner/ALL/product/271121</t>
      </text>
    </comment>
  </commentList>
</comments>
</file>

<file path=xl/comments/comment3.xml><?xml version="1.0" encoding="utf-8"?>
<comments xmlns="http://schemas.openxmlformats.org/spreadsheetml/2006/main">
  <authors>
    <author>Source / methodology</author>
  </authors>
  <commentList>
    <comment ref="B7" authorId="0" shapeId="0">
      <text>
        <t>Source: User-supplied BMC screenshot
Dashboard vintage not visible; received 2026-10-27. Units as displayed: MBTUD (million Btu/day).</t>
      </text>
    </comment>
    <comment ref="C7" authorId="0" shapeId="0">
      <text>
        <t>Source: User-supplied BMC screenshot
Dashboard vintage not visible; received 2026-10-27. Units as displayed: MBTUD (million Btu/day).</t>
      </text>
    </comment>
    <comment ref="D7" authorId="0" shapeId="0">
      <text>
        <t>Source: User-supplied BMC screenshot
Dashboard vintage not visible; received 2026-10-27. Units as displayed: MBTUD (million Btu/day).</t>
      </text>
    </comment>
    <comment ref="B8" authorId="0" shapeId="0">
      <text>
        <t>Source: User-supplied BMC screenshot
Dashboard vintage not visible; received 2026-10-27. Units as displayed: MBTUD (million Btu/day).</t>
      </text>
    </comment>
    <comment ref="C8" authorId="0" shapeId="0">
      <text>
        <t>Source: User-supplied BMC screenshot
Dashboard vintage not visible; received 2026-10-27. Units as displayed: MBTUD (million Btu/day).</t>
      </text>
    </comment>
    <comment ref="D8" authorId="0" shapeId="0">
      <text>
        <t>Source: User-supplied BMC screenshot
Dashboard vintage not visible; received 2026-10-27. Units as displayed: MBTUD (million Btu/day).</t>
      </text>
    </comment>
    <comment ref="B9" authorId="0" shapeId="0">
      <text>
        <t>Source: User-supplied BMC screenshot
Dashboard vintage not visible; received 2026-10-27. Units as displayed: MBTUD (million Btu/day).</t>
      </text>
    </comment>
    <comment ref="C9" authorId="0" shapeId="0">
      <text>
        <t>Source: User-supplied BMC screenshot
Dashboard vintage not visible; received 2026-10-27. Units as displayed: MBTUD (million Btu/day).</t>
      </text>
    </comment>
    <comment ref="D9" authorId="0" shapeId="0">
      <text>
        <t>Source: User-supplied BMC screenshot
Dashboard vintage not visible; received 2026-10-27. Units as displayed: MBTUD (million Btu/day).</t>
      </text>
    </comment>
    <comment ref="B10" authorId="0" shapeId="0">
      <text>
        <t>Source: User-supplied BMC screenshot
Dashboard vintage not visible; received 2026-10-27. Units as displayed: MBTUD (million Btu/day).</t>
      </text>
    </comment>
    <comment ref="C10" authorId="0" shapeId="0">
      <text>
        <t>Source: User-supplied BMC screenshot
Dashboard vintage not visible; received 2026-10-27. Units as displayed: MBTUD (million Btu/day).</t>
      </text>
    </comment>
    <comment ref="D10" authorId="0" shapeId="0">
      <text>
        <t>Source: User-supplied BMC screenshot
Dashboard vintage not visible; received 2026-10-27. Units as displayed: MBTUD (million Btu/day).</t>
      </text>
    </comment>
    <comment ref="B11" authorId="0" shapeId="0">
      <text>
        <t>Source: User-supplied BMC screenshot
Dashboard vintage not visible; received 2026-10-27. Units as displayed: MBTUD (million Btu/day).</t>
      </text>
    </comment>
    <comment ref="C11" authorId="0" shapeId="0">
      <text>
        <t>Source: User-supplied BMC screenshot
Dashboard vintage not visible; received 2026-10-27. Units as displayed: MBTUD (million Btu/day).</t>
      </text>
    </comment>
    <comment ref="D11" authorId="0" shapeId="0">
      <text>
        <t>Source: User-supplied BMC screenshot
Dashboard vintage not visible; received 2026-10-27. Units as displayed: MBTUD (million Btu/day).</t>
      </text>
    </comment>
    <comment ref="B12" authorId="0" shapeId="0">
      <text>
        <t>Source: User-supplied BMC screenshot
Dashboard vintage not visible; received 2026-10-27. Units as displayed: MBTUD (million Btu/day).</t>
      </text>
    </comment>
    <comment ref="C12" authorId="0" shapeId="0">
      <text>
        <t>Source: User-supplied BMC screenshot
Dashboard vintage not visible; received 2026-10-27. Units as displayed: MBTUD (million Btu/day).</t>
      </text>
    </comment>
    <comment ref="D12" authorId="0" shapeId="0">
      <text>
        <t>Source: User-supplied BMC screenshot
Dashboard vintage not visible; received 2026-10-27. Units as displayed: MBTUD (million Btu/day).</t>
      </text>
    </comment>
    <comment ref="B13" authorId="0" shapeId="0">
      <text>
        <t>Source: User-supplied BMC screenshot
Dashboard vintage not visible; received 2026-10-27. Units as displayed: MBTUD (million Btu/day).</t>
      </text>
    </comment>
    <comment ref="C13" authorId="0" shapeId="0">
      <text>
        <t>Source: User-supplied BMC screenshot
Dashboard vintage not visible; received 2026-10-27. Units as displayed: MBTUD (million Btu/day).</t>
      </text>
    </comment>
    <comment ref="D13" authorId="0" shapeId="0">
      <text>
        <t>Source: User-supplied BMC screenshot
Dashboard vintage not visible; received 2026-10-27. Units as displayed: MBTUD (million Btu/day).</t>
      </text>
    </comment>
    <comment ref="B14" authorId="0" shapeId="0">
      <text>
        <t>Source: User-supplied BMC screenshot
Dashboard vintage not visible; received 2026-10-27. Units as displayed: MBTUD (million Btu/day).</t>
      </text>
    </comment>
    <comment ref="C14" authorId="0" shapeId="0">
      <text>
        <t>Source: User-supplied BMC screenshot
Dashboard vintage not visible; received 2026-10-27. Units as displayed: MBTUD (million Btu/day).</t>
      </text>
    </comment>
    <comment ref="D14" authorId="0" shapeId="0">
      <text>
        <t>Source: User-supplied BMC screenshot
Dashboard vintage not visible; received 2026-10-27. Units as displayed: MBTUD (million Btu/day).</t>
      </text>
    </comment>
    <comment ref="B15" authorId="0" shapeId="0">
      <text>
        <t>Source: User-supplied BMC screenshot
Dashboard vintage not visible; received 2026-10-27. Units as displayed: MBTUD (million Btu/day).</t>
      </text>
    </comment>
    <comment ref="C15" authorId="0" shapeId="0">
      <text>
        <t>Source: User-supplied BMC screenshot
Dashboard vintage not visible; received 2026-10-27. Units as displayed: MBTUD (million Btu/day).</t>
      </text>
    </comment>
    <comment ref="D15" authorId="0" shapeId="0">
      <text>
        <t>Source: User-supplied BMC screenshot
Dashboard vintage not visible; received 2026-10-27. Units as displayed: MBTUD (million Btu/day).</t>
      </text>
    </comment>
    <comment ref="B16" authorId="0" shapeId="0">
      <text>
        <t>Source: User-supplied BMC screenshot
Dashboard vintage not visible; received 2026-10-27. Units as displayed: MBTUD (million Btu/day).</t>
      </text>
    </comment>
    <comment ref="C16" authorId="0" shapeId="0">
      <text>
        <t>Source: User-supplied BMC screenshot
Dashboard vintage not visible; received 2026-10-27. Units as displayed: MBTUD (million Btu/day).</t>
      </text>
    </comment>
    <comment ref="D16" authorId="0" shapeId="0">
      <text>
        <t>Source: User-supplied BMC screenshot
Dashboard vintage not visible; received 2026-10-27. Units as displayed: MBTUD (million Btu/day).</t>
      </text>
    </comment>
    <comment ref="B17" authorId="0" shapeId="0">
      <text>
        <t>Source: User-supplied BMC screenshot
Dashboard vintage not visible; received 2026-10-27. Units as displayed: MBTUD (million Btu/day).</t>
      </text>
    </comment>
    <comment ref="C17" authorId="0" shapeId="0">
      <text>
        <t>Source: User-supplied BMC screenshot
Dashboard vintage not visible; received 2026-10-27. Units as displayed: MBTUD (million Btu/day).</t>
      </text>
    </comment>
    <comment ref="D17" authorId="0" shapeId="0">
      <text>
        <t>Source: User-supplied BMC screenshot
Dashboard vintage not visible; received 2026-10-27. Units as displayed: MBTUD (million Btu/day).</t>
      </text>
    </comment>
    <comment ref="B18" authorId="0" shapeId="0">
      <text>
        <t>Source: User-supplied BMC screenshot
Dashboard vintage not visible; received 2026-10-27. Units as displayed: MBTUD (million Btu/day).</t>
      </text>
    </comment>
    <comment ref="C18" authorId="0" shapeId="0">
      <text>
        <t>Source: User-supplied BMC screenshot
Dashboard vintage not visible; received 2026-10-27. Units as displayed: MBTUD (million Btu/day).</t>
      </text>
    </comment>
    <comment ref="D18" authorId="0" shapeId="0">
      <text>
        <t>Source: User-supplied BMC screenshot
Dashboard vintage not visible; received 2026-10-27. Units as displayed: MBTUD (million Btu/day).</t>
      </text>
    </comment>
    <comment ref="B19" authorId="0" shapeId="0">
      <text>
        <t>Source: User-supplied BMC screenshot
Dashboard vintage not visible; received 2026-10-27. Units as displayed: MBTUD (million Btu/day).</t>
      </text>
    </comment>
    <comment ref="C19" authorId="0" shapeId="0">
      <text>
        <t>Source: User-supplied BMC screenshot
Dashboard vintage not visible; received 2026-10-27. Units as displayed: MBTUD (million Btu/day).</t>
      </text>
    </comment>
    <comment ref="D19" authorId="0" shapeId="0">
      <text>
        <t>Source: User-supplied BMC screenshot
Dashboard vintage not visible; received 2026-10-27. Units as displayed: MBTUD (million Btu/day).</t>
      </text>
    </comment>
    <comment ref="B20" authorId="0" shapeId="0">
      <text>
        <t>Source: User-supplied BMC screenshot
Dashboard vintage not visible; received 2026-10-27. Units as displayed: MBTUD (million Btu/day).</t>
      </text>
    </comment>
    <comment ref="C20" authorId="0" shapeId="0">
      <text>
        <t>Source: User-supplied BMC screenshot
Dashboard vintage not visible; received 2026-10-27. Units as displayed: MBTUD (million Btu/day).</t>
      </text>
    </comment>
    <comment ref="D20" authorId="0" shapeId="0">
      <text>
        <t>Source: User-supplied BMC screenshot
Dashboard vintage not visible; received 2026-10-27. Units as displayed: MBTUD (million Btu/day).</t>
      </text>
    </comment>
  </commentList>
</comments>
</file>

<file path=xl/comments/comment4.xml><?xml version="1.0" encoding="utf-8"?>
<comments xmlns="http://schemas.openxmlformats.org/spreadsheetml/2006/main">
  <authors>
    <author>Source / methodology</author>
  </authors>
  <commentList>
    <comment ref="D7" authorId="0" shapeId="0">
      <text>
        <t>Source: https://www.dane.gov.co/files/operaciones/IMP/bol-IMP-ago2026.pdf
Page 9. US$ million CIF rounded to one decimal; provisional.</t>
      </text>
    </comment>
    <comment ref="D8" authorId="0" shapeId="0">
      <text>
        <t>Source: https://www.dane.gov.co/files/operaciones/IMP/bol-IMP-ago2026.pdf
Page 9. US$ million CIF rounded to one decimal; provisional.</t>
      </text>
    </comment>
  </commentList>
</comments>
</file>

<file path=xl/comments/comment5.xml><?xml version="1.0" encoding="utf-8"?>
<comments xmlns="http://schemas.openxmlformats.org/spreadsheetml/2006/main">
  <authors>
    <author>Source / methodology</author>
  </authors>
  <commentList>
    <comment ref="B10" authorId="0" shapeId="0">
      <text>
        <t>Source: Analyst illustration
Not a market-price observation or forecast.</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6</row>
      <rowOff>0</rowOff>
    </from>
    <ext cx="82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26</row>
      <rowOff>0</rowOff>
    </from>
    <ext cx="82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46</row>
      <rowOff>0</rowOff>
    </from>
    <ext cx="828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ChartReadyAnnual" displayName="ChartReadyAnnual" ref="A6:K15" headerRowCount="1">
  <autoFilter ref="A6:K15"/>
  <tableColumns count="11">
    <tableColumn id="1" name="Year"/>
    <tableColumn id="2" name="LNG CIF (US$)"/>
    <tableColumn id="3" name="Gaseous gas CIF (US$)"/>
    <tableColumn id="4" name="Total natural gas CIF (US$)"/>
    <tableColumn id="5" name="LNG CIF (US$ million)"/>
    <tableColumn id="6" name="LNG reported quantity (tonnes)"/>
    <tableColumn id="7" name="LNG CIF unit value (US$/tonne)"/>
    <tableColumn id="8" name="LNG value YoY (%)"/>
    <tableColumn id="9" name="Quantity status"/>
    <tableColumn id="10" name="LNG source URL"/>
    <tableColumn id="11" name="Gaseous-gas source URL"/>
  </tableColumns>
  <tableStyleInfo name="TableStyleMedium2" showRowStripes="1" showColumnStripes="0"/>
</table>
</file>

<file path=xl/tables/table2.xml><?xml version="1.0" encoding="utf-8"?>
<table xmlns="http://schemas.openxmlformats.org/spreadsheetml/2006/main" id="2" name="AnnualWorld" displayName="AnnualWorld" ref="A6:I20" headerRowCount="1">
  <autoFilter ref="A6:I20"/>
  <tableColumns count="9">
    <tableColumn id="1" name="Year"/>
    <tableColumn id="2" name="HS6"/>
    <tableColumn id="3" name="Product"/>
    <tableColumn id="4" name="Source value (US$ thousands)"/>
    <tableColumn id="5" name="Reported quantity (kg)"/>
    <tableColumn id="6" name="CIF value (US$)"/>
    <tableColumn id="7" name="Quantity status"/>
    <tableColumn id="8" name="Source URL"/>
    <tableColumn id="9" name="Accessed"/>
  </tableColumns>
  <tableStyleInfo name="TableStyleMedium2" showRowStripes="1" showColumnStripes="0"/>
</table>
</file>

<file path=xl/tables/table3.xml><?xml version="1.0" encoding="utf-8"?>
<table xmlns="http://schemas.openxmlformats.org/spreadsheetml/2006/main" id="3" name="AnnualPartners" displayName="AnnualPartners" ref="A6:J43" headerRowCount="1">
  <autoFilter ref="A6:J43"/>
  <tableColumns count="10">
    <tableColumn id="1" name="Year"/>
    <tableColumn id="2" name="HS6"/>
    <tableColumn id="3" name="Partner reported"/>
    <tableColumn id="4" name="Partner for analysis"/>
    <tableColumn id="5" name="Source value (US$ thousands)"/>
    <tableColumn id="6" name="CIF value (US$)"/>
    <tableColumn id="7" name="Reported quantity (kg)"/>
    <tableColumn id="8" name="Quality / reconciliation note"/>
    <tableColumn id="9" name="Source URL"/>
    <tableColumn id="10" name="Reconciliation URL"/>
  </tableColumns>
  <tableStyleInfo name="TableStyleMedium2" showRowStripes="1" showColumnStripes="0"/>
</table>
</file>

<file path=xl/tables/table4.xml><?xml version="1.0" encoding="utf-8"?>
<table xmlns="http://schemas.openxmlformats.org/spreadsheetml/2006/main" id="4" name="BmcScenario" displayName="BmcScenario" ref="A6:M20" headerRowCount="1">
  <autoFilter ref="A6:M20"/>
  <tableColumns count="13">
    <tableColumn id="1" name="Month"/>
    <tableColumn id="2" name="Supply (MBtu/day)"/>
    <tableColumn id="3" name="Demand projection (MBtu/day)"/>
    <tableColumn id="4" name="Published margin (MBtu/day)"/>
    <tableColumn id="5" name="Calculated margin (MBtu/day)"/>
    <tableColumn id="6" name="Margin check"/>
    <tableColumn id="7" name="Usable domestic supply (input, MBtu/day)"/>
    <tableColumn id="8" name="Residual import need (MBtu/day)"/>
    <tableColumn id="9" name="Border LNG price (US$/MMBtu)"/>
    <tableColumn id="10" name="Days in month"/>
    <tableColumn id="11" name="Indicative monthly LNG bill (US$ million)"/>
    <tableColumn id="12" name="Scenario"/>
    <tableColumn id="13" name="Source / provenance"/>
  </tableColumns>
  <tableStyleInfo name="TableStyleMedium2" showRowStripes="1" showColumnStripes="0"/>
</table>
</file>

<file path=xl/tables/table5.xml><?xml version="1.0" encoding="utf-8"?>
<table xmlns="http://schemas.openxmlformats.org/spreadsheetml/2006/main" id="5" name="SelectedMonthlyObservations" displayName="SelectedMonthlyObservations" ref="A6:H8" headerRowCount="1">
  <autoFilter ref="A6:H8"/>
  <tableColumns count="8">
    <tableColumn id="1" name="Month"/>
    <tableColumn id="2" name="Origin partner"/>
    <tableColumn id="3" name="Product label"/>
    <tableColumn id="4" name="CIF value (US$ million)"/>
    <tableColumn id="5" name="CIF value (US$)"/>
    <tableColumn id="6" name="Coverage"/>
    <tableColumn id="7" name="Source URL"/>
    <tableColumn id="8" name="Source page"/>
  </tableColumns>
  <tableStyleInfo name="TableStyleMedium2" showRowStripes="1" showColumnStripes="0"/>
</table>
</file>

<file path=xl/tables/table6.xml><?xml version="1.0" encoding="utf-8"?>
<table xmlns="http://schemas.openxmlformats.org/spreadsheetml/2006/main" id="6" name="DataChecks" displayName="DataChecks" ref="A6:I20" headerRowCount="1">
  <autoFilter ref="A6:I20"/>
  <tableColumns count="9">
    <tableColumn id="1" name="Year"/>
    <tableColumn id="2" name="HS6"/>
    <tableColumn id="3" name="World CIF (US$)"/>
    <tableColumn id="4" name="Sum of partners (US$)"/>
    <tableColumn id="5" name="Residual (US$)"/>
    <tableColumn id="6" name="Tolerance (US$)"/>
    <tableColumn id="7" name="Check"/>
    <tableColumn id="8" name="Quantity missing?"/>
    <tableColumn id="9" name="Source URL"/>
  </tableColumns>
  <tableStyleInfo name="TableStyleMedium2" showRowStripes="1" showColumnStripes="0"/>
</table>
</file>

<file path=xl/tables/table7.xml><?xml version="1.0" encoding="utf-8"?>
<table xmlns="http://schemas.openxmlformats.org/spreadsheetml/2006/main" id="7" name="SourceRegister" displayName="SourceRegister" ref="A6:G27" headerRowCount="1">
  <autoFilter ref="A6:G27"/>
  <tableColumns count="7">
    <tableColumn id="1" name="Source ID"/>
    <tableColumn id="2" name="Publisher"/>
    <tableColumn id="3" name="Document / table"/>
    <tableColumn id="4" name="Source URL"/>
    <tableColumn id="5" name="Accessed"/>
    <tableColumn id="6" name="Scope"/>
    <tableColumn id="7" name="Retrieval status"/>
  </tableColumns>
  <tableStyleInfo name="TableStyleMedium2" showRowStripes="1" showColumnStripes="0"/>
</table>
</file>

<file path=xl/tables/table8.xml><?xml version="1.0" encoding="utf-8"?>
<table xmlns="http://schemas.openxmlformats.org/spreadsheetml/2006/main" id="8" name="Definitions" displayName="Definitions" ref="A6:D24" headerRowCount="1">
  <autoFilter ref="A6:D24"/>
  <tableColumns count="4">
    <tableColumn id="1" name="Dataset / field"/>
    <tableColumn id="2" name="Definition"/>
    <tableColumn id="3" name="Unit / coding"/>
    <tableColumn id="4" name="Treatment / limita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harts'!A1" TargetMode="External" Id="rId1"/><Relationship Type="http://schemas.openxmlformats.org/officeDocument/2006/relationships/hyperlink" Target="#'Annual imports'!A1" TargetMode="External" Id="rId2"/><Relationship Type="http://schemas.openxmlformats.org/officeDocument/2006/relationships/hyperlink" Target="#'BMC scenario'!A1" TargetMode="External" Id="rId3"/><Relationship Type="http://schemas.openxmlformats.org/officeDocument/2006/relationships/hyperlink" Target="#'Monthly imports'!A1" TargetMode="External" Id="rId4"/><Relationship Type="http://schemas.openxmlformats.org/officeDocument/2006/relationships/hyperlink" Target="#'Checks'!A1" TargetMode="External" Id="rId5"/></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table" Target="/xl/tables/table3.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table" Target="/xl/tables/table4.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0"/>
    <pageSetUpPr fitToPage="1"/>
  </sheetPr>
  <dimension ref="A1:I28"/>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ht="42" customHeight="1">
      <c r="A1" s="1" t="inlineStr">
        <is>
          <t>COLOMBIA | NATURAL GAS IMPORTS</t>
        </is>
      </c>
      <c r="B1" s="2" t="n"/>
      <c r="C1" s="2" t="n"/>
      <c r="D1" s="2" t="n"/>
      <c r="E1" s="2" t="n"/>
      <c r="F1" s="2" t="n"/>
      <c r="G1" s="2" t="n"/>
      <c r="H1" s="2" t="n"/>
      <c r="I1" s="2" t="n"/>
    </row>
    <row r="2" ht="26" customHeight="1">
      <c r="A2" s="3" t="inlineStr">
        <is>
          <t>Research snapshot: 27 October 2026. Actual customs observations, selected bulletin extracts and forward scenarios are kept separate.</t>
        </is>
      </c>
    </row>
    <row r="3" ht="16" customHeight="1"/>
    <row r="5">
      <c r="A5" s="4" t="inlineStr">
        <is>
          <t>LNG imports: 2025, CIF</t>
        </is>
      </c>
      <c r="D5" s="4" t="inlineStr">
        <is>
          <t>Annual LNG coverage</t>
        </is>
      </c>
      <c r="G5" s="4" t="inlineStr">
        <is>
          <t>National monthly customs</t>
        </is>
      </c>
    </row>
    <row r="6" ht="28" customHeight="1">
      <c r="A6" s="5">
        <f>'Annual imports'!E15</f>
        <v>779.20366</v>
      </c>
      <c r="D6" s="6" t="inlineStr">
        <is>
          <t>2017-2025</t>
        </is>
      </c>
      <c r="G6" s="7" t="inlineStr">
        <is>
          <t>NOT LOADED</t>
        </is>
      </c>
    </row>
    <row r="7" ht="20" customHeight="1"/>
    <row r="9" ht="40" customHeight="1">
      <c r="A9" s="8" t="inlineStr">
        <is>
          <t>Coverage limitation: the public annual tables were retrieved, but DANE ZIP downloads and the BMC terminal-level export were not obtained. This workbook does not claim a complete monthly customs scrape.</t>
        </is>
      </c>
    </row>
    <row r="12">
      <c r="A12" s="9" t="inlineStr">
        <is>
          <t>START WITH THE CHARTS</t>
        </is>
      </c>
    </row>
    <row r="13" ht="40" customHeight="1">
      <c r="A13" s="10" t="inlineStr">
        <is>
          <t>Annual LNG dollar values, partner composition and the BMC supply-demand scenario are already charted.</t>
        </is>
      </c>
    </row>
    <row r="15">
      <c r="A15" s="9" t="inlineStr">
        <is>
          <t>USE THE CLEAN TABLES</t>
        </is>
      </c>
    </row>
    <row r="16" ht="40" customHeight="1">
      <c r="A16" s="10" t="inlineStr">
        <is>
          <t>Annual imports is the chart-ready national table. Annual raw and Partners retain source values, units, links and flags.</t>
        </is>
      </c>
    </row>
    <row r="18">
      <c r="A18" s="9" t="inlineStr">
        <is>
          <t>KEEP THE BMC SCENARIO SEPARATE</t>
        </is>
      </c>
    </row>
    <row r="19" ht="40" customHeight="1">
      <c r="A19" s="10" t="inlineStr">
        <is>
          <t>14 exact visible rows from October 2026 to November 2027. Only domestic supply inputs, not total supply, can be used to infer residual import needs.</t>
        </is>
      </c>
    </row>
    <row r="21">
      <c r="A21" s="9" t="inlineStr">
        <is>
          <t>ADD THE MONTHLY ARCHIVES</t>
        </is>
      </c>
    </row>
    <row r="22" ht="40" customHeight="1">
      <c r="A22" s="10" t="inlineStr">
        <is>
          <t>The bundle includes load_dane_monthly.py. Supply DANE ZIPs to produce monthly FOB, CIF, net kg and country detail, plus CSV, SQLite and Excel outputs.</t>
        </is>
      </c>
    </row>
    <row r="24">
      <c r="A24" s="9" t="inlineStr">
        <is>
          <t>AUDIT BEFORE INTERPRETING</t>
        </is>
      </c>
    </row>
    <row r="25" ht="40" customHeight="1">
      <c r="A25" s="10" t="inlineStr">
        <is>
          <t>Review the 2025 country-label reconciliation, missing quantities, CIF versus FOB and the 2025 country-code change.</t>
        </is>
      </c>
    </row>
    <row r="28" ht="40" customHeight="1">
      <c r="A28" s="3" t="inlineStr">
        <is>
          <t>Source attribution: World Bank WITS / UN Comtrade; DIAN-DANE; BMC screenshot supplied by the user. Fuente: Departamento Administrativo Nacional de Estadistica: www.dane.gov.co</t>
        </is>
      </c>
    </row>
  </sheetData>
  <mergeCells count="20">
    <mergeCell ref="A25:I25"/>
    <mergeCell ref="A18:I18"/>
    <mergeCell ref="A12:I12"/>
    <mergeCell ref="A21:I21"/>
    <mergeCell ref="D6:F7"/>
    <mergeCell ref="A5:C5"/>
    <mergeCell ref="G5:I5"/>
    <mergeCell ref="A22:I22"/>
    <mergeCell ref="A6:C7"/>
    <mergeCell ref="A19:I19"/>
    <mergeCell ref="D5:F5"/>
    <mergeCell ref="A28:I28"/>
    <mergeCell ref="A13:I13"/>
    <mergeCell ref="A9:I9"/>
    <mergeCell ref="A24:I24"/>
    <mergeCell ref="A15:I15"/>
    <mergeCell ref="A2:I3"/>
    <mergeCell ref="G6:I7"/>
    <mergeCell ref="A1:I1"/>
    <mergeCell ref="A16:I16"/>
  </mergeCells>
  <hyperlinks>
    <hyperlink xmlns:r="http://schemas.openxmlformats.org/officeDocument/2006/relationships" ref="A12" r:id="rId1"/>
    <hyperlink xmlns:r="http://schemas.openxmlformats.org/officeDocument/2006/relationships" ref="A15" r:id="rId2"/>
    <hyperlink xmlns:r="http://schemas.openxmlformats.org/officeDocument/2006/relationships" ref="A18" r:id="rId3"/>
    <hyperlink xmlns:r="http://schemas.openxmlformats.org/officeDocument/2006/relationships" ref="A21" r:id="rId4"/>
    <hyperlink xmlns:r="http://schemas.openxmlformats.org/officeDocument/2006/relationships" ref="A24" r:id="rId5"/>
  </hyperlinks>
  <printOptions horizontalCentered="1"/>
  <pageMargins left="0.75" right="0.75" top="1" bottom="1" header="0.5" footer="0.5"/>
  <pageSetup orientation="landscape" paperSize="8" fitToHeight="0" fitToWidth="1"/>
  <headerFooter>
    <oddHeader/>
    <oddFooter>&amp;CColombia natural gas | Sources and limitations inside workbook&amp;RPage &amp;P</oddFooter>
    <evenHeader/>
    <evenFooter/>
    <firstHeader/>
    <firstFooter/>
  </headerFooter>
</worksheet>
</file>

<file path=xl/worksheets/sheet2.xml><?xml version="1.0" encoding="utf-8"?>
<worksheet xmlns="http://schemas.openxmlformats.org/spreadsheetml/2006/main">
  <sheetPr>
    <outlinePr summaryBelow="1" summaryRight="0"/>
    <pageSetUpPr fitToPage="1"/>
  </sheetPr>
  <dimension ref="A1:I75"/>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ht="42" customHeight="1">
      <c r="A1" s="1" t="inlineStr">
        <is>
          <t>CHARTS | VERIFIED SERIES</t>
        </is>
      </c>
      <c r="B1" s="2" t="n"/>
      <c r="C1" s="2" t="n"/>
      <c r="D1" s="2" t="n"/>
      <c r="E1" s="2" t="n"/>
      <c r="F1" s="2" t="n"/>
      <c r="G1" s="2" t="n"/>
      <c r="H1" s="2" t="n"/>
      <c r="I1" s="2" t="n"/>
    </row>
    <row r="2" ht="26" customHeight="1">
      <c r="A2" s="3" t="inlineStr">
        <is>
          <t>Editable Excel charts. Annual customs values are CIF. BMC lines are a forward supply-demand scenario, not imports.</t>
        </is>
      </c>
    </row>
    <row r="3" ht="16" customHeight="1"/>
    <row r="5" ht="40" customHeight="1">
      <c r="A5" s="3" t="inlineStr">
        <is>
          <t>National customs series: only full calendar years are compared. Missing reported quantities are not filled.</t>
        </is>
      </c>
    </row>
    <row r="25" ht="40" customHeight="1">
      <c r="A25" s="8" t="inlineStr">
        <is>
          <t>Partner chart: the 2025 WITS label Tanzania is reconciled to Trinidad and Tobago using DANE. The unaltered source label is retained in Partners.</t>
        </is>
      </c>
    </row>
    <row r="45" ht="40" customHeight="1">
      <c r="A45" s="8" t="inlineStr">
        <is>
          <t>Forward scenario, not actual imports. Exact values come from the 14 rows visible in the supplied screenshot; no terminal-level bar values were inferred.</t>
        </is>
      </c>
    </row>
    <row r="66">
      <c r="A66" t="inlineStr">
        <is>
          <t>Year</t>
        </is>
      </c>
      <c r="B66" t="inlineStr">
        <is>
          <t>United States</t>
        </is>
      </c>
      <c r="C66" t="inlineStr">
        <is>
          <t>Trinidad and Tobago</t>
        </is>
      </c>
      <c r="D66" t="inlineStr">
        <is>
          <t>United Kingdom</t>
        </is>
      </c>
      <c r="E66" t="inlineStr">
        <is>
          <t>Other reported partners</t>
        </is>
      </c>
    </row>
    <row r="67">
      <c r="A67" t="n">
        <v>2017</v>
      </c>
      <c r="B67" s="11">
        <f>SUMIFS(Partners!$F$7:$F$43,Partners!$A$7:$A$43,A67,Partners!$B$7:$B$43,"271111",Partners!$D$7:$D$43,B$66)/Settings!$B$8</f>
        <v>0</v>
      </c>
      <c r="C67" s="11">
        <f>SUMIFS(Partners!$F$7:$F$43,Partners!$A$7:$A$43,A67,Partners!$B$7:$B$43,"271111",Partners!$D$7:$D$43,C$66)/Settings!$B$8</f>
        <v>0</v>
      </c>
      <c r="D67" s="11">
        <f>SUMIFS(Partners!$F$7:$F$43,Partners!$A$7:$A$43,A67,Partners!$B$7:$B$43,"271111",Partners!$D$7:$D$43,D$66)/Settings!$B$8</f>
        <v>0</v>
      </c>
      <c r="E67" s="11">
        <f>SUMIFS(Partners!$F$7:$F$43,Partners!$A$7:$A$43,A67,Partners!$B$7:$B$43,"271111")/Settings!$B$8-SUM(B67:D67)</f>
        <v>11.92593</v>
      </c>
    </row>
    <row r="68">
      <c r="A68" t="n">
        <v>2018</v>
      </c>
      <c r="B68" s="11">
        <f>SUMIFS(Partners!$F$7:$F$43,Partners!$A$7:$A$43,A68,Partners!$B$7:$B$43,"271111",Partners!$D$7:$D$43,B$66)/Settings!$B$8</f>
        <v>39.55393</v>
      </c>
      <c r="C68" s="11">
        <f>SUMIFS(Partners!$F$7:$F$43,Partners!$A$7:$A$43,A68,Partners!$B$7:$B$43,"271111",Partners!$D$7:$D$43,C$66)/Settings!$B$8</f>
        <v>36.71102</v>
      </c>
      <c r="D68" s="11">
        <f>SUMIFS(Partners!$F$7:$F$43,Partners!$A$7:$A$43,A68,Partners!$B$7:$B$43,"271111",Partners!$D$7:$D$43,D$66)/Settings!$B$8</f>
        <v>32.60278</v>
      </c>
      <c r="E68" s="11">
        <f>SUMIFS(Partners!$F$7:$F$43,Partners!$A$7:$A$43,A68,Partners!$B$7:$B$43,"271111")/Settings!$B$8-SUM(B68:D68)</f>
        <v>14.879640000000009</v>
      </c>
    </row>
    <row r="69">
      <c r="A69" t="n">
        <v>2019</v>
      </c>
      <c r="B69" s="11">
        <f>SUMIFS(Partners!$F$7:$F$43,Partners!$A$7:$A$43,A69,Partners!$B$7:$B$43,"271111",Partners!$D$7:$D$43,B$66)/Settings!$B$8</f>
        <v>21.90239</v>
      </c>
      <c r="C69" s="11">
        <f>SUMIFS(Partners!$F$7:$F$43,Partners!$A$7:$A$43,A69,Partners!$B$7:$B$43,"271111",Partners!$D$7:$D$43,C$66)/Settings!$B$8</f>
        <v>7.83293</v>
      </c>
      <c r="D69" s="11">
        <f>SUMIFS(Partners!$F$7:$F$43,Partners!$A$7:$A$43,A69,Partners!$B$7:$B$43,"271111",Partners!$D$7:$D$43,D$66)/Settings!$B$8</f>
        <v>0</v>
      </c>
      <c r="E69" s="11">
        <f>SUMIFS(Partners!$F$7:$F$43,Partners!$A$7:$A$43,A69,Partners!$B$7:$B$43,"271111")/Settings!$B$8-SUM(B69:D69)</f>
        <v>27.308729999999997</v>
      </c>
    </row>
    <row r="70">
      <c r="A70" t="n">
        <v>2020</v>
      </c>
      <c r="B70" s="11">
        <f>SUMIFS(Partners!$F$7:$F$43,Partners!$A$7:$A$43,A70,Partners!$B$7:$B$43,"271111",Partners!$D$7:$D$43,B$66)/Settings!$B$8</f>
        <v>2.97281</v>
      </c>
      <c r="C70" s="11">
        <f>SUMIFS(Partners!$F$7:$F$43,Partners!$A$7:$A$43,A70,Partners!$B$7:$B$43,"271111",Partners!$D$7:$D$43,C$66)/Settings!$B$8</f>
        <v>13.41035</v>
      </c>
      <c r="D70" s="11">
        <f>SUMIFS(Partners!$F$7:$F$43,Partners!$A$7:$A$43,A70,Partners!$B$7:$B$43,"271111",Partners!$D$7:$D$43,D$66)/Settings!$B$8</f>
        <v>20.3398</v>
      </c>
      <c r="E70" s="11">
        <f>SUMIFS(Partners!$F$7:$F$43,Partners!$A$7:$A$43,A70,Partners!$B$7:$B$43,"271111")/Settings!$B$8-SUM(B70:D70)</f>
        <v>23.187359999999998</v>
      </c>
    </row>
    <row r="71">
      <c r="A71" t="n">
        <v>2021</v>
      </c>
      <c r="B71" s="11">
        <f>SUMIFS(Partners!$F$7:$F$43,Partners!$A$7:$A$43,A71,Partners!$B$7:$B$43,"271111",Partners!$D$7:$D$43,B$66)/Settings!$B$8</f>
        <v>14.51052</v>
      </c>
      <c r="C71" s="11">
        <f>SUMIFS(Partners!$F$7:$F$43,Partners!$A$7:$A$43,A71,Partners!$B$7:$B$43,"271111",Partners!$D$7:$D$43,C$66)/Settings!$B$8</f>
        <v>0</v>
      </c>
      <c r="D71" s="11">
        <f>SUMIFS(Partners!$F$7:$F$43,Partners!$A$7:$A$43,A71,Partners!$B$7:$B$43,"271111",Partners!$D$7:$D$43,D$66)/Settings!$B$8</f>
        <v>13.42246</v>
      </c>
      <c r="E71" s="11">
        <f>SUMIFS(Partners!$F$7:$F$43,Partners!$A$7:$A$43,A71,Partners!$B$7:$B$43,"271111")/Settings!$B$8-SUM(B71:D71)</f>
        <v>0.008510000000001128</v>
      </c>
    </row>
    <row r="72">
      <c r="A72" t="n">
        <v>2022</v>
      </c>
      <c r="B72" s="11">
        <f>SUMIFS(Partners!$F$7:$F$43,Partners!$A$7:$A$43,A72,Partners!$B$7:$B$43,"271111",Partners!$D$7:$D$43,B$66)/Settings!$B$8</f>
        <v>87.55064</v>
      </c>
      <c r="C72" s="11">
        <f>SUMIFS(Partners!$F$7:$F$43,Partners!$A$7:$A$43,A72,Partners!$B$7:$B$43,"271111",Partners!$D$7:$D$43,C$66)/Settings!$B$8</f>
        <v>0</v>
      </c>
      <c r="D72" s="11">
        <f>SUMIFS(Partners!$F$7:$F$43,Partners!$A$7:$A$43,A72,Partners!$B$7:$B$43,"271111",Partners!$D$7:$D$43,D$66)/Settings!$B$8</f>
        <v>0</v>
      </c>
      <c r="E72" s="11">
        <f>SUMIFS(Partners!$F$7:$F$43,Partners!$A$7:$A$43,A72,Partners!$B$7:$B$43,"271111")/Settings!$B$8-SUM(B72:D72)</f>
        <v>0</v>
      </c>
    </row>
    <row r="73">
      <c r="A73" t="n">
        <v>2023</v>
      </c>
      <c r="B73" s="11">
        <f>SUMIFS(Partners!$F$7:$F$43,Partners!$A$7:$A$43,A73,Partners!$B$7:$B$43,"271111",Partners!$D$7:$D$43,B$66)/Settings!$B$8</f>
        <v>410.85209</v>
      </c>
      <c r="C73" s="11">
        <f>SUMIFS(Partners!$F$7:$F$43,Partners!$A$7:$A$43,A73,Partners!$B$7:$B$43,"271111",Partners!$D$7:$D$43,C$66)/Settings!$B$8</f>
        <v>30.60301</v>
      </c>
      <c r="D73" s="11">
        <f>SUMIFS(Partners!$F$7:$F$43,Partners!$A$7:$A$43,A73,Partners!$B$7:$B$43,"271111",Partners!$D$7:$D$43,D$66)/Settings!$B$8</f>
        <v>0.00087</v>
      </c>
      <c r="E73" s="11">
        <f>SUMIFS(Partners!$F$7:$F$43,Partners!$A$7:$A$43,A73,Partners!$B$7:$B$43,"271111")/Settings!$B$8-SUM(B73:D73)</f>
        <v>0</v>
      </c>
    </row>
    <row r="74">
      <c r="A74" t="n">
        <v>2024</v>
      </c>
      <c r="B74" s="11">
        <f>SUMIFS(Partners!$F$7:$F$43,Partners!$A$7:$A$43,A74,Partners!$B$7:$B$43,"271111",Partners!$D$7:$D$43,B$66)/Settings!$B$8</f>
        <v>771.97825</v>
      </c>
      <c r="C74" s="11">
        <f>SUMIFS(Partners!$F$7:$F$43,Partners!$A$7:$A$43,A74,Partners!$B$7:$B$43,"271111",Partners!$D$7:$D$43,C$66)/Settings!$B$8</f>
        <v>134.54294</v>
      </c>
      <c r="D74" s="11">
        <f>SUMIFS(Partners!$F$7:$F$43,Partners!$A$7:$A$43,A74,Partners!$B$7:$B$43,"271111",Partners!$D$7:$D$43,D$66)/Settings!$B$8</f>
        <v>38.92535</v>
      </c>
      <c r="E74" s="11">
        <f>SUMIFS(Partners!$F$7:$F$43,Partners!$A$7:$A$43,A74,Partners!$B$7:$B$43,"271111")/Settings!$B$8-SUM(B74:D74)</f>
        <v>1.1368683772161603e-13</v>
      </c>
    </row>
    <row r="75">
      <c r="A75" t="n">
        <v>2025</v>
      </c>
      <c r="B75" s="11">
        <f>SUMIFS(Partners!$F$7:$F$43,Partners!$A$7:$A$43,A75,Partners!$B$7:$B$43,"271111",Partners!$D$7:$D$43,B$66)/Settings!$B$8</f>
        <v>388.39081</v>
      </c>
      <c r="C75" s="11">
        <f>SUMIFS(Partners!$F$7:$F$43,Partners!$A$7:$A$43,A75,Partners!$B$7:$B$43,"271111",Partners!$D$7:$D$43,C$66)/Settings!$B$8</f>
        <v>390.80822</v>
      </c>
      <c r="D75" s="11">
        <f>SUMIFS(Partners!$F$7:$F$43,Partners!$A$7:$A$43,A75,Partners!$B$7:$B$43,"271111",Partners!$D$7:$D$43,D$66)/Settings!$B$8</f>
        <v>0.00463</v>
      </c>
      <c r="E75" s="11">
        <f>SUMIFS(Partners!$F$7:$F$43,Partners!$A$7:$A$43,A75,Partners!$B$7:$B$43,"271111")/Settings!$B$8-SUM(B75:D75)</f>
        <v>0</v>
      </c>
    </row>
  </sheetData>
  <mergeCells count="5">
    <mergeCell ref="A2:I3"/>
    <mergeCell ref="A25:I25"/>
    <mergeCell ref="A5:I5"/>
    <mergeCell ref="A1:I1"/>
    <mergeCell ref="A45:I45"/>
  </mergeCells>
  <printOptions horizontalCentered="1"/>
  <pageMargins left="0.75" right="0.75" top="1" bottom="1" header="0.5" footer="0.5"/>
  <pageSetup orientation="landscape" paperSize="8" fitToHeight="0" fitToWidth="1"/>
  <headerFooter>
    <oddHeader/>
    <oddFooter>&amp;CColombia natural gas | Sources and limitations inside workbook&amp;RPage &amp;P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0"/>
    <pageSetUpPr fitToPage="1"/>
  </sheetPr>
  <dimension ref="A1:K18"/>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1" max="1"/>
    <col width="23" customWidth="1" min="2" max="2"/>
    <col width="23" customWidth="1" min="3" max="3"/>
    <col width="25" customWidth="1" min="4" max="4"/>
    <col width="22" customWidth="1" min="5" max="5"/>
    <col width="25" customWidth="1" min="6" max="6"/>
    <col width="25" customWidth="1" min="7" max="7"/>
    <col width="21" customWidth="1" min="8" max="8"/>
    <col width="43" customWidth="1" min="9" max="9"/>
    <col width="66" customWidth="1" min="10" max="10"/>
    <col width="66" customWidth="1" min="11" max="11"/>
  </cols>
  <sheetData>
    <row r="1" ht="42" customHeight="1">
      <c r="A1" s="1" t="inlineStr">
        <is>
          <t>ANNUAL IMPORTS | CHART-READY</t>
        </is>
      </c>
      <c r="B1" s="2" t="n"/>
      <c r="C1" s="2" t="n"/>
      <c r="D1" s="2" t="n"/>
      <c r="E1" s="2" t="n"/>
      <c r="F1" s="2" t="n"/>
      <c r="G1" s="2" t="n"/>
      <c r="H1" s="2" t="n"/>
      <c r="I1" s="2" t="n"/>
      <c r="J1" s="2" t="n"/>
      <c r="K1" s="2" t="n"/>
    </row>
    <row r="2" ht="26" customHeight="1">
      <c r="A2" s="3" t="inlineStr">
        <is>
          <t>LNG: 2017-2025. Gaseous natural gas: 2021-2025 only. Blank values mean unavailable in this extraction, not zero. World totals are not added to partner rows.</t>
        </is>
      </c>
    </row>
    <row r="3" ht="16" customHeight="1"/>
    <row r="6" ht="42" customHeight="1">
      <c r="A6" s="12" t="inlineStr">
        <is>
          <t>Year</t>
        </is>
      </c>
      <c r="B6" s="12" t="inlineStr">
        <is>
          <t>LNG CIF (US$)</t>
        </is>
      </c>
      <c r="C6" s="12" t="inlineStr">
        <is>
          <t>Gaseous gas CIF (US$)</t>
        </is>
      </c>
      <c r="D6" s="12" t="inlineStr">
        <is>
          <t>Total natural gas CIF (US$)</t>
        </is>
      </c>
      <c r="E6" s="12" t="inlineStr">
        <is>
          <t>LNG CIF (US$ million)</t>
        </is>
      </c>
      <c r="F6" s="12" t="inlineStr">
        <is>
          <t>LNG reported quantity (tonnes)</t>
        </is>
      </c>
      <c r="G6" s="12" t="inlineStr">
        <is>
          <t>LNG CIF unit value (US$/tonne)</t>
        </is>
      </c>
      <c r="H6" s="12" t="inlineStr">
        <is>
          <t>LNG value YoY (%)</t>
        </is>
      </c>
      <c r="I6" s="12" t="inlineStr">
        <is>
          <t>Quantity status</t>
        </is>
      </c>
      <c r="J6" s="12" t="inlineStr">
        <is>
          <t>LNG source URL</t>
        </is>
      </c>
      <c r="K6" s="12" t="inlineStr">
        <is>
          <t>Gaseous-gas source URL</t>
        </is>
      </c>
    </row>
    <row r="7" ht="42" customHeight="1">
      <c r="A7" s="13" t="n">
        <v>2017</v>
      </c>
      <c r="B7" s="14">
        <f>'Annual raw'!F7</f>
        <v>11925930</v>
      </c>
      <c r="C7" s="15" t="n"/>
      <c r="D7" s="16" t="str">
        <f>IF(COUNT(B7:C7)=2,SUM(B7:C7),"")</f>
      </c>
      <c r="E7" s="16">
        <f>B7/Settings!$B$8</f>
        <v>11.92593</v>
      </c>
      <c r="F7" s="16">
        <f>IF(ISNUMBER('Annual raw'!E7),'Annual raw'!E7/Settings!$B$9,"")</f>
        <v>38942.6</v>
      </c>
      <c r="G7" s="16">
        <f>IF(AND(ISNUMBER(F7),F7&gt;0),B7/F7,"")</f>
        <v>306.24380498477245</v>
      </c>
      <c r="H7" s="17" t="n"/>
      <c r="I7" s="18" t="inlineStr">
        <is>
          <t>Reported</t>
        </is>
      </c>
      <c r="J7" s="18" t="inlineStr">
        <is>
          <t>https://wits.worldbank.org/trade/comtrade/en/country/COL/year/2017/tradeflow/Imports/partner/ALL/product/271111</t>
        </is>
      </c>
      <c r="K7" s="18" t="n"/>
    </row>
    <row r="8" ht="42" customHeight="1">
      <c r="A8" s="19" t="n">
        <v>2018</v>
      </c>
      <c r="B8" s="20">
        <f>'Annual raw'!F8</f>
        <v>123747360</v>
      </c>
      <c r="C8" s="21" t="n"/>
      <c r="D8" s="22" t="str">
        <f>IF(COUNT(B8:C8)=2,SUM(B8:C8),"")</f>
      </c>
      <c r="E8" s="22">
        <f>B8/Settings!$B$8</f>
        <v>123.74736</v>
      </c>
      <c r="F8" s="22">
        <f>IF(ISNUMBER('Annual raw'!E8),'Annual raw'!E8/Settings!$B$9,"")</f>
        <v>239638</v>
      </c>
      <c r="G8" s="22">
        <f>IF(AND(ISNUMBER(F8),F8&gt;0),B8/F8,"")</f>
        <v>516.3928926130246</v>
      </c>
      <c r="H8" s="23">
        <f>IFERROR(B8/B7-1,"")</f>
        <v>9.376327883863146</v>
      </c>
      <c r="I8" s="24" t="inlineStr">
        <is>
          <t>Reported</t>
        </is>
      </c>
      <c r="J8" s="24" t="inlineStr">
        <is>
          <t>https://wits.worldbank.org/trade/comtrade/en/country/COL/year/2018/tradeflow/Imports/partner/ALL/product/271111</t>
        </is>
      </c>
      <c r="K8" s="24" t="n"/>
    </row>
    <row r="9" ht="42" customHeight="1">
      <c r="A9" s="13" t="n">
        <v>2019</v>
      </c>
      <c r="B9" s="14">
        <f>'Annual raw'!F9</f>
        <v>57044060</v>
      </c>
      <c r="C9" s="15" t="n"/>
      <c r="D9" s="16" t="str">
        <f>IF(COUNT(B9:C9)=2,SUM(B9:C9),"")</f>
      </c>
      <c r="E9" s="16">
        <f>B9/Settings!$B$8</f>
        <v>57.04406</v>
      </c>
      <c r="F9" s="16" t="str">
        <f>IF(ISNUMBER('Annual raw'!E9),'Annual raw'!E9/Settings!$B$9,"")</f>
      </c>
      <c r="G9" s="16" t="str">
        <f>IF(AND(ISNUMBER(F9),F9&gt;0),B9/F9,"")</f>
      </c>
      <c r="H9" s="25">
        <f>IFERROR(B9/B8-1,"")</f>
        <v>-0.5390280649219507</v>
      </c>
      <c r="I9" s="26" t="inlineStr">
        <is>
          <t>Missing in WITS; not zero</t>
        </is>
      </c>
      <c r="J9" s="18" t="inlineStr">
        <is>
          <t>https://wits.worldbank.org/trade/comtrade/en/country/COL/year/2019/tradeflow/Imports/partner/ALL/product/271111</t>
        </is>
      </c>
      <c r="K9" s="18" t="n"/>
    </row>
    <row r="10" ht="42" customHeight="1">
      <c r="A10" s="19" t="n">
        <v>2020</v>
      </c>
      <c r="B10" s="20">
        <f>'Annual raw'!F10</f>
        <v>59910330</v>
      </c>
      <c r="C10" s="21" t="n"/>
      <c r="D10" s="22" t="str">
        <f>IF(COUNT(B10:C10)=2,SUM(B10:C10),"")</f>
      </c>
      <c r="E10" s="22">
        <f>B10/Settings!$B$8</f>
        <v>59.91033</v>
      </c>
      <c r="F10" s="22">
        <f>IF(ISNUMBER('Annual raw'!E10),'Annual raw'!E10/Settings!$B$9,"")</f>
        <v>296302</v>
      </c>
      <c r="G10" s="22">
        <f>IF(AND(ISNUMBER(F10),F10&gt;0),B10/F10,"")</f>
        <v>202.19347152567312</v>
      </c>
      <c r="H10" s="23">
        <f>IFERROR(B10/B9-1,"")</f>
        <v>0.05024659885709393</v>
      </c>
      <c r="I10" s="24" t="inlineStr">
        <is>
          <t>Reported</t>
        </is>
      </c>
      <c r="J10" s="24" t="inlineStr">
        <is>
          <t>https://wits.worldbank.org/trade/comtrade/en/country/COL/year/2020/tradeflow/Imports/partner/ALL/product/271111</t>
        </is>
      </c>
      <c r="K10" s="24" t="n"/>
    </row>
    <row r="11" ht="42" customHeight="1">
      <c r="A11" s="13" t="n">
        <v>2021</v>
      </c>
      <c r="B11" s="14">
        <f>'Annual raw'!F11</f>
        <v>27941490</v>
      </c>
      <c r="C11" s="14">
        <f>'Annual raw'!F12</f>
        <v>43160</v>
      </c>
      <c r="D11" s="16">
        <f>IF(COUNT(B11:C11)=2,SUM(B11:C11),"")</f>
        <v>27984650</v>
      </c>
      <c r="E11" s="16">
        <f>B11/Settings!$B$8</f>
        <v>27.94149</v>
      </c>
      <c r="F11" s="16">
        <f>IF(ISNUMBER('Annual raw'!E11),'Annual raw'!E11/Settings!$B$9,"")</f>
        <v>44406</v>
      </c>
      <c r="G11" s="16">
        <f>IF(AND(ISNUMBER(F11),F11&gt;0),B11/F11,"")</f>
        <v>629.227807053101</v>
      </c>
      <c r="H11" s="25">
        <f>IFERROR(B11/B10-1,"")</f>
        <v>-0.5336114823603876</v>
      </c>
      <c r="I11" s="18" t="inlineStr">
        <is>
          <t>Reported</t>
        </is>
      </c>
      <c r="J11" s="18" t="inlineStr">
        <is>
          <t>https://wits.worldbank.org/trade/comtrade/en/country/COL/year/2021/tradeflow/Imports/partner/ALL/product/271111</t>
        </is>
      </c>
      <c r="K11" s="18" t="inlineStr">
        <is>
          <t>https://wits.worldbank.org/trade/comtrade/en/country/COL/year/2021/tradeflow/Imports/partner/ALL/product/271121</t>
        </is>
      </c>
    </row>
    <row r="12" ht="42" customHeight="1">
      <c r="A12" s="19" t="n">
        <v>2022</v>
      </c>
      <c r="B12" s="20">
        <f>'Annual raw'!F13</f>
        <v>87550640</v>
      </c>
      <c r="C12" s="20">
        <f>'Annual raw'!F14</f>
        <v>84120</v>
      </c>
      <c r="D12" s="22">
        <f>IF(COUNT(B12:C12)=2,SUM(B12:C12),"")</f>
        <v>87634760</v>
      </c>
      <c r="E12" s="22">
        <f>B12/Settings!$B$8</f>
        <v>87.55064</v>
      </c>
      <c r="F12" s="22">
        <f>IF(ISNUMBER('Annual raw'!E13),'Annual raw'!E13/Settings!$B$9,"")</f>
        <v>60181</v>
      </c>
      <c r="G12" s="22">
        <f>IF(AND(ISNUMBER(F12),F12&gt;0),B12/F12,"")</f>
        <v>1454.7887206925775</v>
      </c>
      <c r="H12" s="23">
        <f>IFERROR(B12/B11-1,"")</f>
        <v>2.1333561667613288</v>
      </c>
      <c r="I12" s="24" t="inlineStr">
        <is>
          <t>Reported</t>
        </is>
      </c>
      <c r="J12" s="24" t="inlineStr">
        <is>
          <t>https://wits.worldbank.org/trade/comtrade/en/country/COL/year/2022/tradeflow/Imports/partner/ALL/product/271111</t>
        </is>
      </c>
      <c r="K12" s="24" t="inlineStr">
        <is>
          <t>https://wits.worldbank.org/trade/comtrade/en/country/COL/year/2022/tradeflow/Imports/partner/ALL/product/271121</t>
        </is>
      </c>
    </row>
    <row r="13" ht="42" customHeight="1">
      <c r="A13" s="13" t="n">
        <v>2023</v>
      </c>
      <c r="B13" s="14">
        <f>'Annual raw'!F15</f>
        <v>441455970</v>
      </c>
      <c r="C13" s="14">
        <f>'Annual raw'!F16</f>
        <v>4930</v>
      </c>
      <c r="D13" s="16">
        <f>IF(COUNT(B13:C13)=2,SUM(B13:C13),"")</f>
        <v>441460900</v>
      </c>
      <c r="E13" s="16">
        <f>B13/Settings!$B$8</f>
        <v>441.45597</v>
      </c>
      <c r="F13" s="16" t="str">
        <f>IF(ISNUMBER('Annual raw'!E15),'Annual raw'!E15/Settings!$B$9,"")</f>
      </c>
      <c r="G13" s="16" t="str">
        <f>IF(AND(ISNUMBER(F13),F13&gt;0),B13/F13,"")</f>
      </c>
      <c r="H13" s="25">
        <f>IFERROR(B13/B12-1,"")</f>
        <v>4.042292894717845</v>
      </c>
      <c r="I13" s="26" t="inlineStr">
        <is>
          <t>Missing in WITS; not zero</t>
        </is>
      </c>
      <c r="J13" s="18" t="inlineStr">
        <is>
          <t>https://wits.worldbank.org/trade/comtrade/en/country/COL/year/2023/tradeflow/Imports/partner/ALL/product/271111</t>
        </is>
      </c>
      <c r="K13" s="18" t="inlineStr">
        <is>
          <t>https://wits.worldbank.org/trade/comtrade/en/country/COL/year/2023/tradeflow/Imports/partner/ALL/product/271121</t>
        </is>
      </c>
    </row>
    <row r="14" ht="42" customHeight="1">
      <c r="A14" s="19" t="n">
        <v>2024</v>
      </c>
      <c r="B14" s="20">
        <f>'Annual raw'!F17</f>
        <v>945446540</v>
      </c>
      <c r="C14" s="20">
        <f>'Annual raw'!F18</f>
        <v>31740</v>
      </c>
      <c r="D14" s="22">
        <f>IF(COUNT(B14:C14)=2,SUM(B14:C14),"")</f>
        <v>945478280</v>
      </c>
      <c r="E14" s="22">
        <f>B14/Settings!$B$8</f>
        <v>945.44654</v>
      </c>
      <c r="F14" s="22">
        <f>IF(ISNUMBER('Annual raw'!E17),'Annual raw'!E17/Settings!$B$9,"")</f>
        <v>1625300</v>
      </c>
      <c r="G14" s="22">
        <f>IF(AND(ISNUMBER(F14),F14&gt;0),B14/F14,"")</f>
        <v>581.7058635328863</v>
      </c>
      <c r="H14" s="23">
        <f>IFERROR(B14/B13-1,"")</f>
        <v>1.141655350136051</v>
      </c>
      <c r="I14" s="24" t="inlineStr">
        <is>
          <t>Reported</t>
        </is>
      </c>
      <c r="J14" s="24" t="inlineStr">
        <is>
          <t>https://wits.worldbank.org/trade/comtrade/en/country/COL/year/2024/tradeflow/Imports/partner/ALL/product/271111</t>
        </is>
      </c>
      <c r="K14" s="24" t="inlineStr">
        <is>
          <t>https://wits.worldbank.org/trade/comtrade/en/country/COL/year/2024/tradeflow/Imports/partner/ALL/product/271121</t>
        </is>
      </c>
    </row>
    <row r="15" ht="42" customHeight="1">
      <c r="A15" s="13" t="n">
        <v>2025</v>
      </c>
      <c r="B15" s="14">
        <f>'Annual raw'!F19</f>
        <v>779203660</v>
      </c>
      <c r="C15" s="14">
        <f>'Annual raw'!F20</f>
        <v>27570</v>
      </c>
      <c r="D15" s="16">
        <f>IF(COUNT(B15:C15)=2,SUM(B15:C15),"")</f>
        <v>779231230</v>
      </c>
      <c r="E15" s="16">
        <f>B15/Settings!$B$8</f>
        <v>779.20366</v>
      </c>
      <c r="F15" s="16" t="str">
        <f>IF(ISNUMBER('Annual raw'!E19),'Annual raw'!E19/Settings!$B$9,"")</f>
      </c>
      <c r="G15" s="16" t="str">
        <f>IF(AND(ISNUMBER(F15),F15&gt;0),B15/F15,"")</f>
      </c>
      <c r="H15" s="25">
        <f>IFERROR(B15/B14-1,"")</f>
        <v>-0.1758353042362395</v>
      </c>
      <c r="I15" s="26" t="inlineStr">
        <is>
          <t>Missing in WITS; not zero</t>
        </is>
      </c>
      <c r="J15" s="18" t="inlineStr">
        <is>
          <t>https://wits.worldbank.org/trade/comtrade/en/country/COL/year/2025/tradeflow/Imports/partner/ALL/product/271111</t>
        </is>
      </c>
      <c r="K15" s="18" t="inlineStr">
        <is>
          <t>https://wits.worldbank.org/trade/comtrade/en/country/COL/year/2025/tradeflow/Imports/partner/ALL/product/271121</t>
        </is>
      </c>
    </row>
    <row r="18" ht="40" customHeight="1">
      <c r="A18" s="8" t="inlineStr">
        <is>
          <t>CIF is not FOB. The annual series alone cannot give an exact contribution to the FOB merchandise-trade balance. Unit values are customs ratios, not LNG spot prices.</t>
        </is>
      </c>
    </row>
  </sheetData>
  <mergeCells count="3">
    <mergeCell ref="A1:K1"/>
    <mergeCell ref="A2:K3"/>
    <mergeCell ref="A18:K18"/>
  </mergeCells>
  <printOptions horizontalCentered="1"/>
  <pageMargins left="0.75" right="0.75" top="1" bottom="1" header="0.5" footer="0.5"/>
  <pageSetup orientation="landscape" paperSize="8" fitToHeight="0" fitToWidth="1"/>
  <headerFooter>
    <oddHeader/>
    <oddFooter>&amp;CColombia natural gas | Sources and limitations inside workbook&amp;RPage &amp;P</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0"/>
    <pageSetUpPr fitToPage="1"/>
  </sheetPr>
  <dimension ref="A1:I20"/>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25" customWidth="1" min="3" max="3"/>
    <col width="26" customWidth="1" min="4" max="4"/>
    <col width="25" customWidth="1" min="5" max="5"/>
    <col width="23" customWidth="1" min="6" max="6"/>
    <col width="26" customWidth="1" min="7" max="7"/>
    <col width="75" customWidth="1" min="8" max="8"/>
    <col width="16" customWidth="1" min="9" max="9"/>
  </cols>
  <sheetData>
    <row r="1" ht="42" customHeight="1">
      <c r="A1" s="1" t="inlineStr">
        <is>
          <t>ANNUAL RAW | PUBLISHED WORLD TOTALS</t>
        </is>
      </c>
      <c r="B1" s="2" t="n"/>
      <c r="C1" s="2" t="n"/>
      <c r="D1" s="2" t="n"/>
      <c r="E1" s="2" t="n"/>
      <c r="F1" s="2" t="n"/>
      <c r="G1" s="2" t="n"/>
      <c r="H1" s="2" t="n"/>
      <c r="I1" s="2" t="n"/>
    </row>
    <row r="2" ht="26" customHeight="1">
      <c r="A2" s="3" t="inlineStr">
        <is>
          <t>Source values are displayed in US$ thousands on WITS. Converted dollars are formulas. Quantity is the WITS reported quantity field in kg; missing weights stay blank.</t>
        </is>
      </c>
    </row>
    <row r="3" ht="16" customHeight="1"/>
    <row r="6" ht="42" customHeight="1">
      <c r="A6" s="12" t="inlineStr">
        <is>
          <t>Year</t>
        </is>
      </c>
      <c r="B6" s="12" t="inlineStr">
        <is>
          <t>HS6</t>
        </is>
      </c>
      <c r="C6" s="12" t="inlineStr">
        <is>
          <t>Product</t>
        </is>
      </c>
      <c r="D6" s="12" t="inlineStr">
        <is>
          <t>Source value (US$ thousands)</t>
        </is>
      </c>
      <c r="E6" s="12" t="inlineStr">
        <is>
          <t>Reported quantity (kg)</t>
        </is>
      </c>
      <c r="F6" s="12" t="inlineStr">
        <is>
          <t>CIF value (US$)</t>
        </is>
      </c>
      <c r="G6" s="12" t="inlineStr">
        <is>
          <t>Quantity status</t>
        </is>
      </c>
      <c r="H6" s="12" t="inlineStr">
        <is>
          <t>Source URL</t>
        </is>
      </c>
      <c r="I6" s="12" t="inlineStr">
        <is>
          <t>Accessed</t>
        </is>
      </c>
    </row>
    <row r="7" ht="36" customHeight="1">
      <c r="A7" s="13" t="n">
        <v>2017</v>
      </c>
      <c r="B7" s="18" t="inlineStr">
        <is>
          <t>271111</t>
        </is>
      </c>
      <c r="C7" s="18" t="inlineStr">
        <is>
          <t>LNG</t>
        </is>
      </c>
      <c r="D7" s="14" t="n">
        <v>11925.93</v>
      </c>
      <c r="E7" s="27" t="n">
        <v>38942600</v>
      </c>
      <c r="F7" s="28">
        <f>D7*Settings!$B$7</f>
        <v>11925930</v>
      </c>
      <c r="G7" s="18" t="inlineStr">
        <is>
          <t>reported</t>
        </is>
      </c>
      <c r="H7" s="18" t="inlineStr">
        <is>
          <t>https://wits.worldbank.org/trade/comtrade/en/country/COL/year/2017/tradeflow/Imports/partner/ALL/product/271111</t>
        </is>
      </c>
      <c r="I7" s="18" t="inlineStr">
        <is>
          <t>2026-10-27</t>
        </is>
      </c>
    </row>
    <row r="8" ht="36" customHeight="1">
      <c r="A8" s="19" t="n">
        <v>2018</v>
      </c>
      <c r="B8" s="24" t="inlineStr">
        <is>
          <t>271111</t>
        </is>
      </c>
      <c r="C8" s="24" t="inlineStr">
        <is>
          <t>LNG</t>
        </is>
      </c>
      <c r="D8" s="20" t="n">
        <v>123747.36</v>
      </c>
      <c r="E8" s="29" t="n">
        <v>239638000</v>
      </c>
      <c r="F8" s="30">
        <f>D8*Settings!$B$7</f>
        <v>123747360</v>
      </c>
      <c r="G8" s="24" t="inlineStr">
        <is>
          <t>reported</t>
        </is>
      </c>
      <c r="H8" s="24" t="inlineStr">
        <is>
          <t>https://wits.worldbank.org/trade/comtrade/en/country/COL/year/2018/tradeflow/Imports/partner/ALL/product/271111</t>
        </is>
      </c>
      <c r="I8" s="24" t="inlineStr">
        <is>
          <t>2026-10-27</t>
        </is>
      </c>
    </row>
    <row r="9" ht="36" customHeight="1">
      <c r="A9" s="13" t="n">
        <v>2019</v>
      </c>
      <c r="B9" s="18" t="inlineStr">
        <is>
          <t>271111</t>
        </is>
      </c>
      <c r="C9" s="18" t="inlineStr">
        <is>
          <t>LNG</t>
        </is>
      </c>
      <c r="D9" s="14" t="n">
        <v>57044.06</v>
      </c>
      <c r="E9" s="31" t="n"/>
      <c r="F9" s="28">
        <f>D9*Settings!$B$7</f>
        <v>57044060</v>
      </c>
      <c r="G9" s="18" t="inlineStr">
        <is>
          <t>missing_not_zero</t>
        </is>
      </c>
      <c r="H9" s="18" t="inlineStr">
        <is>
          <t>https://wits.worldbank.org/trade/comtrade/en/country/COL/year/2019/tradeflow/Imports/partner/ALL/product/271111</t>
        </is>
      </c>
      <c r="I9" s="18" t="inlineStr">
        <is>
          <t>2026-10-27</t>
        </is>
      </c>
    </row>
    <row r="10" ht="36" customHeight="1">
      <c r="A10" s="19" t="n">
        <v>2020</v>
      </c>
      <c r="B10" s="24" t="inlineStr">
        <is>
          <t>271111</t>
        </is>
      </c>
      <c r="C10" s="24" t="inlineStr">
        <is>
          <t>LNG</t>
        </is>
      </c>
      <c r="D10" s="20" t="n">
        <v>59910.33</v>
      </c>
      <c r="E10" s="29" t="n">
        <v>296302000</v>
      </c>
      <c r="F10" s="30">
        <f>D10*Settings!$B$7</f>
        <v>59910330</v>
      </c>
      <c r="G10" s="24" t="inlineStr">
        <is>
          <t>reported</t>
        </is>
      </c>
      <c r="H10" s="24" t="inlineStr">
        <is>
          <t>https://wits.worldbank.org/trade/comtrade/en/country/COL/year/2020/tradeflow/Imports/partner/ALL/product/271111</t>
        </is>
      </c>
      <c r="I10" s="24" t="inlineStr">
        <is>
          <t>2026-10-27</t>
        </is>
      </c>
    </row>
    <row r="11" ht="36" customHeight="1">
      <c r="A11" s="13" t="n">
        <v>2021</v>
      </c>
      <c r="B11" s="18" t="inlineStr">
        <is>
          <t>271111</t>
        </is>
      </c>
      <c r="C11" s="18" t="inlineStr">
        <is>
          <t>LNG</t>
        </is>
      </c>
      <c r="D11" s="14" t="n">
        <v>27941.49</v>
      </c>
      <c r="E11" s="27" t="n">
        <v>44406000</v>
      </c>
      <c r="F11" s="28">
        <f>D11*Settings!$B$7</f>
        <v>27941490</v>
      </c>
      <c r="G11" s="18" t="inlineStr">
        <is>
          <t>reported</t>
        </is>
      </c>
      <c r="H11" s="18" t="inlineStr">
        <is>
          <t>https://wits.worldbank.org/trade/comtrade/en/country/COL/year/2021/tradeflow/Imports/partner/ALL/product/271111</t>
        </is>
      </c>
      <c r="I11" s="18" t="inlineStr">
        <is>
          <t>2026-10-27</t>
        </is>
      </c>
    </row>
    <row r="12" ht="36" customHeight="1">
      <c r="A12" s="19" t="n">
        <v>2021</v>
      </c>
      <c r="B12" s="24" t="inlineStr">
        <is>
          <t>271121</t>
        </is>
      </c>
      <c r="C12" s="24" t="inlineStr">
        <is>
          <t>Natural gas, gaseous</t>
        </is>
      </c>
      <c r="D12" s="20" t="n">
        <v>43.16</v>
      </c>
      <c r="E12" s="29" t="n">
        <v>3843</v>
      </c>
      <c r="F12" s="30">
        <f>D12*Settings!$B$7</f>
        <v>43160</v>
      </c>
      <c r="G12" s="24" t="inlineStr">
        <is>
          <t>reported</t>
        </is>
      </c>
      <c r="H12" s="24" t="inlineStr">
        <is>
          <t>https://wits.worldbank.org/trade/comtrade/en/country/COL/year/2021/tradeflow/Imports/partner/ALL/product/271121</t>
        </is>
      </c>
      <c r="I12" s="24" t="inlineStr">
        <is>
          <t>2026-10-27</t>
        </is>
      </c>
    </row>
    <row r="13" ht="36" customHeight="1">
      <c r="A13" s="13" t="n">
        <v>2022</v>
      </c>
      <c r="B13" s="18" t="inlineStr">
        <is>
          <t>271111</t>
        </is>
      </c>
      <c r="C13" s="18" t="inlineStr">
        <is>
          <t>LNG</t>
        </is>
      </c>
      <c r="D13" s="14" t="n">
        <v>87550.64</v>
      </c>
      <c r="E13" s="27" t="n">
        <v>60181000</v>
      </c>
      <c r="F13" s="28">
        <f>D13*Settings!$B$7</f>
        <v>87550640</v>
      </c>
      <c r="G13" s="18" t="inlineStr">
        <is>
          <t>reported</t>
        </is>
      </c>
      <c r="H13" s="18" t="inlineStr">
        <is>
          <t>https://wits.worldbank.org/trade/comtrade/en/country/COL/year/2022/tradeflow/Imports/partner/ALL/product/271111</t>
        </is>
      </c>
      <c r="I13" s="18" t="inlineStr">
        <is>
          <t>2026-10-27</t>
        </is>
      </c>
    </row>
    <row r="14" ht="36" customHeight="1">
      <c r="A14" s="19" t="n">
        <v>2022</v>
      </c>
      <c r="B14" s="24" t="inlineStr">
        <is>
          <t>271121</t>
        </is>
      </c>
      <c r="C14" s="24" t="inlineStr">
        <is>
          <t>Natural gas, gaseous</t>
        </is>
      </c>
      <c r="D14" s="20" t="n">
        <v>84.12</v>
      </c>
      <c r="E14" s="29" t="n">
        <v>4095</v>
      </c>
      <c r="F14" s="30">
        <f>D14*Settings!$B$7</f>
        <v>84120</v>
      </c>
      <c r="G14" s="24" t="inlineStr">
        <is>
          <t>reported</t>
        </is>
      </c>
      <c r="H14" s="24" t="inlineStr">
        <is>
          <t>https://wits.worldbank.org/trade/comtrade/en/country/COL/year/2022/tradeflow/Imports/partner/ALL/product/271121</t>
        </is>
      </c>
      <c r="I14" s="24" t="inlineStr">
        <is>
          <t>2026-10-27</t>
        </is>
      </c>
    </row>
    <row r="15" ht="36" customHeight="1">
      <c r="A15" s="13" t="n">
        <v>2023</v>
      </c>
      <c r="B15" s="18" t="inlineStr">
        <is>
          <t>271111</t>
        </is>
      </c>
      <c r="C15" s="18" t="inlineStr">
        <is>
          <t>LNG</t>
        </is>
      </c>
      <c r="D15" s="14" t="n">
        <v>441455.97</v>
      </c>
      <c r="E15" s="31" t="n"/>
      <c r="F15" s="28">
        <f>D15*Settings!$B$7</f>
        <v>441455970</v>
      </c>
      <c r="G15" s="18" t="inlineStr">
        <is>
          <t>missing_not_zero</t>
        </is>
      </c>
      <c r="H15" s="18" t="inlineStr">
        <is>
          <t>https://wits.worldbank.org/trade/comtrade/en/country/COL/year/2023/tradeflow/Imports/partner/ALL/product/271111</t>
        </is>
      </c>
      <c r="I15" s="18" t="inlineStr">
        <is>
          <t>2026-10-27</t>
        </is>
      </c>
    </row>
    <row r="16" ht="36" customHeight="1">
      <c r="A16" s="19" t="n">
        <v>2023</v>
      </c>
      <c r="B16" s="24" t="inlineStr">
        <is>
          <t>271121</t>
        </is>
      </c>
      <c r="C16" s="24" t="inlineStr">
        <is>
          <t>Natural gas, gaseous</t>
        </is>
      </c>
      <c r="D16" s="20" t="n">
        <v>4.93</v>
      </c>
      <c r="E16" s="29" t="n">
        <v>5995</v>
      </c>
      <c r="F16" s="30">
        <f>D16*Settings!$B$7</f>
        <v>4930</v>
      </c>
      <c r="G16" s="24" t="inlineStr">
        <is>
          <t>reported</t>
        </is>
      </c>
      <c r="H16" s="24" t="inlineStr">
        <is>
          <t>https://wits.worldbank.org/trade/comtrade/en/country/COL/year/2023/tradeflow/Imports/partner/ALL/product/271121</t>
        </is>
      </c>
      <c r="I16" s="24" t="inlineStr">
        <is>
          <t>2026-10-27</t>
        </is>
      </c>
    </row>
    <row r="17" ht="36" customHeight="1">
      <c r="A17" s="13" t="n">
        <v>2024</v>
      </c>
      <c r="B17" s="18" t="inlineStr">
        <is>
          <t>271111</t>
        </is>
      </c>
      <c r="C17" s="18" t="inlineStr">
        <is>
          <t>LNG</t>
        </is>
      </c>
      <c r="D17" s="14" t="n">
        <v>945446.54</v>
      </c>
      <c r="E17" s="27" t="n">
        <v>1625300000</v>
      </c>
      <c r="F17" s="28">
        <f>D17*Settings!$B$7</f>
        <v>945446540</v>
      </c>
      <c r="G17" s="18" t="inlineStr">
        <is>
          <t>reported</t>
        </is>
      </c>
      <c r="H17" s="18" t="inlineStr">
        <is>
          <t>https://wits.worldbank.org/trade/comtrade/en/country/COL/year/2024/tradeflow/Imports/partner/ALL/product/271111</t>
        </is>
      </c>
      <c r="I17" s="18" t="inlineStr">
        <is>
          <t>2026-10-27</t>
        </is>
      </c>
    </row>
    <row r="18" ht="36" customHeight="1">
      <c r="A18" s="19" t="n">
        <v>2024</v>
      </c>
      <c r="B18" s="24" t="inlineStr">
        <is>
          <t>271121</t>
        </is>
      </c>
      <c r="C18" s="24" t="inlineStr">
        <is>
          <t>Natural gas, gaseous</t>
        </is>
      </c>
      <c r="D18" s="20" t="n">
        <v>31.74</v>
      </c>
      <c r="E18" s="29" t="n">
        <v>935</v>
      </c>
      <c r="F18" s="30">
        <f>D18*Settings!$B$7</f>
        <v>31740</v>
      </c>
      <c r="G18" s="24" t="inlineStr">
        <is>
          <t>reported</t>
        </is>
      </c>
      <c r="H18" s="24" t="inlineStr">
        <is>
          <t>https://wits.worldbank.org/trade/comtrade/en/country/COL/year/2024/tradeflow/Imports/partner/ALL/product/271121</t>
        </is>
      </c>
      <c r="I18" s="24" t="inlineStr">
        <is>
          <t>2026-10-27</t>
        </is>
      </c>
    </row>
    <row r="19" ht="36" customHeight="1">
      <c r="A19" s="13" t="n">
        <v>2025</v>
      </c>
      <c r="B19" s="18" t="inlineStr">
        <is>
          <t>271111</t>
        </is>
      </c>
      <c r="C19" s="18" t="inlineStr">
        <is>
          <t>LNG</t>
        </is>
      </c>
      <c r="D19" s="14" t="n">
        <v>779203.66</v>
      </c>
      <c r="E19" s="31" t="n"/>
      <c r="F19" s="28">
        <f>D19*Settings!$B$7</f>
        <v>779203660</v>
      </c>
      <c r="G19" s="18" t="inlineStr">
        <is>
          <t>missing_not_zero</t>
        </is>
      </c>
      <c r="H19" s="18" t="inlineStr">
        <is>
          <t>https://wits.worldbank.org/trade/comtrade/en/country/COL/year/2025/tradeflow/Imports/partner/ALL/product/271111</t>
        </is>
      </c>
      <c r="I19" s="18" t="inlineStr">
        <is>
          <t>2026-10-27</t>
        </is>
      </c>
    </row>
    <row r="20" ht="36" customHeight="1">
      <c r="A20" s="19" t="n">
        <v>2025</v>
      </c>
      <c r="B20" s="24" t="inlineStr">
        <is>
          <t>271121</t>
        </is>
      </c>
      <c r="C20" s="24" t="inlineStr">
        <is>
          <t>Natural gas, gaseous</t>
        </is>
      </c>
      <c r="D20" s="20" t="n">
        <v>27.57</v>
      </c>
      <c r="E20" s="32" t="n"/>
      <c r="F20" s="30">
        <f>D20*Settings!$B$7</f>
        <v>27570</v>
      </c>
      <c r="G20" s="24" t="inlineStr">
        <is>
          <t>missing_not_zero</t>
        </is>
      </c>
      <c r="H20" s="24" t="inlineStr">
        <is>
          <t>https://wits.worldbank.org/trade/comtrade/en/country/COL/year/2025/tradeflow/Imports/partner/ALL/product/271121</t>
        </is>
      </c>
      <c r="I20" s="24" t="inlineStr">
        <is>
          <t>2026-10-27</t>
        </is>
      </c>
    </row>
  </sheetData>
  <mergeCells count="2">
    <mergeCell ref="A1:I1"/>
    <mergeCell ref="A2:I3"/>
  </mergeCells>
  <printOptions horizontalCentered="1"/>
  <pageMargins left="0.75" right="0.75" top="1" bottom="1" header="0.5" footer="0.5"/>
  <pageSetup orientation="landscape" paperSize="8" fitToHeight="0" fitToWidth="1"/>
  <headerFooter>
    <oddHeader/>
    <oddFooter>&amp;CColombia natural gas | Sources and limitations inside workbook&amp;RPage &amp;P</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0"/>
    <pageSetUpPr fitToPage="1"/>
  </sheetPr>
  <dimension ref="A1:J43"/>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25" customWidth="1" min="3" max="3"/>
    <col width="26" customWidth="1" min="4" max="4"/>
    <col width="26" customWidth="1" min="5" max="5"/>
    <col width="23" customWidth="1" min="6" max="6"/>
    <col width="25" customWidth="1" min="7" max="7"/>
    <col width="75" customWidth="1" min="8" max="8"/>
    <col width="75" customWidth="1" min="9" max="9"/>
    <col width="75" customWidth="1" min="10" max="10"/>
  </cols>
  <sheetData>
    <row r="1" ht="42" customHeight="1">
      <c r="A1" s="1" t="inlineStr">
        <is>
          <t>PARTNER DETAIL | ANNUAL IMPORTS</t>
        </is>
      </c>
      <c r="B1" s="2" t="n"/>
      <c r="C1" s="2" t="n"/>
      <c r="D1" s="2" t="n"/>
      <c r="E1" s="2" t="n"/>
      <c r="F1" s="2" t="n"/>
      <c r="G1" s="2" t="n"/>
      <c r="H1" s="2" t="n"/>
      <c r="I1" s="2" t="n"/>
      <c r="J1" s="2" t="n"/>
    </row>
    <row r="2" ht="26" customHeight="1">
      <c r="A2" s="3" t="inlineStr">
        <is>
          <t>Raw partner labels are preserved. The 2025 LNG analysis label for Tanzania is reconciled to Trinidad and Tobago using DANE, and is explicitly flagged. Do not infer liquefaction origin from partner labels.</t>
        </is>
      </c>
    </row>
    <row r="3" ht="16" customHeight="1"/>
    <row r="6" ht="42" customHeight="1">
      <c r="A6" s="12" t="inlineStr">
        <is>
          <t>Year</t>
        </is>
      </c>
      <c r="B6" s="12" t="inlineStr">
        <is>
          <t>HS6</t>
        </is>
      </c>
      <c r="C6" s="12" t="inlineStr">
        <is>
          <t>Partner reported</t>
        </is>
      </c>
      <c r="D6" s="12" t="inlineStr">
        <is>
          <t>Partner for analysis</t>
        </is>
      </c>
      <c r="E6" s="12" t="inlineStr">
        <is>
          <t>Source value (US$ thousands)</t>
        </is>
      </c>
      <c r="F6" s="12" t="inlineStr">
        <is>
          <t>CIF value (US$)</t>
        </is>
      </c>
      <c r="G6" s="12" t="inlineStr">
        <is>
          <t>Reported quantity (kg)</t>
        </is>
      </c>
      <c r="H6" s="12" t="inlineStr">
        <is>
          <t>Quality / reconciliation note</t>
        </is>
      </c>
      <c r="I6" s="12" t="inlineStr">
        <is>
          <t>Source URL</t>
        </is>
      </c>
      <c r="J6" s="12" t="inlineStr">
        <is>
          <t>Reconciliation URL</t>
        </is>
      </c>
    </row>
    <row r="7" ht="52" customHeight="1">
      <c r="A7" s="13" t="n">
        <v>2017</v>
      </c>
      <c r="B7" s="18" t="inlineStr">
        <is>
          <t>271111</t>
        </is>
      </c>
      <c r="C7" s="18" t="inlineStr">
        <is>
          <t>Switzerland</t>
        </is>
      </c>
      <c r="D7" s="18" t="inlineStr">
        <is>
          <t>Switzerland</t>
        </is>
      </c>
      <c r="E7" s="14" t="n">
        <v>11925.93</v>
      </c>
      <c r="F7" s="28">
        <f>E7*Settings!$B$7</f>
        <v>11925930</v>
      </c>
      <c r="G7" s="27" t="n">
        <v>38942600</v>
      </c>
      <c r="H7" s="18" t="inlineStr">
        <is>
          <t>Reported trade partner. Do not automatically interpret as liquefaction/production origin.</t>
        </is>
      </c>
      <c r="I7" s="18" t="inlineStr">
        <is>
          <t>https://wits.worldbank.org/trade/comtrade/en/country/COL/year/2017/tradeflow/Imports/partner/ALL/product/271111</t>
        </is>
      </c>
      <c r="J7" s="18" t="inlineStr"/>
    </row>
    <row r="8" ht="52" customHeight="1">
      <c r="A8" s="19" t="n">
        <v>2018</v>
      </c>
      <c r="B8" s="24" t="inlineStr">
        <is>
          <t>271111</t>
        </is>
      </c>
      <c r="C8" s="24" t="inlineStr">
        <is>
          <t>United States</t>
        </is>
      </c>
      <c r="D8" s="24" t="inlineStr">
        <is>
          <t>United States</t>
        </is>
      </c>
      <c r="E8" s="20" t="n">
        <v>39553.93</v>
      </c>
      <c r="F8" s="30">
        <f>E8*Settings!$B$7</f>
        <v>39553930</v>
      </c>
      <c r="G8" s="29" t="n">
        <v>69076600</v>
      </c>
      <c r="H8" s="24" t="inlineStr"/>
      <c r="I8" s="24" t="inlineStr">
        <is>
          <t>https://wits.worldbank.org/trade/comtrade/en/country/COL/year/2018/tradeflow/Imports/partner/ALL/product/271111</t>
        </is>
      </c>
      <c r="J8" s="24" t="inlineStr"/>
    </row>
    <row r="9" ht="52" customHeight="1">
      <c r="A9" s="13" t="n">
        <v>2018</v>
      </c>
      <c r="B9" s="18" t="inlineStr">
        <is>
          <t>271111</t>
        </is>
      </c>
      <c r="C9" s="18" t="inlineStr">
        <is>
          <t>Trinidad and Tobago</t>
        </is>
      </c>
      <c r="D9" s="18" t="inlineStr">
        <is>
          <t>Trinidad and Tobago</t>
        </is>
      </c>
      <c r="E9" s="14" t="n">
        <v>36711.02</v>
      </c>
      <c r="F9" s="28">
        <f>E9*Settings!$B$7</f>
        <v>36711020</v>
      </c>
      <c r="G9" s="27" t="n">
        <v>71101100</v>
      </c>
      <c r="H9" s="18" t="inlineStr"/>
      <c r="I9" s="18" t="inlineStr">
        <is>
          <t>https://wits.worldbank.org/trade/comtrade/en/country/COL/year/2018/tradeflow/Imports/partner/ALL/product/271111</t>
        </is>
      </c>
      <c r="J9" s="18" t="inlineStr"/>
    </row>
    <row r="10" ht="52" customHeight="1">
      <c r="A10" s="19" t="n">
        <v>2018</v>
      </c>
      <c r="B10" s="24" t="inlineStr">
        <is>
          <t>271111</t>
        </is>
      </c>
      <c r="C10" s="24" t="inlineStr">
        <is>
          <t>United Kingdom</t>
        </is>
      </c>
      <c r="D10" s="24" t="inlineStr">
        <is>
          <t>United Kingdom</t>
        </is>
      </c>
      <c r="E10" s="20" t="n">
        <v>32602.78</v>
      </c>
      <c r="F10" s="30">
        <f>E10*Settings!$B$7</f>
        <v>32602780</v>
      </c>
      <c r="G10" s="29" t="n">
        <v>68334300</v>
      </c>
      <c r="H10" s="24" t="inlineStr">
        <is>
          <t>Reported trade partner. Do not automatically interpret as liquefaction/production origin.</t>
        </is>
      </c>
      <c r="I10" s="24" t="inlineStr">
        <is>
          <t>https://wits.worldbank.org/trade/comtrade/en/country/COL/year/2018/tradeflow/Imports/partner/ALL/product/271111</t>
        </is>
      </c>
      <c r="J10" s="24" t="inlineStr"/>
    </row>
    <row r="11" ht="52" customHeight="1">
      <c r="A11" s="13" t="n">
        <v>2018</v>
      </c>
      <c r="B11" s="18" t="inlineStr">
        <is>
          <t>271111</t>
        </is>
      </c>
      <c r="C11" s="18" t="inlineStr">
        <is>
          <t>Switzerland</t>
        </is>
      </c>
      <c r="D11" s="18" t="inlineStr">
        <is>
          <t>Switzerland</t>
        </is>
      </c>
      <c r="E11" s="14" t="n">
        <v>14878.74</v>
      </c>
      <c r="F11" s="28">
        <f>E11*Settings!$B$7</f>
        <v>14878740</v>
      </c>
      <c r="G11" s="27" t="n">
        <v>31125900</v>
      </c>
      <c r="H11" s="18" t="inlineStr">
        <is>
          <t>Reported trade partner. Do not automatically interpret as liquefaction/production origin.</t>
        </is>
      </c>
      <c r="I11" s="18" t="inlineStr">
        <is>
          <t>https://wits.worldbank.org/trade/comtrade/en/country/COL/year/2018/tradeflow/Imports/partner/ALL/product/271111</t>
        </is>
      </c>
      <c r="J11" s="18" t="inlineStr"/>
    </row>
    <row r="12" ht="52" customHeight="1">
      <c r="A12" s="19" t="n">
        <v>2018</v>
      </c>
      <c r="B12" s="24" t="inlineStr">
        <is>
          <t>271111</t>
        </is>
      </c>
      <c r="C12" s="24" t="inlineStr">
        <is>
          <t>Peru</t>
        </is>
      </c>
      <c r="D12" s="24" t="inlineStr">
        <is>
          <t>Peru</t>
        </is>
      </c>
      <c r="E12" s="20" t="n">
        <v>0.9</v>
      </c>
      <c r="F12" s="30">
        <f>E12*Settings!$B$7</f>
        <v>900</v>
      </c>
      <c r="G12" s="29" t="n">
        <v>14</v>
      </c>
      <c r="H12" s="24" t="inlineStr"/>
      <c r="I12" s="24" t="inlineStr">
        <is>
          <t>https://wits.worldbank.org/trade/comtrade/en/country/COL/year/2018/tradeflow/Imports/partner/ALL/product/271111</t>
        </is>
      </c>
      <c r="J12" s="24" t="inlineStr"/>
    </row>
    <row r="13" ht="52" customHeight="1">
      <c r="A13" s="13" t="n">
        <v>2019</v>
      </c>
      <c r="B13" s="18" t="inlineStr">
        <is>
          <t>271111</t>
        </is>
      </c>
      <c r="C13" s="18" t="inlineStr">
        <is>
          <t>Ireland</t>
        </is>
      </c>
      <c r="D13" s="18" t="inlineStr">
        <is>
          <t>Ireland</t>
        </is>
      </c>
      <c r="E13" s="14" t="n">
        <v>27308.73</v>
      </c>
      <c r="F13" s="28">
        <f>E13*Settings!$B$7</f>
        <v>27308730</v>
      </c>
      <c r="G13" s="27" t="n">
        <v>66112400</v>
      </c>
      <c r="H13" s="18" t="inlineStr">
        <is>
          <t>Reported trade partner. Do not automatically interpret as liquefaction/production origin.</t>
        </is>
      </c>
      <c r="I13" s="18" t="inlineStr">
        <is>
          <t>https://wits.worldbank.org/trade/comtrade/en/country/COL/year/2019/tradeflow/Imports/partner/ALL/product/271111</t>
        </is>
      </c>
      <c r="J13" s="18" t="inlineStr"/>
    </row>
    <row r="14" ht="52" customHeight="1">
      <c r="A14" s="19" t="n">
        <v>2019</v>
      </c>
      <c r="B14" s="24" t="inlineStr">
        <is>
          <t>271111</t>
        </is>
      </c>
      <c r="C14" s="24" t="inlineStr">
        <is>
          <t>United States</t>
        </is>
      </c>
      <c r="D14" s="24" t="inlineStr">
        <is>
          <t>United States</t>
        </is>
      </c>
      <c r="E14" s="20" t="n">
        <v>21902.39</v>
      </c>
      <c r="F14" s="30">
        <f>E14*Settings!$B$7</f>
        <v>21902390</v>
      </c>
      <c r="G14" s="32" t="n"/>
      <c r="H14" s="24" t="inlineStr"/>
      <c r="I14" s="24" t="inlineStr">
        <is>
          <t>https://wits.worldbank.org/trade/comtrade/en/country/COL/year/2019/tradeflow/Imports/partner/ALL/product/271111</t>
        </is>
      </c>
      <c r="J14" s="24" t="inlineStr"/>
    </row>
    <row r="15" ht="52" customHeight="1">
      <c r="A15" s="13" t="n">
        <v>2019</v>
      </c>
      <c r="B15" s="18" t="inlineStr">
        <is>
          <t>271111</t>
        </is>
      </c>
      <c r="C15" s="18" t="inlineStr">
        <is>
          <t>Trinidad and Tobago</t>
        </is>
      </c>
      <c r="D15" s="18" t="inlineStr">
        <is>
          <t>Trinidad and Tobago</t>
        </is>
      </c>
      <c r="E15" s="14" t="n">
        <v>7832.93</v>
      </c>
      <c r="F15" s="28">
        <f>E15*Settings!$B$7</f>
        <v>7832930</v>
      </c>
      <c r="G15" s="27" t="n">
        <v>34111700</v>
      </c>
      <c r="H15" s="18" t="inlineStr"/>
      <c r="I15" s="18" t="inlineStr">
        <is>
          <t>https://wits.worldbank.org/trade/comtrade/en/country/COL/year/2019/tradeflow/Imports/partner/ALL/product/271111</t>
        </is>
      </c>
      <c r="J15" s="18" t="inlineStr"/>
    </row>
    <row r="16" ht="52" customHeight="1">
      <c r="A16" s="19" t="n">
        <v>2020</v>
      </c>
      <c r="B16" s="24" t="inlineStr">
        <is>
          <t>271111</t>
        </is>
      </c>
      <c r="C16" s="24" t="inlineStr">
        <is>
          <t>United Arab Emirates</t>
        </is>
      </c>
      <c r="D16" s="24" t="inlineStr">
        <is>
          <t>United Arab Emirates</t>
        </is>
      </c>
      <c r="E16" s="20" t="n">
        <v>21633.89</v>
      </c>
      <c r="F16" s="30">
        <f>E16*Settings!$B$7</f>
        <v>21633890</v>
      </c>
      <c r="G16" s="29" t="n">
        <v>116121000</v>
      </c>
      <c r="H16" s="24" t="inlineStr">
        <is>
          <t>Reported trade partner. Do not automatically interpret as liquefaction/production origin.</t>
        </is>
      </c>
      <c r="I16" s="24" t="inlineStr">
        <is>
          <t>https://wits.worldbank.org/trade/comtrade/en/country/COL/year/2020/tradeflow/Imports/partner/ALL/product/271111</t>
        </is>
      </c>
      <c r="J16" s="24" t="inlineStr"/>
    </row>
    <row r="17" ht="52" customHeight="1">
      <c r="A17" s="13" t="n">
        <v>2020</v>
      </c>
      <c r="B17" s="18" t="inlineStr">
        <is>
          <t>271111</t>
        </is>
      </c>
      <c r="C17" s="18" t="inlineStr">
        <is>
          <t>United Kingdom</t>
        </is>
      </c>
      <c r="D17" s="18" t="inlineStr">
        <is>
          <t>United Kingdom</t>
        </is>
      </c>
      <c r="E17" s="14" t="n">
        <v>20339.8</v>
      </c>
      <c r="F17" s="28">
        <f>E17*Settings!$B$7</f>
        <v>20339800</v>
      </c>
      <c r="G17" s="27" t="n">
        <v>88247200</v>
      </c>
      <c r="H17" s="18" t="inlineStr">
        <is>
          <t>Reported trade partner. Do not automatically interpret as liquefaction/production origin.</t>
        </is>
      </c>
      <c r="I17" s="18" t="inlineStr">
        <is>
          <t>https://wits.worldbank.org/trade/comtrade/en/country/COL/year/2020/tradeflow/Imports/partner/ALL/product/271111</t>
        </is>
      </c>
      <c r="J17" s="18" t="inlineStr"/>
    </row>
    <row r="18" ht="52" customHeight="1">
      <c r="A18" s="19" t="n">
        <v>2020</v>
      </c>
      <c r="B18" s="24" t="inlineStr">
        <is>
          <t>271111</t>
        </is>
      </c>
      <c r="C18" s="24" t="inlineStr">
        <is>
          <t>Trinidad and Tobago</t>
        </is>
      </c>
      <c r="D18" s="24" t="inlineStr">
        <is>
          <t>Trinidad and Tobago</t>
        </is>
      </c>
      <c r="E18" s="20" t="n">
        <v>13410.35</v>
      </c>
      <c r="F18" s="30">
        <f>E18*Settings!$B$7</f>
        <v>13410350</v>
      </c>
      <c r="G18" s="29" t="n">
        <v>70111100</v>
      </c>
      <c r="H18" s="24" t="inlineStr"/>
      <c r="I18" s="24" t="inlineStr">
        <is>
          <t>https://wits.worldbank.org/trade/comtrade/en/country/COL/year/2020/tradeflow/Imports/partner/ALL/product/271111</t>
        </is>
      </c>
      <c r="J18" s="24" t="inlineStr"/>
    </row>
    <row r="19" ht="52" customHeight="1">
      <c r="A19" s="13" t="n">
        <v>2020</v>
      </c>
      <c r="B19" s="18" t="inlineStr">
        <is>
          <t>271111</t>
        </is>
      </c>
      <c r="C19" s="18" t="inlineStr">
        <is>
          <t>United States</t>
        </is>
      </c>
      <c r="D19" s="18" t="inlineStr">
        <is>
          <t>United States</t>
        </is>
      </c>
      <c r="E19" s="14" t="n">
        <v>2972.81</v>
      </c>
      <c r="F19" s="28">
        <f>E19*Settings!$B$7</f>
        <v>2972810</v>
      </c>
      <c r="G19" s="27" t="n">
        <v>10708100</v>
      </c>
      <c r="H19" s="18" t="inlineStr"/>
      <c r="I19" s="18" t="inlineStr">
        <is>
          <t>https://wits.worldbank.org/trade/comtrade/en/country/COL/year/2020/tradeflow/Imports/partner/ALL/product/271111</t>
        </is>
      </c>
      <c r="J19" s="18" t="inlineStr"/>
    </row>
    <row r="20" ht="52" customHeight="1">
      <c r="A20" s="19" t="n">
        <v>2020</v>
      </c>
      <c r="B20" s="24" t="inlineStr">
        <is>
          <t>271111</t>
        </is>
      </c>
      <c r="C20" s="24" t="inlineStr">
        <is>
          <t>Switzerland</t>
        </is>
      </c>
      <c r="D20" s="24" t="inlineStr">
        <is>
          <t>Switzerland</t>
        </is>
      </c>
      <c r="E20" s="20" t="n">
        <v>1553.47</v>
      </c>
      <c r="F20" s="30">
        <f>E20*Settings!$B$7</f>
        <v>1553470</v>
      </c>
      <c r="G20" s="29" t="n">
        <v>11114600</v>
      </c>
      <c r="H20" s="24" t="inlineStr">
        <is>
          <t>Reported trade partner. Do not automatically interpret as liquefaction/production origin.</t>
        </is>
      </c>
      <c r="I20" s="24" t="inlineStr">
        <is>
          <t>https://wits.worldbank.org/trade/comtrade/en/country/COL/year/2020/tradeflow/Imports/partner/ALL/product/271111</t>
        </is>
      </c>
      <c r="J20" s="24" t="inlineStr"/>
    </row>
    <row r="21" ht="52" customHeight="1">
      <c r="A21" s="13" t="n">
        <v>2021</v>
      </c>
      <c r="B21" s="18" t="inlineStr">
        <is>
          <t>271111</t>
        </is>
      </c>
      <c r="C21" s="18" t="inlineStr">
        <is>
          <t>United States</t>
        </is>
      </c>
      <c r="D21" s="18" t="inlineStr">
        <is>
          <t>United States</t>
        </is>
      </c>
      <c r="E21" s="14" t="n">
        <v>14510.52</v>
      </c>
      <c r="F21" s="28">
        <f>E21*Settings!$B$7</f>
        <v>14510520</v>
      </c>
      <c r="G21" s="27" t="n">
        <v>18165700</v>
      </c>
      <c r="H21" s="18" t="inlineStr"/>
      <c r="I21" s="18" t="inlineStr">
        <is>
          <t>https://wits.worldbank.org/trade/comtrade/en/country/COL/year/2021/tradeflow/Imports/partner/ALL/product/271111</t>
        </is>
      </c>
      <c r="J21" s="18" t="inlineStr"/>
    </row>
    <row r="22" ht="52" customHeight="1">
      <c r="A22" s="19" t="n">
        <v>2021</v>
      </c>
      <c r="B22" s="24" t="inlineStr">
        <is>
          <t>271111</t>
        </is>
      </c>
      <c r="C22" s="24" t="inlineStr">
        <is>
          <t>United Kingdom</t>
        </is>
      </c>
      <c r="D22" s="24" t="inlineStr">
        <is>
          <t>United Kingdom</t>
        </is>
      </c>
      <c r="E22" s="20" t="n">
        <v>13422.46</v>
      </c>
      <c r="F22" s="30">
        <f>E22*Settings!$B$7</f>
        <v>13422460</v>
      </c>
      <c r="G22" s="29" t="n">
        <v>26237900</v>
      </c>
      <c r="H22" s="24" t="inlineStr">
        <is>
          <t>Reported trade partner. Do not automatically interpret as liquefaction/production origin.</t>
        </is>
      </c>
      <c r="I22" s="24" t="inlineStr">
        <is>
          <t>https://wits.worldbank.org/trade/comtrade/en/country/COL/year/2021/tradeflow/Imports/partner/ALL/product/271111</t>
        </is>
      </c>
      <c r="J22" s="24" t="inlineStr"/>
    </row>
    <row r="23" ht="52" customHeight="1">
      <c r="A23" s="13" t="n">
        <v>2021</v>
      </c>
      <c r="B23" s="18" t="inlineStr">
        <is>
          <t>271111</t>
        </is>
      </c>
      <c r="C23" s="18" t="inlineStr">
        <is>
          <t>Canada</t>
        </is>
      </c>
      <c r="D23" s="18" t="inlineStr">
        <is>
          <t>Canada</t>
        </is>
      </c>
      <c r="E23" s="14" t="n">
        <v>4.46</v>
      </c>
      <c r="F23" s="28">
        <f>E23*Settings!$B$7</f>
        <v>4460</v>
      </c>
      <c r="G23" s="27" t="n">
        <v>517</v>
      </c>
      <c r="H23" s="18" t="inlineStr"/>
      <c r="I23" s="18" t="inlineStr">
        <is>
          <t>https://wits.worldbank.org/trade/comtrade/en/country/COL/year/2021/tradeflow/Imports/partner/ALL/product/271111</t>
        </is>
      </c>
      <c r="J23" s="18" t="inlineStr"/>
    </row>
    <row r="24" ht="52" customHeight="1">
      <c r="A24" s="19" t="n">
        <v>2021</v>
      </c>
      <c r="B24" s="24" t="inlineStr">
        <is>
          <t>271111</t>
        </is>
      </c>
      <c r="C24" s="24" t="inlineStr">
        <is>
          <t>Bolivia</t>
        </is>
      </c>
      <c r="D24" s="24" t="inlineStr">
        <is>
          <t>Bolivia</t>
        </is>
      </c>
      <c r="E24" s="20" t="n">
        <v>4.05</v>
      </c>
      <c r="F24" s="30">
        <f>E24*Settings!$B$7</f>
        <v>4050</v>
      </c>
      <c r="G24" s="29" t="n">
        <v>1815</v>
      </c>
      <c r="H24" s="24" t="inlineStr"/>
      <c r="I24" s="24" t="inlineStr">
        <is>
          <t>https://wits.worldbank.org/trade/comtrade/en/country/COL/year/2021/tradeflow/Imports/partner/ALL/product/271111</t>
        </is>
      </c>
      <c r="J24" s="24" t="inlineStr"/>
    </row>
    <row r="25" ht="52" customHeight="1">
      <c r="A25" s="13" t="n">
        <v>2021</v>
      </c>
      <c r="B25" s="18" t="inlineStr">
        <is>
          <t>271121</t>
        </is>
      </c>
      <c r="C25" s="18" t="inlineStr">
        <is>
          <t>United States</t>
        </is>
      </c>
      <c r="D25" s="18" t="inlineStr">
        <is>
          <t>United States</t>
        </is>
      </c>
      <c r="E25" s="14" t="n">
        <v>29.64</v>
      </c>
      <c r="F25" s="28">
        <f>E25*Settings!$B$7</f>
        <v>29640</v>
      </c>
      <c r="G25" s="27" t="n">
        <v>837</v>
      </c>
      <c r="H25" s="18" t="inlineStr"/>
      <c r="I25" s="18" t="inlineStr">
        <is>
          <t>https://wits.worldbank.org/trade/comtrade/en/country/COL/year/2021/tradeflow/Imports/partner/ALL/product/271121</t>
        </is>
      </c>
      <c r="J25" s="18" t="inlineStr"/>
    </row>
    <row r="26" ht="52" customHeight="1">
      <c r="A26" s="19" t="n">
        <v>2021</v>
      </c>
      <c r="B26" s="24" t="inlineStr">
        <is>
          <t>271121</t>
        </is>
      </c>
      <c r="C26" s="24" t="inlineStr">
        <is>
          <t>China</t>
        </is>
      </c>
      <c r="D26" s="24" t="inlineStr">
        <is>
          <t>China</t>
        </is>
      </c>
      <c r="E26" s="20" t="n">
        <v>13.51</v>
      </c>
      <c r="F26" s="30">
        <f>E26*Settings!$B$7</f>
        <v>13510</v>
      </c>
      <c r="G26" s="29" t="n">
        <v>3006</v>
      </c>
      <c r="H26" s="24" t="inlineStr"/>
      <c r="I26" s="24" t="inlineStr">
        <is>
          <t>https://wits.worldbank.org/trade/comtrade/en/country/COL/year/2021/tradeflow/Imports/partner/ALL/product/271121</t>
        </is>
      </c>
      <c r="J26" s="24" t="inlineStr"/>
    </row>
    <row r="27" ht="52" customHeight="1">
      <c r="A27" s="13" t="n">
        <v>2022</v>
      </c>
      <c r="B27" s="18" t="inlineStr">
        <is>
          <t>271111</t>
        </is>
      </c>
      <c r="C27" s="18" t="inlineStr">
        <is>
          <t>United States</t>
        </is>
      </c>
      <c r="D27" s="18" t="inlineStr">
        <is>
          <t>United States</t>
        </is>
      </c>
      <c r="E27" s="14" t="n">
        <v>87550.64</v>
      </c>
      <c r="F27" s="28">
        <f>E27*Settings!$B$7</f>
        <v>87550640</v>
      </c>
      <c r="G27" s="27" t="n">
        <v>60181000</v>
      </c>
      <c r="H27" s="18" t="inlineStr"/>
      <c r="I27" s="18" t="inlineStr">
        <is>
          <t>https://wits.worldbank.org/trade/comtrade/en/country/COL/year/2022/tradeflow/Imports/partner/ALL/product/271111</t>
        </is>
      </c>
      <c r="J27" s="18" t="inlineStr"/>
    </row>
    <row r="28" ht="52" customHeight="1">
      <c r="A28" s="19" t="n">
        <v>2022</v>
      </c>
      <c r="B28" s="24" t="inlineStr">
        <is>
          <t>271121</t>
        </is>
      </c>
      <c r="C28" s="24" t="inlineStr">
        <is>
          <t>United States</t>
        </is>
      </c>
      <c r="D28" s="24" t="inlineStr">
        <is>
          <t>United States</t>
        </is>
      </c>
      <c r="E28" s="20" t="n">
        <v>75.04000000000001</v>
      </c>
      <c r="F28" s="30">
        <f>E28*Settings!$B$7</f>
        <v>75040</v>
      </c>
      <c r="G28" s="29" t="n">
        <v>1724</v>
      </c>
      <c r="H28" s="24" t="inlineStr"/>
      <c r="I28" s="24" t="inlineStr">
        <is>
          <t>https://wits.worldbank.org/trade/comtrade/en/country/COL/year/2022/tradeflow/Imports/partner/ALL/product/271121</t>
        </is>
      </c>
      <c r="J28" s="24" t="inlineStr"/>
    </row>
    <row r="29" ht="52" customHeight="1">
      <c r="A29" s="13" t="n">
        <v>2022</v>
      </c>
      <c r="B29" s="18" t="inlineStr">
        <is>
          <t>271121</t>
        </is>
      </c>
      <c r="C29" s="18" t="inlineStr">
        <is>
          <t>China</t>
        </is>
      </c>
      <c r="D29" s="18" t="inlineStr">
        <is>
          <t>China</t>
        </is>
      </c>
      <c r="E29" s="14" t="n">
        <v>9.08</v>
      </c>
      <c r="F29" s="28">
        <f>E29*Settings!$B$7</f>
        <v>9080</v>
      </c>
      <c r="G29" s="27" t="n">
        <v>2370</v>
      </c>
      <c r="H29" s="18" t="inlineStr"/>
      <c r="I29" s="18" t="inlineStr">
        <is>
          <t>https://wits.worldbank.org/trade/comtrade/en/country/COL/year/2022/tradeflow/Imports/partner/ALL/product/271121</t>
        </is>
      </c>
      <c r="J29" s="18" t="inlineStr"/>
    </row>
    <row r="30" ht="52" customHeight="1">
      <c r="A30" s="19" t="n">
        <v>2023</v>
      </c>
      <c r="B30" s="24" t="inlineStr">
        <is>
          <t>271111</t>
        </is>
      </c>
      <c r="C30" s="24" t="inlineStr">
        <is>
          <t>United States</t>
        </is>
      </c>
      <c r="D30" s="24" t="inlineStr">
        <is>
          <t>United States</t>
        </is>
      </c>
      <c r="E30" s="20" t="n">
        <v>410852.09</v>
      </c>
      <c r="F30" s="30">
        <f>E30*Settings!$B$7</f>
        <v>410852090</v>
      </c>
      <c r="G30" s="29" t="n">
        <v>587226000</v>
      </c>
      <c r="H30" s="24" t="inlineStr"/>
      <c r="I30" s="24" t="inlineStr">
        <is>
          <t>https://wits.worldbank.org/trade/comtrade/en/country/COL/year/2023/tradeflow/Imports/partner/ALL/product/271111</t>
        </is>
      </c>
      <c r="J30" s="24" t="inlineStr"/>
    </row>
    <row r="31" ht="52" customHeight="1">
      <c r="A31" s="13" t="n">
        <v>2023</v>
      </c>
      <c r="B31" s="18" t="inlineStr">
        <is>
          <t>271111</t>
        </is>
      </c>
      <c r="C31" s="18" t="inlineStr">
        <is>
          <t>Trinidad and Tobago</t>
        </is>
      </c>
      <c r="D31" s="18" t="inlineStr">
        <is>
          <t>Trinidad and Tobago</t>
        </is>
      </c>
      <c r="E31" s="14" t="n">
        <v>30603.01</v>
      </c>
      <c r="F31" s="28">
        <f>E31*Settings!$B$7</f>
        <v>30603010</v>
      </c>
      <c r="G31" s="27" t="n">
        <v>38373800</v>
      </c>
      <c r="H31" s="18" t="inlineStr"/>
      <c r="I31" s="18" t="inlineStr">
        <is>
          <t>https://wits.worldbank.org/trade/comtrade/en/country/COL/year/2023/tradeflow/Imports/partner/ALL/product/271111</t>
        </is>
      </c>
      <c r="J31" s="18" t="inlineStr"/>
    </row>
    <row r="32" ht="52" customHeight="1">
      <c r="A32" s="19" t="n">
        <v>2023</v>
      </c>
      <c r="B32" s="24" t="inlineStr">
        <is>
          <t>271111</t>
        </is>
      </c>
      <c r="C32" s="24" t="inlineStr">
        <is>
          <t>United Kingdom</t>
        </is>
      </c>
      <c r="D32" s="24" t="inlineStr">
        <is>
          <t>United Kingdom</t>
        </is>
      </c>
      <c r="E32" s="20" t="n">
        <v>0.87</v>
      </c>
      <c r="F32" s="30">
        <f>E32*Settings!$B$7</f>
        <v>870</v>
      </c>
      <c r="G32" s="32" t="n"/>
      <c r="H32" s="24" t="inlineStr">
        <is>
          <t>Reported trade partner. Do not automatically interpret as liquefaction/production origin.</t>
        </is>
      </c>
      <c r="I32" s="24" t="inlineStr">
        <is>
          <t>https://wits.worldbank.org/trade/comtrade/en/country/COL/year/2023/tradeflow/Imports/partner/ALL/product/271111</t>
        </is>
      </c>
      <c r="J32" s="24" t="inlineStr"/>
    </row>
    <row r="33" ht="52" customHeight="1">
      <c r="A33" s="13" t="n">
        <v>2023</v>
      </c>
      <c r="B33" s="18" t="inlineStr">
        <is>
          <t>271121</t>
        </is>
      </c>
      <c r="C33" s="18" t="inlineStr">
        <is>
          <t>United States</t>
        </is>
      </c>
      <c r="D33" s="18" t="inlineStr">
        <is>
          <t>United States</t>
        </is>
      </c>
      <c r="E33" s="14" t="n">
        <v>4.93</v>
      </c>
      <c r="F33" s="28">
        <f>E33*Settings!$B$7</f>
        <v>4930</v>
      </c>
      <c r="G33" s="27" t="n">
        <v>5995</v>
      </c>
      <c r="H33" s="18" t="inlineStr"/>
      <c r="I33" s="18" t="inlineStr">
        <is>
          <t>https://wits.worldbank.org/trade/comtrade/en/country/COL/year/2023/tradeflow/Imports/partner/ALL/product/271121</t>
        </is>
      </c>
      <c r="J33" s="18" t="inlineStr"/>
    </row>
    <row r="34" ht="52" customHeight="1">
      <c r="A34" s="19" t="n">
        <v>2024</v>
      </c>
      <c r="B34" s="24" t="inlineStr">
        <is>
          <t>271111</t>
        </is>
      </c>
      <c r="C34" s="24" t="inlineStr">
        <is>
          <t>United States</t>
        </is>
      </c>
      <c r="D34" s="24" t="inlineStr">
        <is>
          <t>United States</t>
        </is>
      </c>
      <c r="E34" s="20" t="n">
        <v>771978.25</v>
      </c>
      <c r="F34" s="30">
        <f>E34*Settings!$B$7</f>
        <v>771978250</v>
      </c>
      <c r="G34" s="29" t="n">
        <v>1383020000</v>
      </c>
      <c r="H34" s="24" t="inlineStr"/>
      <c r="I34" s="24" t="inlineStr">
        <is>
          <t>https://wits.worldbank.org/trade/comtrade/en/country/COL/year/2024/tradeflow/Imports/partner/ALL/product/271111</t>
        </is>
      </c>
      <c r="J34" s="24" t="inlineStr"/>
    </row>
    <row r="35" ht="52" customHeight="1">
      <c r="A35" s="13" t="n">
        <v>2024</v>
      </c>
      <c r="B35" s="18" t="inlineStr">
        <is>
          <t>271111</t>
        </is>
      </c>
      <c r="C35" s="18" t="inlineStr">
        <is>
          <t>Trinidad and Tobago</t>
        </is>
      </c>
      <c r="D35" s="18" t="inlineStr">
        <is>
          <t>Trinidad and Tobago</t>
        </is>
      </c>
      <c r="E35" s="14" t="n">
        <v>134542.94</v>
      </c>
      <c r="F35" s="28">
        <f>E35*Settings!$B$7</f>
        <v>134542940</v>
      </c>
      <c r="G35" s="27" t="n">
        <v>192276000</v>
      </c>
      <c r="H35" s="18" t="inlineStr"/>
      <c r="I35" s="18" t="inlineStr">
        <is>
          <t>https://wits.worldbank.org/trade/comtrade/en/country/COL/year/2024/tradeflow/Imports/partner/ALL/product/271111</t>
        </is>
      </c>
      <c r="J35" s="18" t="inlineStr"/>
    </row>
    <row r="36" ht="52" customHeight="1">
      <c r="A36" s="19" t="n">
        <v>2024</v>
      </c>
      <c r="B36" s="24" t="inlineStr">
        <is>
          <t>271111</t>
        </is>
      </c>
      <c r="C36" s="24" t="inlineStr">
        <is>
          <t>United Kingdom</t>
        </is>
      </c>
      <c r="D36" s="24" t="inlineStr">
        <is>
          <t>United Kingdom</t>
        </is>
      </c>
      <c r="E36" s="20" t="n">
        <v>38925.35</v>
      </c>
      <c r="F36" s="30">
        <f>E36*Settings!$B$7</f>
        <v>38925350</v>
      </c>
      <c r="G36" s="29" t="n">
        <v>50000800</v>
      </c>
      <c r="H36" s="24" t="inlineStr">
        <is>
          <t>Reported trade partner. Do not automatically interpret as liquefaction/production origin.</t>
        </is>
      </c>
      <c r="I36" s="24" t="inlineStr">
        <is>
          <t>https://wits.worldbank.org/trade/comtrade/en/country/COL/year/2024/tradeflow/Imports/partner/ALL/product/271111</t>
        </is>
      </c>
      <c r="J36" s="24" t="inlineStr"/>
    </row>
    <row r="37" ht="52" customHeight="1">
      <c r="A37" s="13" t="n">
        <v>2024</v>
      </c>
      <c r="B37" s="18" t="inlineStr">
        <is>
          <t>271121</t>
        </is>
      </c>
      <c r="C37" s="18" t="inlineStr">
        <is>
          <t>United States</t>
        </is>
      </c>
      <c r="D37" s="18" t="inlineStr">
        <is>
          <t>United States</t>
        </is>
      </c>
      <c r="E37" s="14" t="n">
        <v>25.29</v>
      </c>
      <c r="F37" s="28">
        <f>E37*Settings!$B$7</f>
        <v>25290</v>
      </c>
      <c r="G37" s="27" t="n">
        <v>392</v>
      </c>
      <c r="H37" s="18" t="inlineStr"/>
      <c r="I37" s="18" t="inlineStr">
        <is>
          <t>https://wits.worldbank.org/trade/comtrade/en/country/COL/year/2024/tradeflow/Imports/partner/ALL/product/271121</t>
        </is>
      </c>
      <c r="J37" s="18" t="inlineStr"/>
    </row>
    <row r="38" ht="52" customHeight="1">
      <c r="A38" s="19" t="n">
        <v>2024</v>
      </c>
      <c r="B38" s="24" t="inlineStr">
        <is>
          <t>271121</t>
        </is>
      </c>
      <c r="C38" s="24" t="inlineStr">
        <is>
          <t>Unspecified</t>
        </is>
      </c>
      <c r="D38" s="24" t="inlineStr">
        <is>
          <t>Unspecified</t>
        </is>
      </c>
      <c r="E38" s="20" t="n">
        <v>6.45</v>
      </c>
      <c r="F38" s="30">
        <f>E38*Settings!$B$7</f>
        <v>6450</v>
      </c>
      <c r="G38" s="29" t="n">
        <v>543</v>
      </c>
      <c r="H38" s="24" t="inlineStr"/>
      <c r="I38" s="24" t="inlineStr">
        <is>
          <t>https://wits.worldbank.org/trade/comtrade/en/country/COL/year/2024/tradeflow/Imports/partner/ALL/product/271121</t>
        </is>
      </c>
      <c r="J38" s="24" t="inlineStr"/>
    </row>
    <row r="39" ht="52" customHeight="1">
      <c r="A39" s="13" t="n">
        <v>2025</v>
      </c>
      <c r="B39" s="18" t="inlineStr">
        <is>
          <t>271111</t>
        </is>
      </c>
      <c r="C39" s="33" t="inlineStr">
        <is>
          <t>Tanzania</t>
        </is>
      </c>
      <c r="D39" s="33" t="inlineStr">
        <is>
          <t>Trinidad and Tobago</t>
        </is>
      </c>
      <c r="E39" s="14" t="n">
        <v>390808.22</v>
      </c>
      <c r="F39" s="28">
        <f>E39*Settings!$B$7</f>
        <v>390808220</v>
      </c>
      <c r="G39" s="27" t="n">
        <v>597442000</v>
      </c>
      <c r="H39" s="33" t="inlineStr">
        <is>
          <t>Raw WITS label Tanzania retained. Analysis label reconciled to DANE Dec-2025 p11 (US$390.8m). This is an analyst reconciliation, not an upstream correction.</t>
        </is>
      </c>
      <c r="I39" s="18" t="inlineStr">
        <is>
          <t>https://wits.worldbank.org/trade/comtrade/en/country/COL/year/2025/tradeflow/Imports/partner/ALL/product/271111</t>
        </is>
      </c>
      <c r="J39" s="18" t="inlineStr">
        <is>
          <t>https://www.dane.gov.co/files/operaciones/IMP/bol-IMP-dic2025.pdf</t>
        </is>
      </c>
    </row>
    <row r="40" ht="52" customHeight="1">
      <c r="A40" s="19" t="n">
        <v>2025</v>
      </c>
      <c r="B40" s="24" t="inlineStr">
        <is>
          <t>271111</t>
        </is>
      </c>
      <c r="C40" s="24" t="inlineStr">
        <is>
          <t>United States</t>
        </is>
      </c>
      <c r="D40" s="24" t="inlineStr">
        <is>
          <t>United States</t>
        </is>
      </c>
      <c r="E40" s="20" t="n">
        <v>388390.81</v>
      </c>
      <c r="F40" s="30">
        <f>E40*Settings!$B$7</f>
        <v>388390810</v>
      </c>
      <c r="G40" s="32" t="n"/>
      <c r="H40" s="24" t="inlineStr"/>
      <c r="I40" s="24" t="inlineStr">
        <is>
          <t>https://wits.worldbank.org/trade/comtrade/en/country/COL/year/2025/tradeflow/Imports/partner/ALL/product/271111</t>
        </is>
      </c>
      <c r="J40" s="24" t="inlineStr"/>
    </row>
    <row r="41" ht="52" customHeight="1">
      <c r="A41" s="13" t="n">
        <v>2025</v>
      </c>
      <c r="B41" s="18" t="inlineStr">
        <is>
          <t>271111</t>
        </is>
      </c>
      <c r="C41" s="18" t="inlineStr">
        <is>
          <t>United Kingdom</t>
        </is>
      </c>
      <c r="D41" s="18" t="inlineStr">
        <is>
          <t>United Kingdom</t>
        </is>
      </c>
      <c r="E41" s="14" t="n">
        <v>4.63</v>
      </c>
      <c r="F41" s="28">
        <f>E41*Settings!$B$7</f>
        <v>4630</v>
      </c>
      <c r="G41" s="27" t="n">
        <v>6939</v>
      </c>
      <c r="H41" s="18" t="inlineStr">
        <is>
          <t>Reported trade partner. Do not automatically interpret as liquefaction/production origin.</t>
        </is>
      </c>
      <c r="I41" s="18" t="inlineStr">
        <is>
          <t>https://wits.worldbank.org/trade/comtrade/en/country/COL/year/2025/tradeflow/Imports/partner/ALL/product/271111</t>
        </is>
      </c>
      <c r="J41" s="18" t="inlineStr"/>
    </row>
    <row r="42" ht="52" customHeight="1">
      <c r="A42" s="19" t="n">
        <v>2025</v>
      </c>
      <c r="B42" s="24" t="inlineStr">
        <is>
          <t>271121</t>
        </is>
      </c>
      <c r="C42" s="24" t="inlineStr">
        <is>
          <t>United States</t>
        </is>
      </c>
      <c r="D42" s="24" t="inlineStr">
        <is>
          <t>United States</t>
        </is>
      </c>
      <c r="E42" s="20" t="n">
        <v>25.28</v>
      </c>
      <c r="F42" s="30">
        <f>E42*Settings!$B$7</f>
        <v>25280</v>
      </c>
      <c r="G42" s="32" t="n"/>
      <c r="H42" s="24" t="inlineStr"/>
      <c r="I42" s="24" t="inlineStr">
        <is>
          <t>https://wits.worldbank.org/trade/comtrade/en/country/COL/year/2025/tradeflow/Imports/partner/ALL/product/271121</t>
        </is>
      </c>
      <c r="J42" s="24" t="inlineStr"/>
    </row>
    <row r="43" ht="52" customHeight="1">
      <c r="A43" s="13" t="n">
        <v>2025</v>
      </c>
      <c r="B43" s="18" t="inlineStr">
        <is>
          <t>271121</t>
        </is>
      </c>
      <c r="C43" s="18" t="inlineStr">
        <is>
          <t>Australia</t>
        </is>
      </c>
      <c r="D43" s="18" t="inlineStr">
        <is>
          <t>Australia</t>
        </is>
      </c>
      <c r="E43" s="14" t="n">
        <v>2.29</v>
      </c>
      <c r="F43" s="28">
        <f>E43*Settings!$B$7</f>
        <v>2290</v>
      </c>
      <c r="G43" s="31" t="n"/>
      <c r="H43" s="18" t="inlineStr"/>
      <c r="I43" s="18" t="inlineStr">
        <is>
          <t>https://wits.worldbank.org/trade/comtrade/en/country/COL/year/2025/tradeflow/Imports/partner/ALL/product/271121</t>
        </is>
      </c>
      <c r="J43" s="18" t="inlineStr"/>
    </row>
  </sheetData>
  <mergeCells count="2">
    <mergeCell ref="A1:J1"/>
    <mergeCell ref="A2:J3"/>
  </mergeCells>
  <printOptions horizontalCentered="1"/>
  <pageMargins left="0.75" right="0.75" top="1" bottom="1" header="0.5" footer="0.5"/>
  <pageSetup orientation="landscape" paperSize="8" fitToHeight="0" fitToWidth="1"/>
  <headerFooter>
    <oddHeader/>
    <oddFooter>&amp;CColombia natural gas | Sources and limitations inside workbook&amp;RPage &amp;P</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0"/>
    <pageSetUpPr fitToPage="1"/>
  </sheetPr>
  <dimension ref="A1:M25"/>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25" customWidth="1" min="3" max="3"/>
    <col width="25" customWidth="1" min="4" max="4"/>
    <col width="25" customWidth="1" min="5" max="5"/>
    <col width="18" customWidth="1" min="6" max="6"/>
    <col width="29" customWidth="1" min="7" max="7"/>
    <col width="27" customWidth="1" min="8" max="8"/>
    <col width="25" customWidth="1" min="9" max="9"/>
    <col width="16" customWidth="1" min="10" max="10"/>
    <col width="28" customWidth="1" min="11" max="11"/>
    <col width="25" customWidth="1" min="12" max="12"/>
    <col width="70" customWidth="1" min="13" max="13"/>
  </cols>
  <sheetData>
    <row r="1" ht="42" customHeight="1">
      <c r="A1" s="1" t="inlineStr">
        <is>
          <t>BMC | VISIBLE FORWARD SCENARIO</t>
        </is>
      </c>
      <c r="B1" s="2" t="n"/>
      <c r="C1" s="2" t="n"/>
      <c r="D1" s="2" t="n"/>
      <c r="E1" s="2" t="n"/>
      <c r="F1" s="2" t="n"/>
      <c r="G1" s="2" t="n"/>
      <c r="H1" s="2" t="n"/>
      <c r="I1" s="2" t="n"/>
      <c r="J1" s="2" t="n"/>
      <c r="K1" s="2" t="n"/>
      <c r="L1" s="2" t="n"/>
      <c r="M1" s="2" t="n"/>
    </row>
    <row r="2" ht="26" customHeight="1">
      <c r="A2" s="3" t="inlineStr">
        <is>
          <t>Exact table cells from the user screenshot: UPME + OEF XM. This is total supply versus demand, NOT projected LNG imports. Yellow domestic-supply inputs are intentionally blank; price is an illustrative assumption.</t>
        </is>
      </c>
    </row>
    <row r="3" ht="16" customHeight="1"/>
    <row r="6" ht="42" customHeight="1">
      <c r="A6" s="12" t="inlineStr">
        <is>
          <t>Month</t>
        </is>
      </c>
      <c r="B6" s="12" t="inlineStr">
        <is>
          <t>Supply (MBtu/day)</t>
        </is>
      </c>
      <c r="C6" s="12" t="inlineStr">
        <is>
          <t>Demand projection (MBtu/day)</t>
        </is>
      </c>
      <c r="D6" s="12" t="inlineStr">
        <is>
          <t>Published margin (MBtu/day)</t>
        </is>
      </c>
      <c r="E6" s="12" t="inlineStr">
        <is>
          <t>Calculated margin (MBtu/day)</t>
        </is>
      </c>
      <c r="F6" s="12" t="inlineStr">
        <is>
          <t>Margin check</t>
        </is>
      </c>
      <c r="G6" s="12" t="inlineStr">
        <is>
          <t>Usable domestic supply (input, MBtu/day)</t>
        </is>
      </c>
      <c r="H6" s="12" t="inlineStr">
        <is>
          <t>Residual import need (MBtu/day)</t>
        </is>
      </c>
      <c r="I6" s="12" t="inlineStr">
        <is>
          <t>Border LNG price (US$/MMBtu)</t>
        </is>
      </c>
      <c r="J6" s="12" t="inlineStr">
        <is>
          <t>Days in month</t>
        </is>
      </c>
      <c r="K6" s="12" t="inlineStr">
        <is>
          <t>Indicative monthly LNG bill (US$ million)</t>
        </is>
      </c>
      <c r="L6" s="12" t="inlineStr">
        <is>
          <t>Scenario</t>
        </is>
      </c>
      <c r="M6" s="12" t="inlineStr">
        <is>
          <t>Source / provenance</t>
        </is>
      </c>
    </row>
    <row r="7" ht="40" customHeight="1">
      <c r="A7" s="34" t="n">
        <v>46296</v>
      </c>
      <c r="B7" s="27" t="n">
        <v>1144175</v>
      </c>
      <c r="C7" s="27" t="n">
        <v>1205885</v>
      </c>
      <c r="D7" s="27" t="n">
        <v>-61710</v>
      </c>
      <c r="E7" s="35">
        <f>B7-C7</f>
        <v>-61710</v>
      </c>
      <c r="F7" s="36" t="str">
        <f>IF(E7=D7,"PASS","REVIEW")</f>
        <v>PASS</v>
      </c>
      <c r="G7" s="37" t="n"/>
      <c r="H7" s="35" t="str">
        <f>IF(ISNUMBER(G7),MAX(0,C7-G7),"")</f>
      </c>
      <c r="I7" s="38">
        <f>Settings!$B$10</f>
        <v>12</v>
      </c>
      <c r="J7" s="35">
        <f>DAY(EOMONTH(A7,0))</f>
        <v>31</v>
      </c>
      <c r="K7" s="16" t="str">
        <f>IF(AND(ISNUMBER(G7),G7&gt;=0),H7*I7*J7/Settings!$B$8,"")</f>
      </c>
      <c r="L7" s="18" t="inlineStr">
        <is>
          <t>UPME + OEF XM</t>
        </is>
      </c>
      <c r="M7" s="18" t="inlineStr">
        <is>
          <t>User screenshot: exact visible table; https://www.bmcbec.com.co/</t>
        </is>
      </c>
    </row>
    <row r="8" ht="40" customHeight="1">
      <c r="A8" s="39" t="n">
        <v>46327</v>
      </c>
      <c r="B8" s="29" t="n">
        <v>1257285</v>
      </c>
      <c r="C8" s="29" t="n">
        <v>1184705</v>
      </c>
      <c r="D8" s="29" t="n">
        <v>72580</v>
      </c>
      <c r="E8" s="40">
        <f>B8-C8</f>
        <v>72580</v>
      </c>
      <c r="F8" s="41" t="str">
        <f>IF(E8=D8,"PASS","REVIEW")</f>
        <v>PASS</v>
      </c>
      <c r="G8" s="37" t="n"/>
      <c r="H8" s="40" t="str">
        <f>IF(ISNUMBER(G8),MAX(0,C8-G8),"")</f>
      </c>
      <c r="I8" s="42">
        <f>Settings!$B$10</f>
        <v>12</v>
      </c>
      <c r="J8" s="40">
        <f>DAY(EOMONTH(A8,0))</f>
        <v>30</v>
      </c>
      <c r="K8" s="22" t="str">
        <f>IF(AND(ISNUMBER(G8),G8&gt;=0),H8*I8*J8/Settings!$B$8,"")</f>
      </c>
      <c r="L8" s="24" t="inlineStr">
        <is>
          <t>UPME + OEF XM</t>
        </is>
      </c>
      <c r="M8" s="24" t="inlineStr">
        <is>
          <t>User screenshot: exact visible table; https://www.bmcbec.com.co/</t>
        </is>
      </c>
    </row>
    <row r="9" ht="40" customHeight="1">
      <c r="A9" s="34" t="n">
        <v>46357</v>
      </c>
      <c r="B9" s="27" t="n">
        <v>1245033</v>
      </c>
      <c r="C9" s="27" t="n">
        <v>1293349</v>
      </c>
      <c r="D9" s="27" t="n">
        <v>-48316</v>
      </c>
      <c r="E9" s="35">
        <f>B9-C9</f>
        <v>-48316</v>
      </c>
      <c r="F9" s="36" t="str">
        <f>IF(E9=D9,"PASS","REVIEW")</f>
        <v>PASS</v>
      </c>
      <c r="G9" s="37" t="n"/>
      <c r="H9" s="35" t="str">
        <f>IF(ISNUMBER(G9),MAX(0,C9-G9),"")</f>
      </c>
      <c r="I9" s="38">
        <f>Settings!$B$10</f>
        <v>12</v>
      </c>
      <c r="J9" s="35">
        <f>DAY(EOMONTH(A9,0))</f>
        <v>31</v>
      </c>
      <c r="K9" s="16" t="str">
        <f>IF(AND(ISNUMBER(G9),G9&gt;=0),H9*I9*J9/Settings!$B$8,"")</f>
      </c>
      <c r="L9" s="18" t="inlineStr">
        <is>
          <t>UPME + OEF XM</t>
        </is>
      </c>
      <c r="M9" s="18" t="inlineStr">
        <is>
          <t>User screenshot: exact visible table; https://www.bmcbec.com.co/</t>
        </is>
      </c>
    </row>
    <row r="10" ht="40" customHeight="1">
      <c r="A10" s="39" t="n">
        <v>46388</v>
      </c>
      <c r="B10" s="29" t="n">
        <v>1234062</v>
      </c>
      <c r="C10" s="29" t="n">
        <v>1282217</v>
      </c>
      <c r="D10" s="29" t="n">
        <v>-48155</v>
      </c>
      <c r="E10" s="40">
        <f>B10-C10</f>
        <v>-48155</v>
      </c>
      <c r="F10" s="41" t="str">
        <f>IF(E10=D10,"PASS","REVIEW")</f>
        <v>PASS</v>
      </c>
      <c r="G10" s="37" t="n"/>
      <c r="H10" s="40" t="str">
        <f>IF(ISNUMBER(G10),MAX(0,C10-G10),"")</f>
      </c>
      <c r="I10" s="42">
        <f>Settings!$B$10</f>
        <v>12</v>
      </c>
      <c r="J10" s="40">
        <f>DAY(EOMONTH(A10,0))</f>
        <v>31</v>
      </c>
      <c r="K10" s="22" t="str">
        <f>IF(AND(ISNUMBER(G10),G10&gt;=0),H10*I10*J10/Settings!$B$8,"")</f>
      </c>
      <c r="L10" s="24" t="inlineStr">
        <is>
          <t>UPME + OEF XM</t>
        </is>
      </c>
      <c r="M10" s="24" t="inlineStr">
        <is>
          <t>User screenshot: exact visible table; https://www.bmcbec.com.co/</t>
        </is>
      </c>
    </row>
    <row r="11" ht="40" customHeight="1">
      <c r="A11" s="34" t="n">
        <v>46419</v>
      </c>
      <c r="B11" s="27" t="n">
        <v>1261486</v>
      </c>
      <c r="C11" s="27" t="n">
        <v>1301626</v>
      </c>
      <c r="D11" s="27" t="n">
        <v>-40140</v>
      </c>
      <c r="E11" s="35">
        <f>B11-C11</f>
        <v>-40140</v>
      </c>
      <c r="F11" s="36" t="str">
        <f>IF(E11=D11,"PASS","REVIEW")</f>
        <v>PASS</v>
      </c>
      <c r="G11" s="37" t="n"/>
      <c r="H11" s="35" t="str">
        <f>IF(ISNUMBER(G11),MAX(0,C11-G11),"")</f>
      </c>
      <c r="I11" s="38">
        <f>Settings!$B$10</f>
        <v>12</v>
      </c>
      <c r="J11" s="35">
        <f>DAY(EOMONTH(A11,0))</f>
        <v>28</v>
      </c>
      <c r="K11" s="16" t="str">
        <f>IF(AND(ISNUMBER(G11),G11&gt;=0),H11*I11*J11/Settings!$B$8,"")</f>
      </c>
      <c r="L11" s="18" t="inlineStr">
        <is>
          <t>UPME + OEF XM</t>
        </is>
      </c>
      <c r="M11" s="18" t="inlineStr">
        <is>
          <t>User screenshot: exact visible table; https://www.bmcbec.com.co/</t>
        </is>
      </c>
    </row>
    <row r="12" ht="40" customHeight="1">
      <c r="A12" s="39" t="n">
        <v>46447</v>
      </c>
      <c r="B12" s="29" t="n">
        <v>1268968</v>
      </c>
      <c r="C12" s="29" t="n">
        <v>1317922</v>
      </c>
      <c r="D12" s="29" t="n">
        <v>-48954</v>
      </c>
      <c r="E12" s="40">
        <f>B12-C12</f>
        <v>-48954</v>
      </c>
      <c r="F12" s="41" t="str">
        <f>IF(E12=D12,"PASS","REVIEW")</f>
        <v>PASS</v>
      </c>
      <c r="G12" s="37" t="n"/>
      <c r="H12" s="40" t="str">
        <f>IF(ISNUMBER(G12),MAX(0,C12-G12),"")</f>
      </c>
      <c r="I12" s="42">
        <f>Settings!$B$10</f>
        <v>12</v>
      </c>
      <c r="J12" s="40">
        <f>DAY(EOMONTH(A12,0))</f>
        <v>31</v>
      </c>
      <c r="K12" s="22" t="str">
        <f>IF(AND(ISNUMBER(G12),G12&gt;=0),H12*I12*J12/Settings!$B$8,"")</f>
      </c>
      <c r="L12" s="24" t="inlineStr">
        <is>
          <t>UPME + OEF XM</t>
        </is>
      </c>
      <c r="M12" s="24" t="inlineStr">
        <is>
          <t>User screenshot: exact visible table; https://www.bmcbec.com.co/</t>
        </is>
      </c>
    </row>
    <row r="13" ht="40" customHeight="1">
      <c r="A13" s="34" t="n">
        <v>46478</v>
      </c>
      <c r="B13" s="27" t="n">
        <v>1267109</v>
      </c>
      <c r="C13" s="27" t="n">
        <v>1104530</v>
      </c>
      <c r="D13" s="27" t="n">
        <v>162579</v>
      </c>
      <c r="E13" s="35">
        <f>B13-C13</f>
        <v>162579</v>
      </c>
      <c r="F13" s="36" t="str">
        <f>IF(E13=D13,"PASS","REVIEW")</f>
        <v>PASS</v>
      </c>
      <c r="G13" s="37" t="n"/>
      <c r="H13" s="35" t="str">
        <f>IF(ISNUMBER(G13),MAX(0,C13-G13),"")</f>
      </c>
      <c r="I13" s="38">
        <f>Settings!$B$10</f>
        <v>12</v>
      </c>
      <c r="J13" s="35">
        <f>DAY(EOMONTH(A13,0))</f>
        <v>30</v>
      </c>
      <c r="K13" s="16" t="str">
        <f>IF(AND(ISNUMBER(G13),G13&gt;=0),H13*I13*J13/Settings!$B$8,"")</f>
      </c>
      <c r="L13" s="18" t="inlineStr">
        <is>
          <t>UPME + OEF XM</t>
        </is>
      </c>
      <c r="M13" s="18" t="inlineStr">
        <is>
          <t>User screenshot: exact visible table; https://www.bmcbec.com.co/</t>
        </is>
      </c>
    </row>
    <row r="14" ht="40" customHeight="1">
      <c r="A14" s="39" t="n">
        <v>46508</v>
      </c>
      <c r="B14" s="29" t="n">
        <v>1263599</v>
      </c>
      <c r="C14" s="29" t="n">
        <v>1089386</v>
      </c>
      <c r="D14" s="29" t="n">
        <v>174213</v>
      </c>
      <c r="E14" s="40">
        <f>B14-C14</f>
        <v>174213</v>
      </c>
      <c r="F14" s="41" t="str">
        <f>IF(E14=D14,"PASS","REVIEW")</f>
        <v>PASS</v>
      </c>
      <c r="G14" s="37" t="n"/>
      <c r="H14" s="40" t="str">
        <f>IF(ISNUMBER(G14),MAX(0,C14-G14),"")</f>
      </c>
      <c r="I14" s="42">
        <f>Settings!$B$10</f>
        <v>12</v>
      </c>
      <c r="J14" s="40">
        <f>DAY(EOMONTH(A14,0))</f>
        <v>31</v>
      </c>
      <c r="K14" s="22" t="str">
        <f>IF(AND(ISNUMBER(G14),G14&gt;=0),H14*I14*J14/Settings!$B$8,"")</f>
      </c>
      <c r="L14" s="24" t="inlineStr">
        <is>
          <t>UPME + OEF XM</t>
        </is>
      </c>
      <c r="M14" s="24" t="inlineStr">
        <is>
          <t>User screenshot: exact visible table; https://www.bmcbec.com.co/</t>
        </is>
      </c>
    </row>
    <row r="15" ht="40" customHeight="1">
      <c r="A15" s="34" t="n">
        <v>46539</v>
      </c>
      <c r="B15" s="27" t="n">
        <v>1267572</v>
      </c>
      <c r="C15" s="27" t="n">
        <v>1186340</v>
      </c>
      <c r="D15" s="27" t="n">
        <v>81232</v>
      </c>
      <c r="E15" s="35">
        <f>B15-C15</f>
        <v>81232</v>
      </c>
      <c r="F15" s="36" t="str">
        <f>IF(E15=D15,"PASS","REVIEW")</f>
        <v>PASS</v>
      </c>
      <c r="G15" s="37" t="n"/>
      <c r="H15" s="35" t="str">
        <f>IF(ISNUMBER(G15),MAX(0,C15-G15),"")</f>
      </c>
      <c r="I15" s="38">
        <f>Settings!$B$10</f>
        <v>12</v>
      </c>
      <c r="J15" s="35">
        <f>DAY(EOMONTH(A15,0))</f>
        <v>30</v>
      </c>
      <c r="K15" s="16" t="str">
        <f>IF(AND(ISNUMBER(G15),G15&gt;=0),H15*I15*J15/Settings!$B$8,"")</f>
      </c>
      <c r="L15" s="18" t="inlineStr">
        <is>
          <t>UPME + OEF XM</t>
        </is>
      </c>
      <c r="M15" s="18" t="inlineStr">
        <is>
          <t>User screenshot: exact visible table; https://www.bmcbec.com.co/</t>
        </is>
      </c>
    </row>
    <row r="16" ht="40" customHeight="1">
      <c r="A16" s="39" t="n">
        <v>46569</v>
      </c>
      <c r="B16" s="29" t="n">
        <v>1277866</v>
      </c>
      <c r="C16" s="29" t="n">
        <v>1133719</v>
      </c>
      <c r="D16" s="29" t="n">
        <v>144147</v>
      </c>
      <c r="E16" s="40">
        <f>B16-C16</f>
        <v>144147</v>
      </c>
      <c r="F16" s="41" t="str">
        <f>IF(E16=D16,"PASS","REVIEW")</f>
        <v>PASS</v>
      </c>
      <c r="G16" s="37" t="n"/>
      <c r="H16" s="40" t="str">
        <f>IF(ISNUMBER(G16),MAX(0,C16-G16),"")</f>
      </c>
      <c r="I16" s="42">
        <f>Settings!$B$10</f>
        <v>12</v>
      </c>
      <c r="J16" s="40">
        <f>DAY(EOMONTH(A16,0))</f>
        <v>31</v>
      </c>
      <c r="K16" s="22" t="str">
        <f>IF(AND(ISNUMBER(G16),G16&gt;=0),H16*I16*J16/Settings!$B$8,"")</f>
      </c>
      <c r="L16" s="24" t="inlineStr">
        <is>
          <t>UPME + OEF XM</t>
        </is>
      </c>
      <c r="M16" s="24" t="inlineStr">
        <is>
          <t>User screenshot: exact visible table; https://www.bmcbec.com.co/</t>
        </is>
      </c>
    </row>
    <row r="17" ht="40" customHeight="1">
      <c r="A17" s="34" t="n">
        <v>46600</v>
      </c>
      <c r="B17" s="27" t="n">
        <v>1281951</v>
      </c>
      <c r="C17" s="27" t="n">
        <v>1127004</v>
      </c>
      <c r="D17" s="27" t="n">
        <v>154947</v>
      </c>
      <c r="E17" s="35">
        <f>B17-C17</f>
        <v>154947</v>
      </c>
      <c r="F17" s="36" t="str">
        <f>IF(E17=D17,"PASS","REVIEW")</f>
        <v>PASS</v>
      </c>
      <c r="G17" s="37" t="n"/>
      <c r="H17" s="35" t="str">
        <f>IF(ISNUMBER(G17),MAX(0,C17-G17),"")</f>
      </c>
      <c r="I17" s="38">
        <f>Settings!$B$10</f>
        <v>12</v>
      </c>
      <c r="J17" s="35">
        <f>DAY(EOMONTH(A17,0))</f>
        <v>31</v>
      </c>
      <c r="K17" s="16" t="str">
        <f>IF(AND(ISNUMBER(G17),G17&gt;=0),H17*I17*J17/Settings!$B$8,"")</f>
      </c>
      <c r="L17" s="18" t="inlineStr">
        <is>
          <t>UPME + OEF XM</t>
        </is>
      </c>
      <c r="M17" s="18" t="inlineStr">
        <is>
          <t>User screenshot: exact visible table; https://www.bmcbec.com.co/</t>
        </is>
      </c>
    </row>
    <row r="18" ht="40" customHeight="1">
      <c r="A18" s="39" t="n">
        <v>46631</v>
      </c>
      <c r="B18" s="29" t="n">
        <v>1282211</v>
      </c>
      <c r="C18" s="29" t="n">
        <v>989533</v>
      </c>
      <c r="D18" s="29" t="n">
        <v>292678</v>
      </c>
      <c r="E18" s="40">
        <f>B18-C18</f>
        <v>292678</v>
      </c>
      <c r="F18" s="41" t="str">
        <f>IF(E18=D18,"PASS","REVIEW")</f>
        <v>PASS</v>
      </c>
      <c r="G18" s="37" t="n"/>
      <c r="H18" s="40" t="str">
        <f>IF(ISNUMBER(G18),MAX(0,C18-G18),"")</f>
      </c>
      <c r="I18" s="42">
        <f>Settings!$B$10</f>
        <v>12</v>
      </c>
      <c r="J18" s="40">
        <f>DAY(EOMONTH(A18,0))</f>
        <v>30</v>
      </c>
      <c r="K18" s="22" t="str">
        <f>IF(AND(ISNUMBER(G18),G18&gt;=0),H18*I18*J18/Settings!$B$8,"")</f>
      </c>
      <c r="L18" s="24" t="inlineStr">
        <is>
          <t>UPME + OEF XM</t>
        </is>
      </c>
      <c r="M18" s="24" t="inlineStr">
        <is>
          <t>User screenshot: exact visible table; https://www.bmcbec.com.co/</t>
        </is>
      </c>
    </row>
    <row r="19" ht="40" customHeight="1">
      <c r="A19" s="34" t="n">
        <v>46661</v>
      </c>
      <c r="B19" s="27" t="n">
        <v>1306595</v>
      </c>
      <c r="C19" s="27" t="n">
        <v>1031228</v>
      </c>
      <c r="D19" s="27" t="n">
        <v>275367</v>
      </c>
      <c r="E19" s="35">
        <f>B19-C19</f>
        <v>275367</v>
      </c>
      <c r="F19" s="36" t="str">
        <f>IF(E19=D19,"PASS","REVIEW")</f>
        <v>PASS</v>
      </c>
      <c r="G19" s="37" t="n"/>
      <c r="H19" s="35" t="str">
        <f>IF(ISNUMBER(G19),MAX(0,C19-G19),"")</f>
      </c>
      <c r="I19" s="38">
        <f>Settings!$B$10</f>
        <v>12</v>
      </c>
      <c r="J19" s="35">
        <f>DAY(EOMONTH(A19,0))</f>
        <v>31</v>
      </c>
      <c r="K19" s="16" t="str">
        <f>IF(AND(ISNUMBER(G19),G19&gt;=0),H19*I19*J19/Settings!$B$8,"")</f>
      </c>
      <c r="L19" s="18" t="inlineStr">
        <is>
          <t>UPME + OEF XM</t>
        </is>
      </c>
      <c r="M19" s="18" t="inlineStr">
        <is>
          <t>User screenshot: exact visible table; https://www.bmcbec.com.co/</t>
        </is>
      </c>
    </row>
    <row r="20" ht="40" customHeight="1">
      <c r="A20" s="39" t="n">
        <v>46692</v>
      </c>
      <c r="B20" s="29" t="n">
        <v>1312109</v>
      </c>
      <c r="C20" s="29" t="n">
        <v>986976</v>
      </c>
      <c r="D20" s="29" t="n">
        <v>325133</v>
      </c>
      <c r="E20" s="40">
        <f>B20-C20</f>
        <v>325133</v>
      </c>
      <c r="F20" s="41" t="str">
        <f>IF(E20=D20,"PASS","REVIEW")</f>
        <v>PASS</v>
      </c>
      <c r="G20" s="37" t="n"/>
      <c r="H20" s="40" t="str">
        <f>IF(ISNUMBER(G20),MAX(0,C20-G20),"")</f>
      </c>
      <c r="I20" s="42">
        <f>Settings!$B$10</f>
        <v>12</v>
      </c>
      <c r="J20" s="40">
        <f>DAY(EOMONTH(A20,0))</f>
        <v>30</v>
      </c>
      <c r="K20" s="22" t="str">
        <f>IF(AND(ISNUMBER(G20),G20&gt;=0),H20*I20*J20/Settings!$B$8,"")</f>
      </c>
      <c r="L20" s="24" t="inlineStr">
        <is>
          <t>UPME + OEF XM</t>
        </is>
      </c>
      <c r="M20" s="24" t="inlineStr">
        <is>
          <t>User screenshot: exact visible table; https://www.bmcbec.com.co/</t>
        </is>
      </c>
    </row>
    <row r="23" ht="40" customHeight="1">
      <c r="A23" s="8" t="inlineStr">
        <is>
          <t>Residual import need = max(0, demand - usable domestic supply). It is uncapped demand for imported gas, not contracted cargoes. Total supply in column B already includes import-related components; never enter B into G.</t>
        </is>
      </c>
    </row>
    <row r="25" ht="40" customHeight="1">
      <c r="A25" s="8" t="inlineStr">
        <is>
          <t>Only the 14 displayed rows were transcribed. No 2028 values or terminal-specific volumes were guessed from the stacked bars. Scenario prices and actual customs costs remain separate.</t>
        </is>
      </c>
    </row>
  </sheetData>
  <mergeCells count="4">
    <mergeCell ref="A25:M25"/>
    <mergeCell ref="A2:M3"/>
    <mergeCell ref="A1:M1"/>
    <mergeCell ref="A23:M23"/>
  </mergeCells>
  <conditionalFormatting sqref="D7:E20">
    <cfRule type="cellIs" priority="1" operator="lessThan" dxfId="0">
      <formula>0</formula>
    </cfRule>
  </conditionalFormatting>
  <dataValidations count="1">
    <dataValidation sqref="G7:G20" showDropDown="0" showInputMessage="0" showErrorMessage="1" allowBlank="1" error="Enter non-negative usable domestic supply only, excluding imports." type="decimal" operator="greaterThanOrEqual">
      <formula1>0</formula1>
    </dataValidation>
  </dataValidations>
  <printOptions horizontalCentered="1"/>
  <pageMargins left="0.75" right="0.75" top="1" bottom="1" header="0.5" footer="0.5"/>
  <pageSetup orientation="landscape" paperSize="8" fitToHeight="0" fitToWidth="1"/>
  <headerFooter>
    <oddHeader/>
    <oddFooter>&amp;CColombia natural gas | Sources and limitations inside workbook&amp;RPage &amp;P</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0"/>
    <pageSetUpPr fitToPage="1"/>
  </sheetPr>
  <dimension ref="A1:H11"/>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7" customWidth="1" min="1" max="1"/>
    <col width="27" customWidth="1" min="2" max="2"/>
    <col width="26" customWidth="1" min="3" max="3"/>
    <col width="26" customWidth="1" min="4" max="4"/>
    <col width="25" customWidth="1" min="5" max="5"/>
    <col width="59" customWidth="1" min="6" max="6"/>
    <col width="75" customWidth="1" min="7" max="7"/>
    <col width="15" customWidth="1" min="8" max="8"/>
  </cols>
  <sheetData>
    <row r="1" ht="42" customHeight="1">
      <c r="A1" s="1" t="inlineStr">
        <is>
          <t>SELECTED MONTHLY | NOT NATIONAL TOTALS</t>
        </is>
      </c>
      <c r="B1" s="2" t="n"/>
      <c r="C1" s="2" t="n"/>
      <c r="D1" s="2" t="n"/>
      <c r="E1" s="2" t="n"/>
      <c r="F1" s="2" t="n"/>
      <c r="G1" s="2" t="n"/>
      <c r="H1" s="2" t="n"/>
    </row>
    <row r="2" ht="26" customHeight="1">
      <c r="A2" s="3" t="inlineStr">
        <is>
          <t>Only two LNG observations for Trinidad and Tobago from DANE August 2026 bulletin, p. 9. These are provisional, rounded and partner-specific; they are NOT a complete monthly series.</t>
        </is>
      </c>
    </row>
    <row r="3" ht="16" customHeight="1"/>
    <row r="6" ht="42" customHeight="1">
      <c r="A6" s="12" t="inlineStr">
        <is>
          <t>Month</t>
        </is>
      </c>
      <c r="B6" s="12" t="inlineStr">
        <is>
          <t>Origin partner</t>
        </is>
      </c>
      <c r="C6" s="12" t="inlineStr">
        <is>
          <t>Product label</t>
        </is>
      </c>
      <c r="D6" s="12" t="inlineStr">
        <is>
          <t>CIF value (US$ million)</t>
        </is>
      </c>
      <c r="E6" s="12" t="inlineStr">
        <is>
          <t>CIF value (US$)</t>
        </is>
      </c>
      <c r="F6" s="12" t="inlineStr">
        <is>
          <t>Coverage</t>
        </is>
      </c>
      <c r="G6" s="12" t="inlineStr">
        <is>
          <t>Source URL</t>
        </is>
      </c>
      <c r="H6" s="12" t="inlineStr">
        <is>
          <t>Source page</t>
        </is>
      </c>
    </row>
    <row r="7" ht="45" customHeight="1">
      <c r="A7" s="34" t="n">
        <v>45870</v>
      </c>
      <c r="B7" s="18" t="inlineStr">
        <is>
          <t>Trinidad and Tobago</t>
        </is>
      </c>
      <c r="C7" s="18" t="inlineStr">
        <is>
          <t>Gas natural licuado</t>
        </is>
      </c>
      <c r="D7" s="43" t="n">
        <v>21.4</v>
      </c>
      <c r="E7" s="16">
        <f>D7*Settings!$B$8</f>
        <v>21400000</v>
      </c>
      <c r="F7" s="18" t="inlineStr">
        <is>
          <t>One partner only - not national total</t>
        </is>
      </c>
      <c r="G7" s="18" t="inlineStr">
        <is>
          <t>https://www.dane.gov.co/files/operaciones/IMP/bol-IMP-ago2026.pdf</t>
        </is>
      </c>
      <c r="H7" s="13" t="n">
        <v>9</v>
      </c>
    </row>
    <row r="8" ht="45" customHeight="1">
      <c r="A8" s="39" t="n">
        <v>46235</v>
      </c>
      <c r="B8" s="24" t="inlineStr">
        <is>
          <t>Trinidad and Tobago</t>
        </is>
      </c>
      <c r="C8" s="24" t="inlineStr">
        <is>
          <t>Gas natural licuado</t>
        </is>
      </c>
      <c r="D8" s="44" t="n">
        <v>195.8</v>
      </c>
      <c r="E8" s="22">
        <f>D8*Settings!$B$8</f>
        <v>195800000</v>
      </c>
      <c r="F8" s="24" t="inlineStr">
        <is>
          <t>One partner only - not national total</t>
        </is>
      </c>
      <c r="G8" s="24" t="inlineStr">
        <is>
          <t>https://www.dane.gov.co/files/operaciones/IMP/bol-IMP-ago2026.pdf</t>
        </is>
      </c>
      <c r="H8" s="19" t="n">
        <v>9</v>
      </c>
    </row>
    <row r="11" ht="40" customHeight="1">
      <c r="A11" s="8" t="inlineStr">
        <is>
          <t>Do not combine these two partner observations with national totals as though they were the same series. This sheet does not establish the 2026 national LNG import bill.</t>
        </is>
      </c>
    </row>
  </sheetData>
  <mergeCells count="3">
    <mergeCell ref="A11:H11"/>
    <mergeCell ref="A2:H3"/>
    <mergeCell ref="A1:H1"/>
  </mergeCells>
  <printOptions horizontalCentered="1"/>
  <pageMargins left="0.75" right="0.75" top="1" bottom="1" header="0.5" footer="0.5"/>
  <pageSetup orientation="landscape" paperSize="8" fitToHeight="0" fitToWidth="1"/>
  <headerFooter>
    <oddHeader/>
    <oddFooter>&amp;CColombia natural gas | Sources and limitations inside workbook&amp;RPage &amp;P</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0"/>
    <pageSetUpPr fitToPage="1"/>
  </sheetPr>
  <dimension ref="A1:K9"/>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7" customWidth="1" min="3" max="3"/>
    <col width="17" customWidth="1" min="4" max="4"/>
    <col width="22" customWidth="1" min="5" max="5"/>
    <col width="28" customWidth="1" min="6" max="6"/>
    <col width="23" customWidth="1" min="7" max="7"/>
    <col width="23" customWidth="1" min="8" max="8"/>
    <col width="22" customWidth="1" min="9" max="9"/>
    <col width="50" customWidth="1" min="10" max="10"/>
    <col width="70" customWidth="1" min="11" max="11"/>
  </cols>
  <sheetData>
    <row r="1" ht="42" customHeight="1">
      <c r="A1" s="1" t="inlineStr">
        <is>
          <t>MONTHLY CUSTOMS | NOT LOADED</t>
        </is>
      </c>
      <c r="B1" s="2" t="n"/>
      <c r="C1" s="2" t="n"/>
      <c r="D1" s="2" t="n"/>
      <c r="E1" s="2" t="n"/>
      <c r="F1" s="2" t="n"/>
      <c r="G1" s="2" t="n"/>
      <c r="H1" s="2" t="n"/>
      <c r="I1" s="2" t="n"/>
      <c r="J1" s="2" t="n"/>
      <c r="K1" s="2" t="n"/>
    </row>
    <row r="2" ht="26" customHeight="1">
      <c r="A2" s="3" t="inlineStr">
        <is>
          <t>No national monthly customs data were downloaded. This schema is intentionally empty. The supplied loader reads DANE archives and exports monthly partner / national-product CSVs, SQLite and a separate Excel workbook.</t>
        </is>
      </c>
    </row>
    <row r="3" ht="16" customHeight="1"/>
    <row r="6" ht="42" customHeight="1">
      <c r="A6" s="12" t="inlineStr">
        <is>
          <t>Month</t>
        </is>
      </c>
      <c r="B6" s="12" t="inlineStr">
        <is>
          <t>HS6</t>
        </is>
      </c>
      <c r="C6" s="12" t="inlineStr">
        <is>
          <t>HS10</t>
        </is>
      </c>
      <c r="D6" s="12" t="inlineStr">
        <is>
          <t>Origin code</t>
        </is>
      </c>
      <c r="E6" s="12" t="inlineStr">
        <is>
          <t>Country-code scheme</t>
        </is>
      </c>
      <c r="F6" s="12" t="inlineStr">
        <is>
          <t>Origin name</t>
        </is>
      </c>
      <c r="G6" s="12" t="inlineStr">
        <is>
          <t>FOB (US$)</t>
        </is>
      </c>
      <c r="H6" s="12" t="inlineStr">
        <is>
          <t>CIF (US$)</t>
        </is>
      </c>
      <c r="I6" s="12" t="inlineStr">
        <is>
          <t>Net weight (kg)</t>
        </is>
      </c>
      <c r="J6" s="12" t="inlineStr">
        <is>
          <t>Source file</t>
        </is>
      </c>
      <c r="K6" s="12" t="inlineStr">
        <is>
          <t>Source URL</t>
        </is>
      </c>
    </row>
    <row r="9" ht="40" customHeight="1">
      <c r="A9" s="8" t="inlineStr">
        <is>
          <t>ZERO NATIONAL MONTHLY ROWS LOADED. Missing observations have not been fabricated or spread evenly across months.</t>
        </is>
      </c>
    </row>
  </sheetData>
  <mergeCells count="3">
    <mergeCell ref="A1:K1"/>
    <mergeCell ref="A2:K3"/>
    <mergeCell ref="A9:K9"/>
  </mergeCells>
  <printOptions horizontalCentered="1"/>
  <pageMargins left="0.75" right="0.75" top="1" bottom="1" header="0.5" footer="0.5"/>
  <pageSetup orientation="landscape" paperSize="8" fitToHeight="0" fitToWidth="1"/>
  <headerFooter>
    <oddHeader/>
    <oddFooter>&amp;CColombia natural gas | Sources and limitations inside workbook&amp;RPage &amp;P</oddFooter>
    <evenHeader/>
    <evenFooter/>
    <firstHeader/>
    <firstFooter/>
  </headerFooter>
</worksheet>
</file>

<file path=xl/worksheets/sheet9.xml><?xml version="1.0" encoding="utf-8"?>
<worksheet xmlns="http://schemas.openxmlformats.org/spreadsheetml/2006/main">
  <sheetPr>
    <outlinePr summaryBelow="1" summaryRight="0"/>
    <pageSetUpPr fitToPage="1"/>
  </sheetPr>
  <dimension ref="A1:I23"/>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26" customWidth="1" min="3" max="3"/>
    <col width="28" customWidth="1" min="4" max="4"/>
    <col width="24" customWidth="1" min="5" max="5"/>
    <col width="23" customWidth="1" min="6" max="6"/>
    <col width="20" customWidth="1" min="7" max="7"/>
    <col width="26" customWidth="1" min="8" max="8"/>
    <col width="75" customWidth="1" min="9" max="9"/>
  </cols>
  <sheetData>
    <row r="1" ht="42" customHeight="1">
      <c r="A1" s="1" t="inlineStr">
        <is>
          <t>VALIDATION | RECONCILIATION</t>
        </is>
      </c>
      <c r="B1" s="2" t="n"/>
      <c r="C1" s="2" t="n"/>
      <c r="D1" s="2" t="n"/>
      <c r="E1" s="2" t="n"/>
      <c r="F1" s="2" t="n"/>
      <c r="G1" s="2" t="n"/>
      <c r="H1" s="2" t="n"/>
      <c r="I1" s="2" t="n"/>
    </row>
    <row r="2" ht="26" customHeight="1">
      <c r="A2" s="3" t="inlineStr">
        <is>
          <t>Dollar checks compare WITS world totals against their partner rows. Small differences arise because WITS values are rounded to US$10. Missing quantities are not imputed.</t>
        </is>
      </c>
    </row>
    <row r="3" ht="16" customHeight="1"/>
    <row r="6" ht="42" customHeight="1">
      <c r="A6" s="12" t="inlineStr">
        <is>
          <t>Year</t>
        </is>
      </c>
      <c r="B6" s="12" t="inlineStr">
        <is>
          <t>HS6</t>
        </is>
      </c>
      <c r="C6" s="12" t="inlineStr">
        <is>
          <t>World CIF (US$)</t>
        </is>
      </c>
      <c r="D6" s="12" t="inlineStr">
        <is>
          <t>Sum of partners (US$)</t>
        </is>
      </c>
      <c r="E6" s="12" t="inlineStr">
        <is>
          <t>Residual (US$)</t>
        </is>
      </c>
      <c r="F6" s="12" t="inlineStr">
        <is>
          <t>Tolerance (US$)</t>
        </is>
      </c>
      <c r="G6" s="12" t="inlineStr">
        <is>
          <t>Check</t>
        </is>
      </c>
      <c r="H6" s="12" t="inlineStr">
        <is>
          <t>Quantity missing?</t>
        </is>
      </c>
      <c r="I6" s="12" t="inlineStr">
        <is>
          <t>Source URL</t>
        </is>
      </c>
    </row>
    <row r="7" ht="36" customHeight="1">
      <c r="A7" s="13" t="n">
        <v>2017</v>
      </c>
      <c r="B7" s="18" t="inlineStr">
        <is>
          <t>271111</t>
        </is>
      </c>
      <c r="C7" s="28">
        <f>'Annual raw'!F7</f>
        <v>11925930</v>
      </c>
      <c r="D7" s="28">
        <f>SUMIFS(Partners!$F$7:$F$43,Partners!$A$7:$A$43,A7,Partners!$B$7:$B$43,B7)</f>
        <v>11925930</v>
      </c>
      <c r="E7" s="28">
        <f>C7-D7</f>
        <v>0</v>
      </c>
      <c r="F7" s="28">
        <f>Settings!$B$11</f>
        <v>50</v>
      </c>
      <c r="G7" s="28" t="str">
        <f>IF(ABS(E7)&lt;=F7,"PASS","REVIEW")</f>
        <v>PASS</v>
      </c>
      <c r="H7" s="18" t="inlineStr">
        <is>
          <t>NO</t>
        </is>
      </c>
      <c r="I7" s="18" t="inlineStr">
        <is>
          <t>https://wits.worldbank.org/trade/comtrade/en/country/COL/year/2017/tradeflow/Imports/partner/ALL/product/271111</t>
        </is>
      </c>
    </row>
    <row r="8" ht="36" customHeight="1">
      <c r="A8" s="19" t="n">
        <v>2018</v>
      </c>
      <c r="B8" s="24" t="inlineStr">
        <is>
          <t>271111</t>
        </is>
      </c>
      <c r="C8" s="30">
        <f>'Annual raw'!F8</f>
        <v>123747360</v>
      </c>
      <c r="D8" s="30">
        <f>SUMIFS(Partners!$F$7:$F$43,Partners!$A$7:$A$43,A8,Partners!$B$7:$B$43,B8)</f>
        <v>123747370</v>
      </c>
      <c r="E8" s="30">
        <f>C8-D8</f>
        <v>-10</v>
      </c>
      <c r="F8" s="30">
        <f>Settings!$B$11</f>
        <v>50</v>
      </c>
      <c r="G8" s="30" t="str">
        <f>IF(ABS(E8)&lt;=F8,"PASS","REVIEW")</f>
        <v>PASS</v>
      </c>
      <c r="H8" s="24" t="inlineStr">
        <is>
          <t>NO</t>
        </is>
      </c>
      <c r="I8" s="24" t="inlineStr">
        <is>
          <t>https://wits.worldbank.org/trade/comtrade/en/country/COL/year/2018/tradeflow/Imports/partner/ALL/product/271111</t>
        </is>
      </c>
    </row>
    <row r="9" ht="36" customHeight="1">
      <c r="A9" s="13" t="n">
        <v>2019</v>
      </c>
      <c r="B9" s="18" t="inlineStr">
        <is>
          <t>271111</t>
        </is>
      </c>
      <c r="C9" s="28">
        <f>'Annual raw'!F9</f>
        <v>57044060</v>
      </c>
      <c r="D9" s="28">
        <f>SUMIFS(Partners!$F$7:$F$43,Partners!$A$7:$A$43,A9,Partners!$B$7:$B$43,B9)</f>
        <v>57044050</v>
      </c>
      <c r="E9" s="28">
        <f>C9-D9</f>
        <v>10</v>
      </c>
      <c r="F9" s="28">
        <f>Settings!$B$11</f>
        <v>50</v>
      </c>
      <c r="G9" s="28" t="str">
        <f>IF(ABS(E9)&lt;=F9,"PASS","REVIEW")</f>
        <v>PASS</v>
      </c>
      <c r="H9" s="18" t="inlineStr">
        <is>
          <t>YES</t>
        </is>
      </c>
      <c r="I9" s="18" t="inlineStr">
        <is>
          <t>https://wits.worldbank.org/trade/comtrade/en/country/COL/year/2019/tradeflow/Imports/partner/ALL/product/271111</t>
        </is>
      </c>
    </row>
    <row r="10" ht="36" customHeight="1">
      <c r="A10" s="19" t="n">
        <v>2020</v>
      </c>
      <c r="B10" s="24" t="inlineStr">
        <is>
          <t>271111</t>
        </is>
      </c>
      <c r="C10" s="30">
        <f>'Annual raw'!F10</f>
        <v>59910330</v>
      </c>
      <c r="D10" s="30">
        <f>SUMIFS(Partners!$F$7:$F$43,Partners!$A$7:$A$43,A10,Partners!$B$7:$B$43,B10)</f>
        <v>59910320</v>
      </c>
      <c r="E10" s="30">
        <f>C10-D10</f>
        <v>10</v>
      </c>
      <c r="F10" s="30">
        <f>Settings!$B$11</f>
        <v>50</v>
      </c>
      <c r="G10" s="30" t="str">
        <f>IF(ABS(E10)&lt;=F10,"PASS","REVIEW")</f>
        <v>PASS</v>
      </c>
      <c r="H10" s="24" t="inlineStr">
        <is>
          <t>NO</t>
        </is>
      </c>
      <c r="I10" s="24" t="inlineStr">
        <is>
          <t>https://wits.worldbank.org/trade/comtrade/en/country/COL/year/2020/tradeflow/Imports/partner/ALL/product/271111</t>
        </is>
      </c>
    </row>
    <row r="11" ht="36" customHeight="1">
      <c r="A11" s="13" t="n">
        <v>2021</v>
      </c>
      <c r="B11" s="18" t="inlineStr">
        <is>
          <t>271111</t>
        </is>
      </c>
      <c r="C11" s="28">
        <f>'Annual raw'!F11</f>
        <v>27941490</v>
      </c>
      <c r="D11" s="28">
        <f>SUMIFS(Partners!$F$7:$F$43,Partners!$A$7:$A$43,A11,Partners!$B$7:$B$43,B11)</f>
        <v>27941490</v>
      </c>
      <c r="E11" s="28">
        <f>C11-D11</f>
        <v>0</v>
      </c>
      <c r="F11" s="28">
        <f>Settings!$B$11</f>
        <v>50</v>
      </c>
      <c r="G11" s="28" t="str">
        <f>IF(ABS(E11)&lt;=F11,"PASS","REVIEW")</f>
        <v>PASS</v>
      </c>
      <c r="H11" s="18" t="inlineStr">
        <is>
          <t>NO</t>
        </is>
      </c>
      <c r="I11" s="18" t="inlineStr">
        <is>
          <t>https://wits.worldbank.org/trade/comtrade/en/country/COL/year/2021/tradeflow/Imports/partner/ALL/product/271111</t>
        </is>
      </c>
    </row>
    <row r="12" ht="36" customHeight="1">
      <c r="A12" s="19" t="n">
        <v>2021</v>
      </c>
      <c r="B12" s="24" t="inlineStr">
        <is>
          <t>271121</t>
        </is>
      </c>
      <c r="C12" s="30">
        <f>'Annual raw'!F12</f>
        <v>43160</v>
      </c>
      <c r="D12" s="30">
        <f>SUMIFS(Partners!$F$7:$F$43,Partners!$A$7:$A$43,A12,Partners!$B$7:$B$43,B12)</f>
        <v>43150</v>
      </c>
      <c r="E12" s="30">
        <f>C12-D12</f>
        <v>10</v>
      </c>
      <c r="F12" s="30">
        <f>Settings!$B$11</f>
        <v>50</v>
      </c>
      <c r="G12" s="30" t="str">
        <f>IF(ABS(E12)&lt;=F12,"PASS","REVIEW")</f>
        <v>PASS</v>
      </c>
      <c r="H12" s="24" t="inlineStr">
        <is>
          <t>NO</t>
        </is>
      </c>
      <c r="I12" s="24" t="inlineStr">
        <is>
          <t>https://wits.worldbank.org/trade/comtrade/en/country/COL/year/2021/tradeflow/Imports/partner/ALL/product/271121</t>
        </is>
      </c>
    </row>
    <row r="13" ht="36" customHeight="1">
      <c r="A13" s="13" t="n">
        <v>2022</v>
      </c>
      <c r="B13" s="18" t="inlineStr">
        <is>
          <t>271111</t>
        </is>
      </c>
      <c r="C13" s="28">
        <f>'Annual raw'!F13</f>
        <v>87550640</v>
      </c>
      <c r="D13" s="28">
        <f>SUMIFS(Partners!$F$7:$F$43,Partners!$A$7:$A$43,A13,Partners!$B$7:$B$43,B13)</f>
        <v>87550640</v>
      </c>
      <c r="E13" s="28">
        <f>C13-D13</f>
        <v>0</v>
      </c>
      <c r="F13" s="28">
        <f>Settings!$B$11</f>
        <v>50</v>
      </c>
      <c r="G13" s="28" t="str">
        <f>IF(ABS(E13)&lt;=F13,"PASS","REVIEW")</f>
        <v>PASS</v>
      </c>
      <c r="H13" s="18" t="inlineStr">
        <is>
          <t>NO</t>
        </is>
      </c>
      <c r="I13" s="18" t="inlineStr">
        <is>
          <t>https://wits.worldbank.org/trade/comtrade/en/country/COL/year/2022/tradeflow/Imports/partner/ALL/product/271111</t>
        </is>
      </c>
    </row>
    <row r="14" ht="36" customHeight="1">
      <c r="A14" s="19" t="n">
        <v>2022</v>
      </c>
      <c r="B14" s="24" t="inlineStr">
        <is>
          <t>271121</t>
        </is>
      </c>
      <c r="C14" s="30">
        <f>'Annual raw'!F14</f>
        <v>84120</v>
      </c>
      <c r="D14" s="30">
        <f>SUMIFS(Partners!$F$7:$F$43,Partners!$A$7:$A$43,A14,Partners!$B$7:$B$43,B14)</f>
        <v>84120</v>
      </c>
      <c r="E14" s="30">
        <f>C14-D14</f>
        <v>0</v>
      </c>
      <c r="F14" s="30">
        <f>Settings!$B$11</f>
        <v>50</v>
      </c>
      <c r="G14" s="30" t="str">
        <f>IF(ABS(E14)&lt;=F14,"PASS","REVIEW")</f>
        <v>PASS</v>
      </c>
      <c r="H14" s="24" t="inlineStr">
        <is>
          <t>NO</t>
        </is>
      </c>
      <c r="I14" s="24" t="inlineStr">
        <is>
          <t>https://wits.worldbank.org/trade/comtrade/en/country/COL/year/2022/tradeflow/Imports/partner/ALL/product/271121</t>
        </is>
      </c>
    </row>
    <row r="15" ht="36" customHeight="1">
      <c r="A15" s="13" t="n">
        <v>2023</v>
      </c>
      <c r="B15" s="18" t="inlineStr">
        <is>
          <t>271111</t>
        </is>
      </c>
      <c r="C15" s="28">
        <f>'Annual raw'!F15</f>
        <v>441455970</v>
      </c>
      <c r="D15" s="28">
        <f>SUMIFS(Partners!$F$7:$F$43,Partners!$A$7:$A$43,A15,Partners!$B$7:$B$43,B15)</f>
        <v>441455970</v>
      </c>
      <c r="E15" s="28">
        <f>C15-D15</f>
        <v>0</v>
      </c>
      <c r="F15" s="28">
        <f>Settings!$B$11</f>
        <v>50</v>
      </c>
      <c r="G15" s="28" t="str">
        <f>IF(ABS(E15)&lt;=F15,"PASS","REVIEW")</f>
        <v>PASS</v>
      </c>
      <c r="H15" s="18" t="inlineStr">
        <is>
          <t>YES</t>
        </is>
      </c>
      <c r="I15" s="18" t="inlineStr">
        <is>
          <t>https://wits.worldbank.org/trade/comtrade/en/country/COL/year/2023/tradeflow/Imports/partner/ALL/product/271111</t>
        </is>
      </c>
    </row>
    <row r="16" ht="36" customHeight="1">
      <c r="A16" s="19" t="n">
        <v>2023</v>
      </c>
      <c r="B16" s="24" t="inlineStr">
        <is>
          <t>271121</t>
        </is>
      </c>
      <c r="C16" s="30">
        <f>'Annual raw'!F16</f>
        <v>4930</v>
      </c>
      <c r="D16" s="30">
        <f>SUMIFS(Partners!$F$7:$F$43,Partners!$A$7:$A$43,A16,Partners!$B$7:$B$43,B16)</f>
        <v>4930</v>
      </c>
      <c r="E16" s="30">
        <f>C16-D16</f>
        <v>0</v>
      </c>
      <c r="F16" s="30">
        <f>Settings!$B$11</f>
        <v>50</v>
      </c>
      <c r="G16" s="30" t="str">
        <f>IF(ABS(E16)&lt;=F16,"PASS","REVIEW")</f>
        <v>PASS</v>
      </c>
      <c r="H16" s="24" t="inlineStr">
        <is>
          <t>NO</t>
        </is>
      </c>
      <c r="I16" s="24" t="inlineStr">
        <is>
          <t>https://wits.worldbank.org/trade/comtrade/en/country/COL/year/2023/tradeflow/Imports/partner/ALL/product/271121</t>
        </is>
      </c>
    </row>
    <row r="17" ht="36" customHeight="1">
      <c r="A17" s="13" t="n">
        <v>2024</v>
      </c>
      <c r="B17" s="18" t="inlineStr">
        <is>
          <t>271111</t>
        </is>
      </c>
      <c r="C17" s="28">
        <f>'Annual raw'!F17</f>
        <v>945446540</v>
      </c>
      <c r="D17" s="28">
        <f>SUMIFS(Partners!$F$7:$F$43,Partners!$A$7:$A$43,A17,Partners!$B$7:$B$43,B17)</f>
        <v>945446540</v>
      </c>
      <c r="E17" s="28">
        <f>C17-D17</f>
        <v>0</v>
      </c>
      <c r="F17" s="28">
        <f>Settings!$B$11</f>
        <v>50</v>
      </c>
      <c r="G17" s="28" t="str">
        <f>IF(ABS(E17)&lt;=F17,"PASS","REVIEW")</f>
        <v>PASS</v>
      </c>
      <c r="H17" s="18" t="inlineStr">
        <is>
          <t>NO</t>
        </is>
      </c>
      <c r="I17" s="18" t="inlineStr">
        <is>
          <t>https://wits.worldbank.org/trade/comtrade/en/country/COL/year/2024/tradeflow/Imports/partner/ALL/product/271111</t>
        </is>
      </c>
    </row>
    <row r="18" ht="36" customHeight="1">
      <c r="A18" s="19" t="n">
        <v>2024</v>
      </c>
      <c r="B18" s="24" t="inlineStr">
        <is>
          <t>271121</t>
        </is>
      </c>
      <c r="C18" s="30">
        <f>'Annual raw'!F18</f>
        <v>31740</v>
      </c>
      <c r="D18" s="30">
        <f>SUMIFS(Partners!$F$7:$F$43,Partners!$A$7:$A$43,A18,Partners!$B$7:$B$43,B18)</f>
        <v>31740</v>
      </c>
      <c r="E18" s="30">
        <f>C18-D18</f>
        <v>0</v>
      </c>
      <c r="F18" s="30">
        <f>Settings!$B$11</f>
        <v>50</v>
      </c>
      <c r="G18" s="30" t="str">
        <f>IF(ABS(E18)&lt;=F18,"PASS","REVIEW")</f>
        <v>PASS</v>
      </c>
      <c r="H18" s="24" t="inlineStr">
        <is>
          <t>NO</t>
        </is>
      </c>
      <c r="I18" s="24" t="inlineStr">
        <is>
          <t>https://wits.worldbank.org/trade/comtrade/en/country/COL/year/2024/tradeflow/Imports/partner/ALL/product/271121</t>
        </is>
      </c>
    </row>
    <row r="19" ht="36" customHeight="1">
      <c r="A19" s="13" t="n">
        <v>2025</v>
      </c>
      <c r="B19" s="18" t="inlineStr">
        <is>
          <t>271111</t>
        </is>
      </c>
      <c r="C19" s="28">
        <f>'Annual raw'!F19</f>
        <v>779203660</v>
      </c>
      <c r="D19" s="28">
        <f>SUMIFS(Partners!$F$7:$F$43,Partners!$A$7:$A$43,A19,Partners!$B$7:$B$43,B19)</f>
        <v>779203660</v>
      </c>
      <c r="E19" s="28">
        <f>C19-D19</f>
        <v>0</v>
      </c>
      <c r="F19" s="28">
        <f>Settings!$B$11</f>
        <v>50</v>
      </c>
      <c r="G19" s="28" t="str">
        <f>IF(ABS(E19)&lt;=F19,"PASS","REVIEW")</f>
        <v>PASS</v>
      </c>
      <c r="H19" s="18" t="inlineStr">
        <is>
          <t>YES</t>
        </is>
      </c>
      <c r="I19" s="18" t="inlineStr">
        <is>
          <t>https://wits.worldbank.org/trade/comtrade/en/country/COL/year/2025/tradeflow/Imports/partner/ALL/product/271111</t>
        </is>
      </c>
    </row>
    <row r="20" ht="36" customHeight="1">
      <c r="A20" s="19" t="n">
        <v>2025</v>
      </c>
      <c r="B20" s="24" t="inlineStr">
        <is>
          <t>271121</t>
        </is>
      </c>
      <c r="C20" s="30">
        <f>'Annual raw'!F20</f>
        <v>27570</v>
      </c>
      <c r="D20" s="30">
        <f>SUMIFS(Partners!$F$7:$F$43,Partners!$A$7:$A$43,A20,Partners!$B$7:$B$43,B20)</f>
        <v>27570</v>
      </c>
      <c r="E20" s="30">
        <f>C20-D20</f>
        <v>0</v>
      </c>
      <c r="F20" s="30">
        <f>Settings!$B$11</f>
        <v>50</v>
      </c>
      <c r="G20" s="30" t="str">
        <f>IF(ABS(E20)&lt;=F20,"PASS","REVIEW")</f>
        <v>PASS</v>
      </c>
      <c r="H20" s="24" t="inlineStr">
        <is>
          <t>YES</t>
        </is>
      </c>
      <c r="I20" s="24" t="inlineStr">
        <is>
          <t>https://wits.worldbank.org/trade/comtrade/en/country/COL/year/2025/tradeflow/Imports/partner/ALL/product/271121</t>
        </is>
      </c>
    </row>
    <row r="23" ht="40" customHeight="1">
      <c r="A23" s="8" t="inlineStr">
        <is>
          <t>Additional checks: 14/14 BMC margins reconcile exactly. No national monthly customs observations were loaded. World LNG quantity is missing for 2019, 2023 and 2025.</t>
        </is>
      </c>
    </row>
  </sheetData>
  <mergeCells count="3">
    <mergeCell ref="A1:I1"/>
    <mergeCell ref="A2:I3"/>
    <mergeCell ref="A23:I23"/>
  </mergeCells>
  <printOptions horizontalCentered="1"/>
  <pageMargins left="0.75" right="0.75" top="1" bottom="1" header="0.5" footer="0.5"/>
  <pageSetup orientation="landscape" paperSize="8" fitToHeight="0" fitToWidth="1"/>
  <headerFooter>
    <oddHeader/>
    <oddFooter>&amp;CColombia natural gas | Sources and limitations inside workbook&amp;RPage &amp;P</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0"/>
    <pageSetUpPr fitToPage="1"/>
  </sheetPr>
  <dimension ref="A1:G27"/>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32" customWidth="1" min="2" max="2"/>
    <col width="65" customWidth="1" min="3" max="3"/>
    <col width="85" customWidth="1" min="4" max="4"/>
    <col width="17" customWidth="1" min="5" max="5"/>
    <col width="85" customWidth="1" min="6" max="6"/>
    <col width="85" customWidth="1" min="7" max="7"/>
  </cols>
  <sheetData>
    <row r="1" ht="42" customHeight="1">
      <c r="A1" s="1" t="inlineStr">
        <is>
          <t>SOURCE REGISTER | AUDIT TRAIL</t>
        </is>
      </c>
      <c r="B1" s="2" t="n"/>
      <c r="C1" s="2" t="n"/>
      <c r="D1" s="2" t="n"/>
      <c r="E1" s="2" t="n"/>
      <c r="F1" s="2" t="n"/>
      <c r="G1" s="2" t="n"/>
    </row>
    <row r="2" ht="26" customHeight="1">
      <c r="A2" s="3" t="inlineStr">
        <is>
          <t>URLs and retrieval status are retained. Public annual tables were read; this is not a transaction-level DANE archive extraction.</t>
        </is>
      </c>
    </row>
    <row r="3" ht="16" customHeight="1"/>
    <row r="6" ht="42" customHeight="1">
      <c r="A6" s="12" t="inlineStr">
        <is>
          <t>Source ID</t>
        </is>
      </c>
      <c r="B6" s="12" t="inlineStr">
        <is>
          <t>Publisher</t>
        </is>
      </c>
      <c r="C6" s="12" t="inlineStr">
        <is>
          <t>Document / table</t>
        </is>
      </c>
      <c r="D6" s="12" t="inlineStr">
        <is>
          <t>Source URL</t>
        </is>
      </c>
      <c r="E6" s="12" t="inlineStr">
        <is>
          <t>Accessed</t>
        </is>
      </c>
      <c r="F6" s="12" t="inlineStr">
        <is>
          <t>Scope</t>
        </is>
      </c>
      <c r="G6" s="12" t="inlineStr">
        <is>
          <t>Retrieval status</t>
        </is>
      </c>
    </row>
    <row r="7" ht="56" customHeight="1">
      <c r="A7" s="18" t="inlineStr">
        <is>
          <t>WITS_271111_2017</t>
        </is>
      </c>
      <c r="B7" s="18" t="inlineStr">
        <is>
          <t>World Bank WITS / UN Comtrade</t>
        </is>
      </c>
      <c r="C7" s="18" t="inlineStr">
        <is>
          <t>Colombia imports: HS 271111, 2017</t>
        </is>
      </c>
      <c r="D7" s="18" t="inlineStr">
        <is>
          <t>https://wits.worldbank.org/trade/comtrade/en/country/COL/year/2017/tradeflow/Imports/partner/ALL/product/271111</t>
        </is>
      </c>
      <c r="E7" s="18" t="inlineStr">
        <is>
          <t>2026-10-27</t>
        </is>
      </c>
      <c r="F7" s="18" t="inlineStr">
        <is>
          <t>Annual public summary; monetary values displayed to US$10 precision</t>
        </is>
      </c>
      <c r="G7" s="18" t="inlineStr">
        <is>
          <t>Table retrieved; not customs microdata</t>
        </is>
      </c>
    </row>
    <row r="8" ht="56" customHeight="1">
      <c r="A8" s="24" t="inlineStr">
        <is>
          <t>WITS_271111_2018</t>
        </is>
      </c>
      <c r="B8" s="24" t="inlineStr">
        <is>
          <t>World Bank WITS / UN Comtrade</t>
        </is>
      </c>
      <c r="C8" s="24" t="inlineStr">
        <is>
          <t>Colombia imports: HS 271111, 2018</t>
        </is>
      </c>
      <c r="D8" s="24" t="inlineStr">
        <is>
          <t>https://wits.worldbank.org/trade/comtrade/en/country/COL/year/2018/tradeflow/Imports/partner/ALL/product/271111</t>
        </is>
      </c>
      <c r="E8" s="24" t="inlineStr">
        <is>
          <t>2026-10-27</t>
        </is>
      </c>
      <c r="F8" s="24" t="inlineStr">
        <is>
          <t>Annual public summary; monetary values displayed to US$10 precision</t>
        </is>
      </c>
      <c r="G8" s="24" t="inlineStr">
        <is>
          <t>Table retrieved; not customs microdata</t>
        </is>
      </c>
    </row>
    <row r="9" ht="56" customHeight="1">
      <c r="A9" s="18" t="inlineStr">
        <is>
          <t>WITS_271111_2019</t>
        </is>
      </c>
      <c r="B9" s="18" t="inlineStr">
        <is>
          <t>World Bank WITS / UN Comtrade</t>
        </is>
      </c>
      <c r="C9" s="18" t="inlineStr">
        <is>
          <t>Colombia imports: HS 271111, 2019</t>
        </is>
      </c>
      <c r="D9" s="18" t="inlineStr">
        <is>
          <t>https://wits.worldbank.org/trade/comtrade/en/country/COL/year/2019/tradeflow/Imports/partner/ALL/product/271111</t>
        </is>
      </c>
      <c r="E9" s="18" t="inlineStr">
        <is>
          <t>2026-10-27</t>
        </is>
      </c>
      <c r="F9" s="18" t="inlineStr">
        <is>
          <t>Annual public summary; monetary values displayed to US$10 precision</t>
        </is>
      </c>
      <c r="G9" s="18" t="inlineStr">
        <is>
          <t>Table retrieved; not customs microdata</t>
        </is>
      </c>
    </row>
    <row r="10" ht="56" customHeight="1">
      <c r="A10" s="24" t="inlineStr">
        <is>
          <t>WITS_271111_2020</t>
        </is>
      </c>
      <c r="B10" s="24" t="inlineStr">
        <is>
          <t>World Bank WITS / UN Comtrade</t>
        </is>
      </c>
      <c r="C10" s="24" t="inlineStr">
        <is>
          <t>Colombia imports: HS 271111, 2020</t>
        </is>
      </c>
      <c r="D10" s="24" t="inlineStr">
        <is>
          <t>https://wits.worldbank.org/trade/comtrade/en/country/COL/year/2020/tradeflow/Imports/partner/ALL/product/271111</t>
        </is>
      </c>
      <c r="E10" s="24" t="inlineStr">
        <is>
          <t>2026-10-27</t>
        </is>
      </c>
      <c r="F10" s="24" t="inlineStr">
        <is>
          <t>Annual public summary; monetary values displayed to US$10 precision</t>
        </is>
      </c>
      <c r="G10" s="24" t="inlineStr">
        <is>
          <t>Table retrieved; not customs microdata</t>
        </is>
      </c>
    </row>
    <row r="11" ht="56" customHeight="1">
      <c r="A11" s="18" t="inlineStr">
        <is>
          <t>WITS_271111_2021</t>
        </is>
      </c>
      <c r="B11" s="18" t="inlineStr">
        <is>
          <t>World Bank WITS / UN Comtrade</t>
        </is>
      </c>
      <c r="C11" s="18" t="inlineStr">
        <is>
          <t>Colombia imports: HS 271111, 2021</t>
        </is>
      </c>
      <c r="D11" s="18" t="inlineStr">
        <is>
          <t>https://wits.worldbank.org/trade/comtrade/en/country/COL/year/2021/tradeflow/Imports/partner/ALL/product/271111</t>
        </is>
      </c>
      <c r="E11" s="18" t="inlineStr">
        <is>
          <t>2026-10-27</t>
        </is>
      </c>
      <c r="F11" s="18" t="inlineStr">
        <is>
          <t>Annual public summary; monetary values displayed to US$10 precision</t>
        </is>
      </c>
      <c r="G11" s="18" t="inlineStr">
        <is>
          <t>Table retrieved; not customs microdata</t>
        </is>
      </c>
    </row>
    <row r="12" ht="56" customHeight="1">
      <c r="A12" s="24" t="inlineStr">
        <is>
          <t>WITS_271121_2021</t>
        </is>
      </c>
      <c r="B12" s="24" t="inlineStr">
        <is>
          <t>World Bank WITS / UN Comtrade</t>
        </is>
      </c>
      <c r="C12" s="24" t="inlineStr">
        <is>
          <t>Colombia imports: HS 271121, 2021</t>
        </is>
      </c>
      <c r="D12" s="24" t="inlineStr">
        <is>
          <t>https://wits.worldbank.org/trade/comtrade/en/country/COL/year/2021/tradeflow/Imports/partner/ALL/product/271121</t>
        </is>
      </c>
      <c r="E12" s="24" t="inlineStr">
        <is>
          <t>2026-10-27</t>
        </is>
      </c>
      <c r="F12" s="24" t="inlineStr">
        <is>
          <t>Annual public summary; monetary values displayed to US$10 precision</t>
        </is>
      </c>
      <c r="G12" s="24" t="inlineStr">
        <is>
          <t>Table retrieved; not customs microdata</t>
        </is>
      </c>
    </row>
    <row r="13" ht="56" customHeight="1">
      <c r="A13" s="18" t="inlineStr">
        <is>
          <t>WITS_271111_2022</t>
        </is>
      </c>
      <c r="B13" s="18" t="inlineStr">
        <is>
          <t>World Bank WITS / UN Comtrade</t>
        </is>
      </c>
      <c r="C13" s="18" t="inlineStr">
        <is>
          <t>Colombia imports: HS 271111, 2022</t>
        </is>
      </c>
      <c r="D13" s="18" t="inlineStr">
        <is>
          <t>https://wits.worldbank.org/trade/comtrade/en/country/COL/year/2022/tradeflow/Imports/partner/ALL/product/271111</t>
        </is>
      </c>
      <c r="E13" s="18" t="inlineStr">
        <is>
          <t>2026-10-27</t>
        </is>
      </c>
      <c r="F13" s="18" t="inlineStr">
        <is>
          <t>Annual public summary; monetary values displayed to US$10 precision</t>
        </is>
      </c>
      <c r="G13" s="18" t="inlineStr">
        <is>
          <t>Table retrieved; not customs microdata</t>
        </is>
      </c>
    </row>
    <row r="14" ht="56" customHeight="1">
      <c r="A14" s="24" t="inlineStr">
        <is>
          <t>WITS_271121_2022</t>
        </is>
      </c>
      <c r="B14" s="24" t="inlineStr">
        <is>
          <t>World Bank WITS / UN Comtrade</t>
        </is>
      </c>
      <c r="C14" s="24" t="inlineStr">
        <is>
          <t>Colombia imports: HS 271121, 2022</t>
        </is>
      </c>
      <c r="D14" s="24" t="inlineStr">
        <is>
          <t>https://wits.worldbank.org/trade/comtrade/en/country/COL/year/2022/tradeflow/Imports/partner/ALL/product/271121</t>
        </is>
      </c>
      <c r="E14" s="24" t="inlineStr">
        <is>
          <t>2026-10-27</t>
        </is>
      </c>
      <c r="F14" s="24" t="inlineStr">
        <is>
          <t>Annual public summary; monetary values displayed to US$10 precision</t>
        </is>
      </c>
      <c r="G14" s="24" t="inlineStr">
        <is>
          <t>Table retrieved; not customs microdata</t>
        </is>
      </c>
    </row>
    <row r="15" ht="56" customHeight="1">
      <c r="A15" s="18" t="inlineStr">
        <is>
          <t>WITS_271111_2023</t>
        </is>
      </c>
      <c r="B15" s="18" t="inlineStr">
        <is>
          <t>World Bank WITS / UN Comtrade</t>
        </is>
      </c>
      <c r="C15" s="18" t="inlineStr">
        <is>
          <t>Colombia imports: HS 271111, 2023</t>
        </is>
      </c>
      <c r="D15" s="18" t="inlineStr">
        <is>
          <t>https://wits.worldbank.org/trade/comtrade/en/country/COL/year/2023/tradeflow/Imports/partner/ALL/product/271111</t>
        </is>
      </c>
      <c r="E15" s="18" t="inlineStr">
        <is>
          <t>2026-10-27</t>
        </is>
      </c>
      <c r="F15" s="18" t="inlineStr">
        <is>
          <t>Annual public summary; monetary values displayed to US$10 precision</t>
        </is>
      </c>
      <c r="G15" s="18" t="inlineStr">
        <is>
          <t>Table retrieved; not customs microdata</t>
        </is>
      </c>
    </row>
    <row r="16" ht="56" customHeight="1">
      <c r="A16" s="24" t="inlineStr">
        <is>
          <t>WITS_271121_2023</t>
        </is>
      </c>
      <c r="B16" s="24" t="inlineStr">
        <is>
          <t>World Bank WITS / UN Comtrade</t>
        </is>
      </c>
      <c r="C16" s="24" t="inlineStr">
        <is>
          <t>Colombia imports: HS 271121, 2023</t>
        </is>
      </c>
      <c r="D16" s="24" t="inlineStr">
        <is>
          <t>https://wits.worldbank.org/trade/comtrade/en/country/COL/year/2023/tradeflow/Imports/partner/ALL/product/271121</t>
        </is>
      </c>
      <c r="E16" s="24" t="inlineStr">
        <is>
          <t>2026-10-27</t>
        </is>
      </c>
      <c r="F16" s="24" t="inlineStr">
        <is>
          <t>Annual public summary; monetary values displayed to US$10 precision</t>
        </is>
      </c>
      <c r="G16" s="24" t="inlineStr">
        <is>
          <t>Table retrieved; not customs microdata</t>
        </is>
      </c>
    </row>
    <row r="17" ht="56" customHeight="1">
      <c r="A17" s="18" t="inlineStr">
        <is>
          <t>WITS_271111_2024</t>
        </is>
      </c>
      <c r="B17" s="18" t="inlineStr">
        <is>
          <t>World Bank WITS / UN Comtrade</t>
        </is>
      </c>
      <c r="C17" s="18" t="inlineStr">
        <is>
          <t>Colombia imports: HS 271111, 2024</t>
        </is>
      </c>
      <c r="D17" s="18" t="inlineStr">
        <is>
          <t>https://wits.worldbank.org/trade/comtrade/en/country/COL/year/2024/tradeflow/Imports/partner/ALL/product/271111</t>
        </is>
      </c>
      <c r="E17" s="18" t="inlineStr">
        <is>
          <t>2026-10-27</t>
        </is>
      </c>
      <c r="F17" s="18" t="inlineStr">
        <is>
          <t>Annual public summary; monetary values displayed to US$10 precision</t>
        </is>
      </c>
      <c r="G17" s="18" t="inlineStr">
        <is>
          <t>Table retrieved; not customs microdata</t>
        </is>
      </c>
    </row>
    <row r="18" ht="56" customHeight="1">
      <c r="A18" s="24" t="inlineStr">
        <is>
          <t>WITS_271121_2024</t>
        </is>
      </c>
      <c r="B18" s="24" t="inlineStr">
        <is>
          <t>World Bank WITS / UN Comtrade</t>
        </is>
      </c>
      <c r="C18" s="24" t="inlineStr">
        <is>
          <t>Colombia imports: HS 271121, 2024</t>
        </is>
      </c>
      <c r="D18" s="24" t="inlineStr">
        <is>
          <t>https://wits.worldbank.org/trade/comtrade/en/country/COL/year/2024/tradeflow/Imports/partner/ALL/product/271121</t>
        </is>
      </c>
      <c r="E18" s="24" t="inlineStr">
        <is>
          <t>2026-10-27</t>
        </is>
      </c>
      <c r="F18" s="24" t="inlineStr">
        <is>
          <t>Annual public summary; monetary values displayed to US$10 precision</t>
        </is>
      </c>
      <c r="G18" s="24" t="inlineStr">
        <is>
          <t>Table retrieved; not customs microdata</t>
        </is>
      </c>
    </row>
    <row r="19" ht="56" customHeight="1">
      <c r="A19" s="18" t="inlineStr">
        <is>
          <t>WITS_271111_2025</t>
        </is>
      </c>
      <c r="B19" s="18" t="inlineStr">
        <is>
          <t>World Bank WITS / UN Comtrade</t>
        </is>
      </c>
      <c r="C19" s="18" t="inlineStr">
        <is>
          <t>Colombia imports: HS 271111, 2025</t>
        </is>
      </c>
      <c r="D19" s="18" t="inlineStr">
        <is>
          <t>https://wits.worldbank.org/trade/comtrade/en/country/COL/year/2025/tradeflow/Imports/partner/ALL/product/271111</t>
        </is>
      </c>
      <c r="E19" s="18" t="inlineStr">
        <is>
          <t>2026-10-27</t>
        </is>
      </c>
      <c r="F19" s="18" t="inlineStr">
        <is>
          <t>Annual public summary; monetary values displayed to US$10 precision</t>
        </is>
      </c>
      <c r="G19" s="18" t="inlineStr">
        <is>
          <t>Table retrieved; not customs microdata</t>
        </is>
      </c>
    </row>
    <row r="20" ht="56" customHeight="1">
      <c r="A20" s="24" t="inlineStr">
        <is>
          <t>WITS_271121_2025</t>
        </is>
      </c>
      <c r="B20" s="24" t="inlineStr">
        <is>
          <t>World Bank WITS / UN Comtrade</t>
        </is>
      </c>
      <c r="C20" s="24" t="inlineStr">
        <is>
          <t>Colombia imports: HS 271121, 2025</t>
        </is>
      </c>
      <c r="D20" s="24" t="inlineStr">
        <is>
          <t>https://wits.worldbank.org/trade/comtrade/en/country/COL/year/2025/tradeflow/Imports/partner/ALL/product/271121</t>
        </is>
      </c>
      <c r="E20" s="24" t="inlineStr">
        <is>
          <t>2026-10-27</t>
        </is>
      </c>
      <c r="F20" s="24" t="inlineStr">
        <is>
          <t>Annual public summary; monetary values displayed to US$10 precision</t>
        </is>
      </c>
      <c r="G20" s="24" t="inlineStr">
        <is>
          <t>Table retrieved; not customs microdata</t>
        </is>
      </c>
    </row>
    <row r="21" ht="56" customHeight="1">
      <c r="A21" s="18" t="inlineStr">
        <is>
          <t>DANE_DEC2025</t>
        </is>
      </c>
      <c r="B21" s="18" t="inlineStr">
        <is>
          <t>DIAN / DANE</t>
        </is>
      </c>
      <c r="C21" s="18" t="inlineStr">
        <is>
          <t>Imports bulletin December 2025, page 11</t>
        </is>
      </c>
      <c r="D21" s="18" t="inlineStr">
        <is>
          <t>https://www.dane.gov.co/files/operaciones/IMP/bol-IMP-dic2025.pdf</t>
        </is>
      </c>
      <c r="E21" s="18" t="inlineStr">
        <is>
          <t>2026-10-27</t>
        </is>
      </c>
      <c r="F21" s="18" t="inlineStr">
        <is>
          <t>Partner reconciliation: T&amp;T LNG US$390.8m; USA US$388.4m in 2025</t>
        </is>
      </c>
      <c r="G21" s="18" t="inlineStr">
        <is>
          <t>Table and PDF screenshot verified</t>
        </is>
      </c>
    </row>
    <row r="22" ht="56" customHeight="1">
      <c r="A22" s="24" t="inlineStr">
        <is>
          <t>DANE_AUG2026</t>
        </is>
      </c>
      <c r="B22" s="24" t="inlineStr">
        <is>
          <t>DIAN / DANE</t>
        </is>
      </c>
      <c r="C22" s="24" t="inlineStr">
        <is>
          <t>Imports bulletin August 2026, page 9</t>
        </is>
      </c>
      <c r="D22" s="24" t="inlineStr">
        <is>
          <t>https://www.dane.gov.co/files/operaciones/IMP/bol-IMP-ago2026.pdf</t>
        </is>
      </c>
      <c r="E22" s="24" t="inlineStr">
        <is>
          <t>2026-10-27</t>
        </is>
      </c>
      <c r="F22" s="24" t="inlineStr">
        <is>
          <t>Selected LNG observations: T&amp;T August 2025 and August 2026</t>
        </is>
      </c>
      <c r="G22" s="24" t="inlineStr">
        <is>
          <t>Table and PDF screenshot verified; not national totals</t>
        </is>
      </c>
    </row>
    <row r="23" ht="56" customHeight="1">
      <c r="A23" s="18" t="inlineStr">
        <is>
          <t>DANE_MICRO</t>
        </is>
      </c>
      <c r="B23" s="18" t="inlineStr">
        <is>
          <t>DANE</t>
        </is>
      </c>
      <c r="C23" s="18" t="inlineStr">
        <is>
          <t>Import microdata 2025-2026</t>
        </is>
      </c>
      <c r="D23" s="18" t="inlineStr">
        <is>
          <t>https://microdatos.dane.gov.co/index.php/catalog/856/get-microdata</t>
        </is>
      </c>
      <c r="E23" s="18" t="inlineStr">
        <is>
          <t>2026-10-27</t>
        </is>
      </c>
      <c r="F23" s="18" t="inlineStr">
        <is>
          <t>Lists Impo_2025_1.zip, Impo_2025_2.zip, Impo_2026.zip</t>
        </is>
      </c>
      <c r="G23" s="18" t="inlineStr">
        <is>
          <t>Catalog verified; archives not downloaded</t>
        </is>
      </c>
    </row>
    <row r="24" ht="56" customHeight="1">
      <c r="A24" s="24" t="inlineStr">
        <is>
          <t>DANE_DICT</t>
        </is>
      </c>
      <c r="B24" s="24" t="inlineStr">
        <is>
          <t>DANE</t>
        </is>
      </c>
      <c r="C24" s="24" t="inlineStr">
        <is>
          <t>Import data dictionary</t>
        </is>
      </c>
      <c r="D24" s="24" t="inlineStr">
        <is>
          <t>https://microdatos.dane.gov.co/index.php/catalog/856/data-dictionary/F1?file_name=Impo_2025+A+2026</t>
        </is>
      </c>
      <c r="E24" s="24" t="inlineStr">
        <is>
          <t>2026-10-27</t>
        </is>
      </c>
      <c r="F24" s="24" t="inlineStr">
        <is>
          <t>FECH, NABAN, PAISGEN, VAFODO, VACID, PNK, FLETE, SEGUROS</t>
        </is>
      </c>
      <c r="G24" s="24" t="inlineStr">
        <is>
          <t>Variable names verified; monthly loader requires real-file validation</t>
        </is>
      </c>
    </row>
    <row r="25" ht="56" customHeight="1">
      <c r="A25" s="18" t="inlineStr">
        <is>
          <t>DANE_CODES</t>
        </is>
      </c>
      <c r="B25" s="18" t="inlineStr">
        <is>
          <t>DANE</t>
        </is>
      </c>
      <c r="C25" s="18" t="inlineStr">
        <is>
          <t>Import statistics and country-code transition</t>
        </is>
      </c>
      <c r="D25" s="18" t="inlineStr">
        <is>
          <t>https://www.dane.gov.co/index.php/estadisticas-por-tema/comercio-internacional/importaciones</t>
        </is>
      </c>
      <c r="E25" s="18" t="inlineStr">
        <is>
          <t>2026-10-27</t>
        </is>
      </c>
      <c r="F25" s="18" t="inlineStr">
        <is>
          <t>M49 country codes from January 2025; ALADI/M49 crosswalk in catalog</t>
        </is>
      </c>
      <c r="G25" s="18" t="inlineStr">
        <is>
          <t>Methodology note retrieved</t>
        </is>
      </c>
    </row>
    <row r="26" ht="56" customHeight="1">
      <c r="A26" s="24" t="inlineStr">
        <is>
          <t>BMC_SCREENSHOT</t>
        </is>
      </c>
      <c r="B26" s="24" t="inlineStr">
        <is>
          <t>BMC / user-supplied image</t>
        </is>
      </c>
      <c r="C26" s="24" t="inlineStr">
        <is>
          <t>Prospective supply-demand scenario: UPME + OEF XM</t>
        </is>
      </c>
      <c r="D26" s="24" t="inlineStr">
        <is>
          <t>https://www.bmcbec.com.co/</t>
        </is>
      </c>
      <c r="E26" s="24" t="inlineStr">
        <is>
          <t>2026-10-27</t>
        </is>
      </c>
      <c r="F26" s="24" t="inlineStr">
        <is>
          <t>14 visible rows: Oct 2026 through Nov 2027</t>
        </is>
      </c>
      <c r="G26" s="24" t="inlineStr">
        <is>
          <t>Manually transcribed and arithmetic checked; underlying dashboard export not obtained</t>
        </is>
      </c>
    </row>
    <row r="27" ht="56" customHeight="1">
      <c r="A27" s="18" t="inlineStr">
        <is>
          <t>BMC_LOGIN</t>
        </is>
      </c>
      <c r="B27" s="18" t="inlineStr">
        <is>
          <t>BMC</t>
        </is>
      </c>
      <c r="C27" s="18" t="inlineStr">
        <is>
          <t>BI Gas portal</t>
        </is>
      </c>
      <c r="D27" s="18" t="inlineStr">
        <is>
          <t>https://www.bmcbec.com.co/cuadros-power-bi/inicio</t>
        </is>
      </c>
      <c r="E27" s="18" t="inlineStr">
        <is>
          <t>2026-10-27</t>
        </is>
      </c>
      <c r="F27" s="18" t="inlineStr">
        <is>
          <t>Public link redirected to login in this session</t>
        </is>
      </c>
      <c r="G27" s="18" t="inlineStr">
        <is>
          <t>No terminal-level time series exported</t>
        </is>
      </c>
    </row>
  </sheetData>
  <mergeCells count="2">
    <mergeCell ref="A1:G1"/>
    <mergeCell ref="A2:G3"/>
  </mergeCells>
  <printOptions horizontalCentered="1"/>
  <pageMargins left="0.75" right="0.75" top="1" bottom="1" header="0.5" footer="0.5"/>
  <pageSetup orientation="landscape" paperSize="8" fitToHeight="0" fitToWidth="1"/>
  <headerFooter>
    <oddHeader/>
    <oddFooter>&amp;CColombia natural gas | Sources and limitations inside workbook&amp;RPage &amp;P</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0"/>
    <pageSetUpPr fitToPage="1"/>
  </sheetPr>
  <dimension ref="A1:D2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31" customWidth="1" min="1" max="1"/>
    <col width="75" customWidth="1" min="2" max="2"/>
    <col width="35" customWidth="1" min="3" max="3"/>
    <col width="85" customWidth="1" min="4" max="4"/>
  </cols>
  <sheetData>
    <row r="1" ht="42" customHeight="1">
      <c r="A1" s="1" t="inlineStr">
        <is>
          <t>DATA DICTIONARY | USE AND LIMITS</t>
        </is>
      </c>
      <c r="B1" s="2" t="n"/>
      <c r="C1" s="2" t="n"/>
      <c r="D1" s="2" t="n"/>
    </row>
    <row r="2" ht="26" customHeight="1">
      <c r="A2" s="3" t="inlineStr">
        <is>
          <t>Trade values, physical supply and forward scenarios have different units and scopes. Keep those distinctions when building graphs or estimating the external-account impact.</t>
        </is>
      </c>
    </row>
    <row r="3" ht="16" customHeight="1"/>
    <row r="6" ht="42" customHeight="1">
      <c r="A6" s="12" t="inlineStr">
        <is>
          <t>Dataset / field</t>
        </is>
      </c>
      <c r="B6" s="12" t="inlineStr">
        <is>
          <t>Definition</t>
        </is>
      </c>
      <c r="C6" s="12" t="inlineStr">
        <is>
          <t>Unit / coding</t>
        </is>
      </c>
      <c r="D6" s="12" t="inlineStr">
        <is>
          <t>Treatment / limitation</t>
        </is>
      </c>
    </row>
    <row r="7" ht="62" customHeight="1">
      <c r="A7" s="18" t="inlineStr">
        <is>
          <t>Annual world / partner</t>
        </is>
      </c>
      <c r="B7" s="18" t="inlineStr">
        <is>
          <t>WITS public annual summaries; world records and partner records are separate.</t>
        </is>
      </c>
      <c r="C7" s="18" t="inlineStr">
        <is>
          <t>Calendar year; HS6</t>
        </is>
      </c>
      <c r="D7" s="18" t="inlineStr">
        <is>
          <t>Do not add world totals to countries. This is not declaration-level microdata.</t>
        </is>
      </c>
    </row>
    <row r="8" ht="62" customHeight="1">
      <c r="A8" s="24" t="inlineStr">
        <is>
          <t>HS 271111 / 2711110000</t>
        </is>
      </c>
      <c r="B8" s="24" t="inlineStr">
        <is>
          <t>Natural gas, liquefied (LNG).</t>
        </is>
      </c>
      <c r="C8" s="24" t="inlineStr">
        <is>
          <t>HS6 / Colombian HS10</t>
        </is>
      </c>
      <c r="D8" s="24" t="inlineStr">
        <is>
          <t>Used for the LNG series. LPG is excluded.</t>
        </is>
      </c>
    </row>
    <row r="9" ht="62" customHeight="1">
      <c r="A9" s="18" t="inlineStr">
        <is>
          <t>HS 271121 / 2711210000</t>
        </is>
      </c>
      <c r="B9" s="18" t="inlineStr">
        <is>
          <t>Natural gas in gaseous state.</t>
        </is>
      </c>
      <c r="C9" s="18" t="inlineStr">
        <is>
          <t>HS6 / Colombian HS10</t>
        </is>
      </c>
      <c r="D9" s="18" t="inlineStr">
        <is>
          <t>Separate from LNG. 2017-2020 were not retrieved in this extraction.</t>
        </is>
      </c>
    </row>
    <row r="10" ht="62" customHeight="1">
      <c r="A10" s="24" t="inlineStr">
        <is>
          <t>CIF value</t>
        </is>
      </c>
      <c r="B10" s="24" t="inlineStr">
        <is>
          <t>Customs value including cost, insurance and freight.</t>
        </is>
      </c>
      <c r="C10" s="24" t="inlineStr">
        <is>
          <t>US$</t>
        </is>
      </c>
      <c r="D10" s="24" t="inlineStr">
        <is>
          <t>Annual WITS values are CIF import values; do not use as exact FOB trade-balance contributions.</t>
        </is>
      </c>
    </row>
    <row r="11" ht="62" customHeight="1">
      <c r="A11" s="18" t="inlineStr">
        <is>
          <t>FOB value</t>
        </is>
      </c>
      <c r="B11" s="18" t="inlineStr">
        <is>
          <t>Value excluding international freight and insurance.</t>
        </is>
      </c>
      <c r="C11" s="18" t="inlineStr">
        <is>
          <t>US$; DANE field VAFODO</t>
        </is>
      </c>
      <c r="D11" s="18" t="inlineStr">
        <is>
          <t>Required for an exact comparison with the FOB merchandise-trade balance. Not available in the populated annual tables.</t>
        </is>
      </c>
    </row>
    <row r="12" ht="62" customHeight="1">
      <c r="A12" s="24" t="inlineStr">
        <is>
          <t>Reported quantity</t>
        </is>
      </c>
      <c r="B12" s="24" t="inlineStr">
        <is>
          <t>WITS quantity field, where provided in kg.</t>
        </is>
      </c>
      <c r="C12" s="24" t="inlineStr">
        <is>
          <t>kg; converted to metric tonnes</t>
        </is>
      </c>
      <c r="D12" s="24" t="inlineStr">
        <is>
          <t>Missing quantities remain null. Do not sum incomplete partners into a world quantity.</t>
        </is>
      </c>
    </row>
    <row r="13" ht="62" customHeight="1">
      <c r="A13" s="18" t="inlineStr">
        <is>
          <t>CIF unit value</t>
        </is>
      </c>
      <c r="B13" s="18" t="inlineStr">
        <is>
          <t>CIF dollar value divided by reported quantity in tonnes.</t>
        </is>
      </c>
      <c r="C13" s="18" t="inlineStr">
        <is>
          <t>US$/tonne</t>
        </is>
      </c>
      <c r="D13" s="18" t="inlineStr">
        <is>
          <t>Not a spot LNG price or a domestic tariff. Very small gaseous-gas trade may be non-bulk shipments.</t>
        </is>
      </c>
    </row>
    <row r="14" ht="62" customHeight="1">
      <c r="A14" s="24" t="inlineStr">
        <is>
          <t>Partner reported</t>
        </is>
      </c>
      <c r="B14" s="24" t="inlineStr">
        <is>
          <t>Country label exactly as displayed by WITS.</t>
        </is>
      </c>
      <c r="C14" s="24" t="inlineStr">
        <is>
          <t>Text</t>
        </is>
      </c>
      <c r="D14" s="24" t="inlineStr">
        <is>
          <t>May not identify the liquefaction country. Labels such as Switzerland and Ireland should not be relabelled without evidence.</t>
        </is>
      </c>
    </row>
    <row r="15" ht="62" customHeight="1">
      <c r="A15" s="18" t="inlineStr">
        <is>
          <t>Partner for analysis</t>
        </is>
      </c>
      <c r="B15" s="18" t="inlineStr">
        <is>
          <t>Reported label except the flagged 2025 LNG reconciliation.</t>
        </is>
      </c>
      <c r="C15" s="18" t="inlineStr">
        <is>
          <t>Text</t>
        </is>
      </c>
      <c r="D15" s="18" t="inlineStr">
        <is>
          <t>Tanzania -&gt; Trinidad and Tobago is supported by DANE December 2025 p11. Raw label remains available.</t>
        </is>
      </c>
    </row>
    <row r="16" ht="62" customHeight="1">
      <c r="A16" s="24" t="inlineStr">
        <is>
          <t>FECH</t>
        </is>
      </c>
      <c r="B16" s="24" t="inlineStr">
        <is>
          <t>DANE date field; dictionary example 2501.</t>
        </is>
      </c>
      <c r="C16" s="24" t="inlineStr">
        <is>
          <t>YYMM, e.g. 2501 = January 2025</t>
        </is>
      </c>
      <c r="D16" s="24" t="inlineStr">
        <is>
          <t>Loader also supports YYYYMM and common explicit date formats; ambiguous dates fail rather than silently convert.</t>
        </is>
      </c>
    </row>
    <row r="17" ht="62" customHeight="1">
      <c r="A17" s="18" t="inlineStr">
        <is>
          <t>NABAN</t>
        </is>
      </c>
      <c r="B17" s="18" t="inlineStr">
        <is>
          <t>Colombian customs commodity code.</t>
        </is>
      </c>
      <c r="C17" s="18" t="inlineStr">
        <is>
          <t>10-digit text</t>
        </is>
      </c>
      <c r="D17" s="18" t="inlineStr">
        <is>
          <t>Keep as text; filter exactly 2711110000 / 2711210000.</t>
        </is>
      </c>
    </row>
    <row r="18" ht="62" customHeight="1">
      <c r="A18" s="24" t="inlineStr">
        <is>
          <t>PAISGEN</t>
        </is>
      </c>
      <c r="B18" s="24" t="inlineStr">
        <is>
          <t>Country-of-origin code used in the proposed loader.</t>
        </is>
      </c>
      <c r="C18" s="24" t="inlineStr">
        <is>
          <t>M49 from January 2025; ALADI before</t>
        </is>
      </c>
      <c r="D18" s="24" t="inlineStr">
        <is>
          <t>Do not apply a single country-code mapping across the 2025 change. Older ALADI labels remain codes unless mapped separately.</t>
        </is>
      </c>
    </row>
    <row r="19" ht="62" customHeight="1">
      <c r="A19" s="18" t="inlineStr">
        <is>
          <t>VACID / VAFODO / PNK</t>
        </is>
      </c>
      <c r="B19" s="18" t="inlineStr">
        <is>
          <t>CIF dollars / FOB dollars / net weight.</t>
        </is>
      </c>
      <c r="C19" s="18" t="inlineStr">
        <is>
          <t>US$ / US$ / kg</t>
        </is>
      </c>
      <c r="D19" s="18" t="inlineStr">
        <is>
          <t>DANE field names verified; loader still needs validation on live source archives.</t>
        </is>
      </c>
    </row>
    <row r="20" ht="62" customHeight="1">
      <c r="A20" s="24" t="inlineStr">
        <is>
          <t>BMC MBTUD</t>
        </is>
      </c>
      <c r="B20" s="24" t="inlineStr">
        <is>
          <t>Million British thermal units per day, as labelled in the BMC chart.</t>
        </is>
      </c>
      <c r="C20" s="24" t="inlineStr">
        <is>
          <t>MBtu/day; energy flow</t>
        </is>
      </c>
      <c r="D20" s="24" t="inlineStr">
        <is>
          <t>Not money and not physical cubic-foot production. Do not mix with monthly customs mass.</t>
        </is>
      </c>
    </row>
    <row r="21" ht="62" customHeight="1">
      <c r="A21" s="18" t="inlineStr">
        <is>
          <t>BMC supply</t>
        </is>
      </c>
      <c r="B21" s="18" t="inlineStr">
        <is>
          <t>Total scenario supply displayed in the screenshot.</t>
        </is>
      </c>
      <c r="C21" s="18" t="inlineStr">
        <is>
          <t>MBtu/day</t>
        </is>
      </c>
      <c r="D21" s="18" t="inlineStr">
        <is>
          <t>Includes import-related components; not a domestic-production series or an LNG forecast.</t>
        </is>
      </c>
    </row>
    <row r="22" ht="62" customHeight="1">
      <c r="A22" s="24" t="inlineStr">
        <is>
          <t>BMC demand</t>
        </is>
      </c>
      <c r="B22" s="24" t="inlineStr">
        <is>
          <t>Selected projection: UPME + OEF XM.</t>
        </is>
      </c>
      <c r="C22" s="24" t="inlineStr">
        <is>
          <t>MBtu/day</t>
        </is>
      </c>
      <c r="D22" s="24" t="inlineStr">
        <is>
          <t>Only the exact 14 visible rows are included; the vintage was not visible.</t>
        </is>
      </c>
    </row>
    <row r="23" ht="62" customHeight="1">
      <c r="A23" s="18" t="inlineStr">
        <is>
          <t>Monthly importer</t>
        </is>
      </c>
      <c r="B23" s="18" t="inlineStr">
        <is>
          <t>Local-file loader plus optional direct public ZIP downloading.</t>
        </is>
      </c>
      <c r="C23" s="18" t="inlineStr">
        <is>
          <t>Python 3.10+; CSV/TSV/TXT in ZIP</t>
        </is>
      </c>
      <c r="D23" s="18" t="inlineStr">
        <is>
          <t>Synthetic tests passed. Live DANE ZIP downloading did not succeed in this session. Overlapping file-months are blocked by default.</t>
        </is>
      </c>
    </row>
    <row r="24" ht="62" customHeight="1">
      <c r="A24" s="24" t="inlineStr">
        <is>
          <t>Coverage / missing</t>
        </is>
      </c>
      <c r="B24" s="24" t="inlineStr">
        <is>
          <t>Absent cells are not assumed zero.</t>
        </is>
      </c>
      <c r="C24" s="24" t="inlineStr">
        <is>
          <t>null / blank</t>
        </is>
      </c>
      <c r="D24" s="24" t="inlineStr">
        <is>
          <t>No annual-to-monthly interpolation; no terminal-volume estimates from pixels; no fabricated 2026 national totals.</t>
        </is>
      </c>
    </row>
  </sheetData>
  <mergeCells count="2">
    <mergeCell ref="A1:D1"/>
    <mergeCell ref="A2:D3"/>
  </mergeCells>
  <printOptions horizontalCentered="1"/>
  <pageMargins left="0.75" right="0.75" top="1" bottom="1" header="0.5" footer="0.5"/>
  <pageSetup orientation="landscape" paperSize="8" fitToHeight="0" fitToWidth="1"/>
  <headerFooter>
    <oddHeader/>
    <oddFooter>&amp;CColombia natural gas | Sources and limitations inside workbook&amp;RPage &amp;P</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0"/>
    <pageSetUpPr fitToPage="1"/>
  </sheetPr>
  <dimension ref="A1:C11"/>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42" customWidth="1" min="1" max="1"/>
    <col width="25" customWidth="1" min="2" max="2"/>
    <col width="95" customWidth="1" min="3" max="3"/>
  </cols>
  <sheetData>
    <row r="1" ht="42" customHeight="1">
      <c r="A1" s="1" t="inlineStr">
        <is>
          <t>SETTINGS | CONVERSIONS AND INPUTS</t>
        </is>
      </c>
      <c r="B1" s="2" t="n"/>
      <c r="C1" s="2" t="n"/>
    </row>
    <row r="2" ht="26" customHeight="1">
      <c r="A2" s="3" t="inlineStr">
        <is>
          <t>Blue numeric cells are editable assumptions. Unit factors are constants; the price is an illustration, not a market forecast.</t>
        </is>
      </c>
    </row>
    <row r="3" ht="16" customHeight="1"/>
    <row r="6" ht="42" customHeight="1">
      <c r="A6" s="12" t="inlineStr">
        <is>
          <t>Setting</t>
        </is>
      </c>
      <c r="B6" s="12" t="inlineStr">
        <is>
          <t>Value</t>
        </is>
      </c>
      <c r="C6" s="12" t="inlineStr">
        <is>
          <t>Meaning / source</t>
        </is>
      </c>
    </row>
    <row r="7" ht="34" customHeight="1">
      <c r="A7" s="18" t="inlineStr">
        <is>
          <t>US$ thousands to US$</t>
        </is>
      </c>
      <c r="B7" s="45" t="n">
        <v>1000</v>
      </c>
      <c r="C7" s="18" t="inlineStr">
        <is>
          <t>Exact unit conversion.</t>
        </is>
      </c>
    </row>
    <row r="8" ht="34" customHeight="1">
      <c r="A8" s="24" t="inlineStr">
        <is>
          <t>US$ to US$ million</t>
        </is>
      </c>
      <c r="B8" s="46" t="n">
        <v>1000000</v>
      </c>
      <c r="C8" s="24" t="inlineStr">
        <is>
          <t>Exact unit conversion.</t>
        </is>
      </c>
    </row>
    <row r="9" ht="34" customHeight="1">
      <c r="A9" s="18" t="inlineStr">
        <is>
          <t>kg per metric tonne</t>
        </is>
      </c>
      <c r="B9" s="45" t="n">
        <v>1000</v>
      </c>
      <c r="C9" s="18" t="inlineStr">
        <is>
          <t>Exact unit conversion.</t>
        </is>
      </c>
    </row>
    <row r="10" ht="34" customHeight="1">
      <c r="A10" s="24" t="inlineStr">
        <is>
          <t>Illustrative LNG border price</t>
        </is>
      </c>
      <c r="B10" s="47" t="n">
        <v>12</v>
      </c>
      <c r="C10" s="24" t="inlineStr">
        <is>
          <t>US$/MMBtu; analyst input only, not observed or forecast.</t>
        </is>
      </c>
    </row>
    <row r="11" ht="34" customHeight="1">
      <c r="A11" s="18" t="inlineStr">
        <is>
          <t>Published-value rounding tolerance</t>
        </is>
      </c>
      <c r="B11" s="45" t="n">
        <v>50</v>
      </c>
      <c r="C11" s="18" t="inlineStr">
        <is>
          <t>US$; allows small rounded partner/world differences.</t>
        </is>
      </c>
    </row>
  </sheetData>
  <mergeCells count="2">
    <mergeCell ref="A1:C1"/>
    <mergeCell ref="A2:C3"/>
  </mergeCells>
  <printOptions horizontalCentered="1"/>
  <pageMargins left="0.75" right="0.75" top="1" bottom="1" header="0.5" footer="0.5"/>
  <pageSetup orientation="landscape" paperSize="8" fitToHeight="0" fitToWidth="1"/>
  <headerFooter>
    <oddHeader/>
    <oddFooter>&amp;CColombia natural gas | Sources and limitations inside workbook&amp;RPage &amp;P</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Research data compilation</dc:creator>
  <dc:title xmlns:dc="http://purl.org/dc/elements/1.1/">Colombia Natural Gas Import Database</dc:title>
  <dc:subject xmlns:dc="http://purl.org/dc/elements/1.1/">Verified annual customs summaries; selected monthly bulletin observations; BMC screenshot scenario</dc:subject>
  <dcterms:created xmlns:dcterms="http://purl.org/dc/terms/" xmlns:xsi="http://www.w3.org/2001/XMLSchema-instance" xsi:type="dcterms:W3CDTF">2026-10-27T12:50:11Z</dcterms:created>
  <dcterms:modified xmlns:dcterms="http://purl.org/dc/terms/" xmlns:xsi="http://www.w3.org/2001/XMLSchema-instance" xsi:type="dcterms:W3CDTF">2026-10-27T12:50:11Z</dcterms:modified>
</cp:coreProperties>
</file>