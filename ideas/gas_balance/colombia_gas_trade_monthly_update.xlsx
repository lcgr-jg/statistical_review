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comments/comment2.xml" ContentType="application/vnd.openxmlformats-officedocument.spreadsheetml.comments+xml"/>
  <Override PartName="/xl/tables/table4.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drawings/drawing2.xml" ContentType="application/vnd.openxmlformats-officedocument.drawing+xml"/>
  <Override PartName="/xl/worksheets/sheet9.xml" ContentType="application/vnd.openxmlformats-officedocument.spreadsheetml.worksheet+xml"/>
  <Override PartName="/xl/drawings/drawing3.xml" ContentType="application/vnd.openxmlformats-officedocument.drawing+xml"/>
  <Override PartName="/xl/worksheets/sheet10.xml" ContentType="application/vnd.openxmlformats-officedocument.spreadsheetml.worksheet+xml"/>
  <Override PartName="/xl/tables/table5.xml" ContentType="application/vnd.openxmlformats-officedocument.spreadsheetml.table+xml"/>
  <Override PartName="/xl/worksheets/sheet11.xml" ContentType="application/vnd.openxmlformats-officedocument.spreadsheetml.worksheet+xml"/>
  <Override PartName="/xl/comments/comment3.xml" ContentType="application/vnd.openxmlformats-officedocument.spreadsheetml.comments+xml"/>
  <Override PartName="/xl/tables/table6.xml" ContentType="application/vnd.openxmlformats-officedocument.spreadsheetml.table+xml"/>
  <Override PartName="/xl/worksheets/sheet12.xml" ContentType="application/vnd.openxmlformats-officedocument.spreadsheetml.worksheet+xml"/>
  <Override PartName="/xl/comments/comment4.xml" ContentType="application/vnd.openxmlformats-officedocument.spreadsheetml.comments+xml"/>
  <Override PartName="/xl/tables/table7.xml" ContentType="application/vnd.openxmlformats-officedocument.spreadsheetml.table+xml"/>
  <Override PartName="/xl/worksheets/sheet13.xml" ContentType="application/vnd.openxmlformats-officedocument.spreadsheetml.worksheet+xml"/>
  <Override PartName="/xl/comments/comment5.xml" ContentType="application/vnd.openxmlformats-officedocument.spreadsheetml.comments+xml"/>
  <Override PartName="/xl/tables/table8.xml" ContentType="application/vnd.openxmlformats-officedocument.spreadsheetml.table+xml"/>
  <Override PartName="/xl/worksheets/sheet14.xml" ContentType="application/vnd.openxmlformats-officedocument.spreadsheetml.worksheet+xml"/>
  <Override PartName="/xl/comments/comment6.xml" ContentType="application/vnd.openxmlformats-officedocument.spreadsheetml.comments+xml"/>
  <Override PartName="/xl/tables/table9.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tables/table10.xml" ContentType="application/vnd.openxmlformats-officedocument.spreadsheetml.table+xml"/>
  <Override PartName="/xl/worksheets/sheet17.xml" ContentType="application/vnd.openxmlformats-officedocument.spreadsheetml.worksheet+xml"/>
  <Override PartName="/xl/tables/table11.xml" ContentType="application/vnd.openxmlformats-officedocument.spreadsheetml.table+xml"/>
  <Override PartName="/xl/worksheets/sheet18.xml" ContentType="application/vnd.openxmlformats-officedocument.spreadsheetml.worksheet+xml"/>
  <Override PartName="/xl/tables/table12.xml" ContentType="application/vnd.openxmlformats-officedocument.spreadsheetml.table+xml"/>
  <Override PartName="/xl/worksheets/sheet19.xml" ContentType="application/vnd.openxmlformats-officedocument.spreadsheetml.worksheet+xml"/>
  <Override PartName="/xl/comments/comment7.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Read me" sheetId="1" state="visible" r:id="rId1"/>
    <sheet xmlns:r="http://schemas.openxmlformats.org/officeDocument/2006/relationships" name="Monthly dashboard" sheetId="2" state="visible" r:id="rId2"/>
    <sheet xmlns:r="http://schemas.openxmlformats.org/officeDocument/2006/relationships" name="DIAN raw" sheetId="3" state="visible" r:id="rId3"/>
    <sheet xmlns:r="http://schemas.openxmlformats.org/officeDocument/2006/relationships" name="Monthly comparison" sheetId="4" state="visible" r:id="rId4"/>
    <sheet xmlns:r="http://schemas.openxmlformats.org/officeDocument/2006/relationships" name="Monthly long" sheetId="5" state="visible" r:id="rId5"/>
    <sheet xmlns:r="http://schemas.openxmlformats.org/officeDocument/2006/relationships" name="Period analysis" sheetId="6" state="visible" r:id="rId6"/>
    <sheet xmlns:r="http://schemas.openxmlformats.org/officeDocument/2006/relationships" name="Monthly checks" sheetId="7" state="visible" r:id="rId7"/>
    <sheet xmlns:r="http://schemas.openxmlformats.org/officeDocument/2006/relationships" name="DIAN evidence" sheetId="8" state="visible" r:id="rId8"/>
    <sheet xmlns:r="http://schemas.openxmlformats.org/officeDocument/2006/relationships" name="Charts" sheetId="9" state="visible" r:id="rId9"/>
    <sheet xmlns:r="http://schemas.openxmlformats.org/officeDocument/2006/relationships" name="Annual imports" sheetId="10" state="visible" r:id="rId10"/>
    <sheet xmlns:r="http://schemas.openxmlformats.org/officeDocument/2006/relationships" name="Annual raw" sheetId="11" state="visible" r:id="rId11"/>
    <sheet xmlns:r="http://schemas.openxmlformats.org/officeDocument/2006/relationships" name="Partners" sheetId="12" state="visible" r:id="rId12"/>
    <sheet xmlns:r="http://schemas.openxmlformats.org/officeDocument/2006/relationships" name="BMC scenario" sheetId="13" state="visible" r:id="rId13"/>
    <sheet xmlns:r="http://schemas.openxmlformats.org/officeDocument/2006/relationships" name="Selected monthly" sheetId="14" state="visible" r:id="rId14"/>
    <sheet xmlns:r="http://schemas.openxmlformats.org/officeDocument/2006/relationships" name="Monthly imports" sheetId="15" state="visible" r:id="rId15"/>
    <sheet xmlns:r="http://schemas.openxmlformats.org/officeDocument/2006/relationships" name="Checks" sheetId="16" state="visible" r:id="rId16"/>
    <sheet xmlns:r="http://schemas.openxmlformats.org/officeDocument/2006/relationships" name="Sources" sheetId="17" state="visible" r:id="rId17"/>
    <sheet xmlns:r="http://schemas.openxmlformats.org/officeDocument/2006/relationships" name="Dictionary" sheetId="18" state="visible" r:id="rId18"/>
    <sheet xmlns:r="http://schemas.openxmlformats.org/officeDocument/2006/relationships" name="Settings" sheetId="19" state="visible" r:id="rId19"/>
  </sheets>
  <definedNames>
    <definedName name="_xlnm.Print_Titles" localSheetId="0">'Read me'!$1:$6</definedName>
    <definedName name="_xlnm.Print_Area" localSheetId="1">'Monthly dashboard'!$A$1:$I$68</definedName>
    <definedName name="_xlnm.Print_Titles" localSheetId="8">'Charts'!$1:$6</definedName>
    <definedName name="_xlnm.Print_Titles" localSheetId="9">'Annual imports'!$1:$6</definedName>
    <definedName name="_xlnm.Print_Titles" localSheetId="10">'Annual raw'!$1:$6</definedName>
    <definedName name="_xlnm.Print_Titles" localSheetId="11">'Partners'!$1:$6</definedName>
    <definedName name="_xlnm.Print_Titles" localSheetId="12">'BMC scenario'!$1:$6</definedName>
    <definedName name="_xlnm.Print_Titles" localSheetId="13">'Selected monthly'!$1:$6</definedName>
    <definedName name="_xlnm.Print_Titles" localSheetId="14">'Monthly imports'!$1:$6</definedName>
    <definedName name="_xlnm.Print_Titles" localSheetId="15">'Checks'!$1:$6</definedName>
    <definedName name="_xlnm.Print_Titles" localSheetId="16">'Sources'!$1:$6</definedName>
    <definedName name="_xlnm.Print_Titles" localSheetId="17">'Dictionary'!$1:$6</definedName>
    <definedName name="_xlnm.Print_Titles" localSheetId="18">'Settings'!$1:$6</definedName>
  </definedNames>
  <calcPr calcId="191029" fullCalcOnLoad="1" forceFullCalc="1"/>
</workbook>
</file>

<file path=xl/styles.xml><?xml version="1.0" encoding="utf-8"?>
<styleSheet xmlns="http://schemas.openxmlformats.org/spreadsheetml/2006/main">
  <numFmts count="9">
    <numFmt numFmtId="164" formatCode="$0.0&quot;m&quot;"/>
    <numFmt numFmtId="165" formatCode="#,##0.00;[Red](#,##0.00);&quot;-&quot;"/>
    <numFmt numFmtId="166" formatCode="0.0%;[Red](0.0%);&quot;-&quot;"/>
    <numFmt numFmtId="167" formatCode="#,##0;[Red](#,##0);&quot;-&quot;"/>
    <numFmt numFmtId="168" formatCode="mmm yyyy"/>
    <numFmt numFmtId="169" formatCode="0.0"/>
    <numFmt numFmtId="170" formatCode="0.000;[Red](0.000);&quot;-&quot;"/>
    <numFmt numFmtId="171" formatCode="yyyy-mm-dd h:mm:ss"/>
    <numFmt numFmtId="172" formatCode="&quot;$&quot;#,##0.0&quot;m&quot;"/>
  </numFmts>
  <fonts count="24">
    <font>
      <name val="Calibri"/>
      <family val="2"/>
      <color theme="1"/>
      <sz val="11"/>
      <scheme val="minor"/>
    </font>
    <font>
      <name val="Aptos Display"/>
      <b val="1"/>
      <color rgb="00FFFFFF"/>
      <sz val="22"/>
    </font>
    <font>
      <name val="Aptos"/>
      <color rgb="00667783"/>
      <sz val="11"/>
    </font>
    <font>
      <name val="Aptos"/>
      <b val="1"/>
      <color rgb="00FFFFFF"/>
      <sz val="10"/>
    </font>
    <font>
      <name val="Aptos"/>
      <color rgb="00008000"/>
      <sz val="10"/>
    </font>
    <font>
      <name val="Aptos"/>
      <color rgb="000000FF"/>
      <sz val="11"/>
    </font>
    <font>
      <name val="Aptos"/>
      <color rgb="00000000"/>
      <sz val="10"/>
    </font>
    <font>
      <name val="Aptos"/>
      <color rgb="00B66B16"/>
      <sz val="10"/>
    </font>
    <font>
      <name val="Aptos"/>
      <color rgb="00B66B16"/>
      <sz val="11"/>
    </font>
    <font>
      <name val="Aptos"/>
      <color rgb="000000FF"/>
      <sz val="10"/>
    </font>
    <font>
      <name val="Aptos"/>
      <b val="1"/>
      <color rgb="00137D87"/>
      <sz val="10"/>
    </font>
    <font>
      <name val="Aptos Display"/>
      <b val="1"/>
      <color rgb="0018384A"/>
      <sz val="24"/>
    </font>
    <font>
      <name val="Aptos Display"/>
      <b val="1"/>
      <color rgb="00B66B16"/>
      <sz val="24"/>
    </font>
    <font>
      <name val="Aptos"/>
      <b val="1"/>
      <color rgb="00137D87"/>
      <sz val="12"/>
    </font>
    <font>
      <name val="Aptos"/>
      <color rgb="0018384A"/>
      <sz val="11"/>
    </font>
    <font>
      <name val="Aptos"/>
      <color rgb="00627585"/>
      <sz val="11"/>
    </font>
    <font>
      <name val="Aptos"/>
      <b val="1"/>
      <color rgb="0018384A"/>
    </font>
    <font>
      <name val="Aptos"/>
      <color rgb="00B96911"/>
      <sz val="11"/>
    </font>
    <font>
      <name val="Aptos"/>
      <color rgb="00627585"/>
      <sz val="10"/>
    </font>
    <font>
      <name val="Aptos"/>
      <b val="1"/>
      <color rgb="00FFFFFF"/>
    </font>
    <font>
      <name val="Aptos"/>
      <color rgb="00627585"/>
    </font>
    <font>
      <name val="Aptos"/>
      <b val="1"/>
      <color rgb="0000818A"/>
      <sz val="10"/>
    </font>
    <font>
      <name val="Aptos Display"/>
      <b val="1"/>
      <color rgb="0018384A"/>
      <sz val="25"/>
    </font>
    <font>
      <name val="Aptos Display"/>
      <b val="1"/>
      <color rgb="00B96911"/>
      <sz val="20"/>
    </font>
  </fonts>
  <fills count="9">
    <fill>
      <patternFill/>
    </fill>
    <fill>
      <patternFill patternType="gray125"/>
    </fill>
    <fill>
      <patternFill patternType="solid">
        <fgColor rgb="0018384A"/>
      </patternFill>
    </fill>
    <fill>
      <patternFill patternType="solid">
        <fgColor rgb="00137D87"/>
      </patternFill>
    </fill>
    <fill>
      <patternFill patternType="solid">
        <fgColor rgb="00F2F7F8"/>
      </patternFill>
    </fill>
    <fill>
      <patternFill patternType="solid">
        <fgColor rgb="00FFF3B8"/>
      </patternFill>
    </fill>
    <fill>
      <patternFill patternType="solid">
        <fgColor rgb="00FFF0D9"/>
      </patternFill>
    </fill>
    <fill>
      <patternFill patternType="solid">
        <fgColor rgb="00FFF2D5"/>
      </patternFill>
    </fill>
    <fill>
      <patternFill patternType="solid">
        <fgColor rgb="00FCE3E3"/>
      </patternFill>
    </fill>
  </fills>
  <borders count="2">
    <border>
      <left/>
      <right/>
      <top/>
      <bottom/>
      <diagonal/>
    </border>
    <border>
      <top style="thin">
        <color rgb="00627585"/>
      </top>
    </border>
  </borders>
  <cellStyleXfs count="1">
    <xf numFmtId="0" fontId="0" fillId="0" borderId="0"/>
  </cellStyleXfs>
  <cellXfs count="101">
    <xf numFmtId="0" fontId="0" fillId="0" borderId="0" pivotButton="0" quotePrefix="0" xfId="0"/>
    <xf numFmtId="0" fontId="1" fillId="2" borderId="0" pivotButton="0" quotePrefix="0" xfId="0"/>
    <xf numFmtId="0" fontId="0" fillId="2" borderId="0" pivotButton="0" quotePrefix="0" xfId="0"/>
    <xf numFmtId="0" fontId="2" fillId="0" borderId="0" applyAlignment="1" pivotButton="0" quotePrefix="0" xfId="0">
      <alignment vertical="center" wrapText="1"/>
    </xf>
    <xf numFmtId="0" fontId="10" fillId="0" borderId="0" pivotButton="0" quotePrefix="0" xfId="0"/>
    <xf numFmtId="164" fontId="11" fillId="0" borderId="0" applyAlignment="1" pivotButton="0" quotePrefix="0" xfId="0">
      <alignment horizontal="left" vertical="center"/>
    </xf>
    <xf numFmtId="0" fontId="11" fillId="0" borderId="0" applyAlignment="1" pivotButton="0" quotePrefix="0" xfId="0">
      <alignment horizontal="left" vertical="center"/>
    </xf>
    <xf numFmtId="0" fontId="12" fillId="0" borderId="0" applyAlignment="1" pivotButton="0" quotePrefix="0" xfId="0">
      <alignment horizontal="left" vertical="center"/>
    </xf>
    <xf numFmtId="0" fontId="8" fillId="0" borderId="0" applyAlignment="1" pivotButton="0" quotePrefix="0" xfId="0">
      <alignment vertical="center" wrapText="1"/>
    </xf>
    <xf numFmtId="0" fontId="13" fillId="0" borderId="0" pivotButton="0" quotePrefix="0" xfId="0"/>
    <xf numFmtId="0" fontId="14" fillId="0" borderId="0" applyAlignment="1" pivotButton="0" quotePrefix="0" xfId="0">
      <alignment vertical="center" wrapText="1"/>
    </xf>
    <xf numFmtId="165" fontId="0" fillId="0" borderId="0" pivotButton="0" quotePrefix="0" xfId="0"/>
    <xf numFmtId="0" fontId="3" fillId="3" borderId="0" applyAlignment="1" pivotButton="0" quotePrefix="0" xfId="0">
      <alignment vertical="center" wrapText="1"/>
    </xf>
    <xf numFmtId="1" fontId="4" fillId="0" borderId="0" applyAlignment="1" pivotButton="0" quotePrefix="0" xfId="0">
      <alignment horizontal="right" vertical="center" wrapText="1"/>
    </xf>
    <xf numFmtId="165" fontId="4" fillId="0" borderId="0" applyAlignment="1" pivotButton="0" quotePrefix="0" xfId="0">
      <alignment horizontal="right" vertical="center" wrapText="1"/>
    </xf>
    <xf numFmtId="165" fontId="4" fillId="0" borderId="0" applyAlignment="1" pivotButton="0" quotePrefix="0" xfId="0">
      <alignment horizontal="left" vertical="center" wrapText="1"/>
    </xf>
    <xf numFmtId="165" fontId="6" fillId="0" borderId="0" applyAlignment="1" pivotButton="0" quotePrefix="0" xfId="0">
      <alignment horizontal="right" vertical="center" wrapText="1"/>
    </xf>
    <xf numFmtId="166" fontId="4" fillId="0" borderId="0" applyAlignment="1" pivotButton="0" quotePrefix="0" xfId="0">
      <alignment horizontal="left" vertical="center" wrapText="1"/>
    </xf>
    <xf numFmtId="0" fontId="4" fillId="0" borderId="0" applyAlignment="1" pivotButton="0" quotePrefix="0" xfId="0">
      <alignment horizontal="left" vertical="center" wrapText="1"/>
    </xf>
    <xf numFmtId="1" fontId="4" fillId="4" borderId="0" applyAlignment="1" pivotButton="0" quotePrefix="0" xfId="0">
      <alignment horizontal="right" vertical="center" wrapText="1"/>
    </xf>
    <xf numFmtId="165" fontId="4" fillId="4" borderId="0" applyAlignment="1" pivotButton="0" quotePrefix="0" xfId="0">
      <alignment horizontal="right" vertical="center" wrapText="1"/>
    </xf>
    <xf numFmtId="165" fontId="4" fillId="4" borderId="0" applyAlignment="1" pivotButton="0" quotePrefix="0" xfId="0">
      <alignment horizontal="left" vertical="center" wrapText="1"/>
    </xf>
    <xf numFmtId="165" fontId="6" fillId="4" borderId="0" applyAlignment="1" pivotButton="0" quotePrefix="0" xfId="0">
      <alignment horizontal="right" vertical="center" wrapText="1"/>
    </xf>
    <xf numFmtId="166" fontId="6" fillId="4" borderId="0" applyAlignment="1" pivotButton="0" quotePrefix="0" xfId="0">
      <alignment horizontal="right" vertical="center" wrapText="1"/>
    </xf>
    <xf numFmtId="0" fontId="4" fillId="4" borderId="0" applyAlignment="1" pivotButton="0" quotePrefix="0" xfId="0">
      <alignment horizontal="left" vertical="center" wrapText="1"/>
    </xf>
    <xf numFmtId="166" fontId="6" fillId="0" borderId="0" applyAlignment="1" pivotButton="0" quotePrefix="0" xfId="0">
      <alignment horizontal="right" vertical="center" wrapText="1"/>
    </xf>
    <xf numFmtId="0" fontId="7" fillId="0" borderId="0" applyAlignment="1" pivotButton="0" quotePrefix="0" xfId="0">
      <alignment horizontal="left" vertical="center" wrapText="1"/>
    </xf>
    <xf numFmtId="167" fontId="4" fillId="0" borderId="0" applyAlignment="1" pivotButton="0" quotePrefix="0" xfId="0">
      <alignment horizontal="right" vertical="center" wrapText="1"/>
    </xf>
    <xf numFmtId="0" fontId="6" fillId="0" borderId="0" applyAlignment="1" pivotButton="0" quotePrefix="0" xfId="0">
      <alignment horizontal="right" vertical="center" wrapText="1"/>
    </xf>
    <xf numFmtId="167" fontId="4" fillId="4" borderId="0" applyAlignment="1" pivotButton="0" quotePrefix="0" xfId="0">
      <alignment horizontal="right" vertical="center" wrapText="1"/>
    </xf>
    <xf numFmtId="0" fontId="6" fillId="4" borderId="0" applyAlignment="1" pivotButton="0" quotePrefix="0" xfId="0">
      <alignment horizontal="right" vertical="center" wrapText="1"/>
    </xf>
    <xf numFmtId="167" fontId="4" fillId="0" borderId="0" applyAlignment="1" pivotButton="0" quotePrefix="0" xfId="0">
      <alignment horizontal="left" vertical="center" wrapText="1"/>
    </xf>
    <xf numFmtId="167" fontId="4" fillId="4" borderId="0" applyAlignment="1" pivotButton="0" quotePrefix="0" xfId="0">
      <alignment horizontal="left" vertical="center" wrapText="1"/>
    </xf>
    <xf numFmtId="0" fontId="7" fillId="6" borderId="0" applyAlignment="1" pivotButton="0" quotePrefix="0" xfId="0">
      <alignment horizontal="left" vertical="center" wrapText="1"/>
    </xf>
    <xf numFmtId="168" fontId="4" fillId="0" borderId="0" applyAlignment="1" pivotButton="0" quotePrefix="0" xfId="0">
      <alignment horizontal="left" vertical="center" wrapText="1"/>
    </xf>
    <xf numFmtId="167" fontId="6" fillId="0" borderId="0" applyAlignment="1" pivotButton="0" quotePrefix="0" xfId="0">
      <alignment horizontal="right" vertical="center" wrapText="1"/>
    </xf>
    <xf numFmtId="0" fontId="6" fillId="0" borderId="0" applyAlignment="1" pivotButton="0" quotePrefix="0" xfId="0">
      <alignment horizontal="center" vertical="center"/>
    </xf>
    <xf numFmtId="167" fontId="9" fillId="5" borderId="0" applyAlignment="1" pivotButton="0" quotePrefix="0" xfId="0">
      <alignment horizontal="left" vertical="center" wrapText="1"/>
    </xf>
    <xf numFmtId="2" fontId="4" fillId="0" borderId="0" applyAlignment="1" pivotButton="0" quotePrefix="0" xfId="0">
      <alignment horizontal="right" vertical="center" wrapText="1"/>
    </xf>
    <xf numFmtId="168" fontId="4" fillId="4" borderId="0" applyAlignment="1" pivotButton="0" quotePrefix="0" xfId="0">
      <alignment horizontal="left" vertical="center" wrapText="1"/>
    </xf>
    <xf numFmtId="167" fontId="6" fillId="4" borderId="0" applyAlignment="1" pivotButton="0" quotePrefix="0" xfId="0">
      <alignment horizontal="right" vertical="center" wrapText="1"/>
    </xf>
    <xf numFmtId="0" fontId="6" fillId="4" borderId="0" applyAlignment="1" pivotButton="0" quotePrefix="0" xfId="0">
      <alignment horizontal="center" vertical="center"/>
    </xf>
    <xf numFmtId="2" fontId="4" fillId="4" borderId="0" applyAlignment="1" pivotButton="0" quotePrefix="0" xfId="0">
      <alignment horizontal="right" vertical="center" wrapText="1"/>
    </xf>
    <xf numFmtId="169" fontId="4" fillId="0" borderId="0" applyAlignment="1" pivotButton="0" quotePrefix="0" xfId="0">
      <alignment horizontal="right" vertical="center" wrapText="1"/>
    </xf>
    <xf numFmtId="169" fontId="4" fillId="4" borderId="0" applyAlignment="1" pivotButton="0" quotePrefix="0" xfId="0">
      <alignment horizontal="right" vertical="center" wrapText="1"/>
    </xf>
    <xf numFmtId="165" fontId="5" fillId="0" borderId="0" applyAlignment="1" pivotButton="0" quotePrefix="0" xfId="0">
      <alignment horizontal="right" vertical="center" wrapText="1"/>
    </xf>
    <xf numFmtId="165" fontId="5" fillId="4" borderId="0" applyAlignment="1" pivotButton="0" quotePrefix="0" xfId="0">
      <alignment horizontal="right" vertical="center" wrapText="1"/>
    </xf>
    <xf numFmtId="165" fontId="5" fillId="5" borderId="0" applyAlignment="1" pivotButton="0" quotePrefix="0" xfId="0">
      <alignment horizontal="right" vertical="center" wrapText="1"/>
    </xf>
    <xf numFmtId="164" fontId="11" fillId="0" borderId="0" applyAlignment="1" pivotButton="0" quotePrefix="0" xfId="0">
      <alignment horizontal="left" vertical="center"/>
    </xf>
    <xf numFmtId="0" fontId="23" fillId="0" borderId="0" applyAlignment="1" pivotButton="0" quotePrefix="0" xfId="0">
      <alignment horizontal="left" vertical="center"/>
    </xf>
    <xf numFmtId="0" fontId="1" fillId="2" borderId="0" applyAlignment="1" pivotButton="0" quotePrefix="0" xfId="0">
      <alignment vertical="center"/>
    </xf>
    <xf numFmtId="0" fontId="15" fillId="0" borderId="0" applyAlignment="1" pivotButton="0" quotePrefix="0" xfId="0">
      <alignment vertical="center" wrapText="1"/>
    </xf>
    <xf numFmtId="0" fontId="21" fillId="0" borderId="0" applyAlignment="1" pivotButton="0" quotePrefix="0" xfId="0">
      <alignment wrapText="1"/>
    </xf>
    <xf numFmtId="172" fontId="22" fillId="0" borderId="0" applyAlignment="1" pivotButton="0" quotePrefix="0" xfId="0">
      <alignment vertical="center"/>
    </xf>
    <xf numFmtId="166" fontId="22" fillId="0" borderId="0" applyAlignment="1" pivotButton="0" quotePrefix="0" xfId="0">
      <alignment vertical="center"/>
    </xf>
    <xf numFmtId="0" fontId="17" fillId="7" borderId="0" applyAlignment="1" pivotButton="0" quotePrefix="0" xfId="0">
      <alignment vertical="center" wrapText="1"/>
    </xf>
    <xf numFmtId="0" fontId="3" fillId="2" borderId="0" applyAlignment="1" pivotButton="0" quotePrefix="0" xfId="0">
      <alignment horizontal="left" vertical="center" wrapText="1"/>
    </xf>
    <xf numFmtId="0" fontId="3" fillId="2" borderId="0" applyAlignment="1" pivotButton="0" quotePrefix="0" xfId="0">
      <alignment horizontal="right" vertical="center" wrapText="1"/>
    </xf>
    <xf numFmtId="165" fontId="4" fillId="0" borderId="0" applyAlignment="1" pivotButton="0" quotePrefix="0" xfId="0">
      <alignment horizontal="right" vertical="center" wrapText="1"/>
    </xf>
    <xf numFmtId="166" fontId="4" fillId="0" borderId="0" applyAlignment="1" pivotButton="0" quotePrefix="0" xfId="0">
      <alignment horizontal="right" vertical="center" wrapText="1"/>
    </xf>
    <xf numFmtId="0" fontId="16" fillId="0" borderId="0" pivotButton="0" quotePrefix="0" xfId="0"/>
    <xf numFmtId="165" fontId="6" fillId="0" borderId="1" applyAlignment="1" pivotButton="0" quotePrefix="0" xfId="0">
      <alignment horizontal="right" vertical="center" wrapText="1"/>
    </xf>
    <xf numFmtId="165" fontId="4" fillId="0" borderId="1" applyAlignment="1" pivotButton="0" quotePrefix="0" xfId="0">
      <alignment horizontal="right" vertical="center" wrapText="1"/>
    </xf>
    <xf numFmtId="166" fontId="0" fillId="0" borderId="0" pivotButton="0" quotePrefix="0" xfId="0"/>
    <xf numFmtId="0" fontId="18" fillId="0" borderId="0" applyAlignment="1" pivotButton="0" quotePrefix="0" xfId="0">
      <alignment horizontal="left" vertical="center" wrapText="1"/>
    </xf>
    <xf numFmtId="165" fontId="6" fillId="0" borderId="0" applyAlignment="1" pivotButton="0" quotePrefix="0" xfId="0">
      <alignment horizontal="right" vertical="center" wrapText="1"/>
    </xf>
    <xf numFmtId="170" fontId="6" fillId="0" borderId="0" applyAlignment="1" pivotButton="0" quotePrefix="0" xfId="0">
      <alignment horizontal="right" vertical="center" wrapText="1"/>
    </xf>
    <xf numFmtId="0" fontId="4" fillId="0" borderId="0" applyAlignment="1" pivotButton="0" quotePrefix="0" xfId="0">
      <alignment horizontal="right" vertical="center" wrapText="1"/>
    </xf>
    <xf numFmtId="0" fontId="18" fillId="7" borderId="0" applyAlignment="1" pivotButton="0" quotePrefix="0" xfId="0">
      <alignment horizontal="left" vertical="center" wrapText="1"/>
    </xf>
    <xf numFmtId="165" fontId="4" fillId="7" borderId="0" applyAlignment="1" pivotButton="0" quotePrefix="0" xfId="0">
      <alignment horizontal="right" vertical="center" wrapText="1"/>
    </xf>
    <xf numFmtId="166" fontId="6" fillId="7" borderId="0" applyAlignment="1" pivotButton="0" quotePrefix="0" xfId="0">
      <alignment horizontal="right" vertical="center" wrapText="1"/>
    </xf>
    <xf numFmtId="165" fontId="6" fillId="7" borderId="0" applyAlignment="1" pivotButton="0" quotePrefix="0" xfId="0">
      <alignment horizontal="right" vertical="center" wrapText="1"/>
    </xf>
    <xf numFmtId="170" fontId="6" fillId="7" borderId="0" applyAlignment="1" pivotButton="0" quotePrefix="0" xfId="0">
      <alignment horizontal="right" vertical="center" wrapText="1"/>
    </xf>
    <xf numFmtId="0" fontId="4" fillId="7" borderId="0" applyAlignment="1" pivotButton="0" quotePrefix="0" xfId="0">
      <alignment horizontal="right" vertical="center" wrapText="1"/>
    </xf>
    <xf numFmtId="168" fontId="18" fillId="0" borderId="0" applyAlignment="1" pivotButton="0" quotePrefix="0" xfId="0">
      <alignment horizontal="left" vertical="center" wrapText="1"/>
    </xf>
    <xf numFmtId="1" fontId="18" fillId="0" borderId="0" applyAlignment="1" pivotButton="0" quotePrefix="0" xfId="0">
      <alignment horizontal="right" vertical="center" wrapText="1"/>
    </xf>
    <xf numFmtId="167" fontId="4" fillId="0" borderId="0" applyAlignment="1" pivotButton="0" quotePrefix="0" xfId="0">
      <alignment horizontal="right" vertical="center" wrapText="1"/>
    </xf>
    <xf numFmtId="0" fontId="19" fillId="2" borderId="0" pivotButton="0" quotePrefix="0" xfId="0"/>
    <xf numFmtId="0" fontId="20" fillId="0" borderId="0" pivotButton="0" quotePrefix="0" xfId="0"/>
    <xf numFmtId="0" fontId="18" fillId="8" borderId="0" applyAlignment="1" pivotButton="0" quotePrefix="0" xfId="0">
      <alignment horizontal="left" vertical="center" wrapText="1"/>
    </xf>
    <xf numFmtId="165" fontId="4" fillId="8" borderId="0" applyAlignment="1" pivotButton="0" quotePrefix="0" xfId="0">
      <alignment horizontal="right" vertical="center" wrapText="1"/>
    </xf>
    <xf numFmtId="165" fontId="6" fillId="8" borderId="0" applyAlignment="1" pivotButton="0" quotePrefix="0" xfId="0">
      <alignment horizontal="right" vertical="center" wrapText="1"/>
    </xf>
    <xf numFmtId="165" fontId="18" fillId="8" borderId="0" applyAlignment="1" pivotButton="0" quotePrefix="0" xfId="0">
      <alignment horizontal="right" vertical="center" wrapText="1"/>
    </xf>
    <xf numFmtId="0" fontId="6" fillId="8" borderId="0" applyAlignment="1" pivotButton="0" quotePrefix="0" xfId="0">
      <alignment horizontal="right" vertical="center" wrapText="1"/>
    </xf>
    <xf numFmtId="165" fontId="18" fillId="0" borderId="0" applyAlignment="1" pivotButton="0" quotePrefix="0" xfId="0">
      <alignment horizontal="right" vertical="center" wrapText="1"/>
    </xf>
    <xf numFmtId="166" fontId="18" fillId="0" borderId="0" applyAlignment="1" pivotButton="0" quotePrefix="0" xfId="0">
      <alignment horizontal="right" vertical="center" wrapText="1"/>
    </xf>
    <xf numFmtId="165" fontId="0" fillId="0" borderId="0" pivotButton="0" quotePrefix="0" xfId="0"/>
    <xf numFmtId="165" fontId="4" fillId="0" borderId="0" applyAlignment="1" pivotButton="0" quotePrefix="0" xfId="0">
      <alignment horizontal="left" vertical="center" wrapText="1"/>
    </xf>
    <xf numFmtId="165" fontId="4" fillId="4" borderId="0" applyAlignment="1" pivotButton="0" quotePrefix="0" xfId="0">
      <alignment horizontal="right" vertical="center" wrapText="1"/>
    </xf>
    <xf numFmtId="165" fontId="4" fillId="4" borderId="0" applyAlignment="1" pivotButton="0" quotePrefix="0" xfId="0">
      <alignment horizontal="left" vertical="center" wrapText="1"/>
    </xf>
    <xf numFmtId="165" fontId="6" fillId="4" borderId="0" applyAlignment="1" pivotButton="0" quotePrefix="0" xfId="0">
      <alignment horizontal="right" vertical="center" wrapText="1"/>
    </xf>
    <xf numFmtId="167" fontId="4" fillId="4" borderId="0" applyAlignment="1" pivotButton="0" quotePrefix="0" xfId="0">
      <alignment horizontal="right" vertical="center" wrapText="1"/>
    </xf>
    <xf numFmtId="167" fontId="4" fillId="0" borderId="0" applyAlignment="1" pivotButton="0" quotePrefix="0" xfId="0">
      <alignment horizontal="left" vertical="center" wrapText="1"/>
    </xf>
    <xf numFmtId="167" fontId="4" fillId="4" borderId="0" applyAlignment="1" pivotButton="0" quotePrefix="0" xfId="0">
      <alignment horizontal="left" vertical="center" wrapText="1"/>
    </xf>
    <xf numFmtId="167" fontId="6" fillId="0" borderId="0" applyAlignment="1" pivotButton="0" quotePrefix="0" xfId="0">
      <alignment horizontal="right" vertical="center" wrapText="1"/>
    </xf>
    <xf numFmtId="167" fontId="9" fillId="5" borderId="0" applyAlignment="1" pivotButton="0" quotePrefix="0" xfId="0">
      <alignment horizontal="left" vertical="center" wrapText="1"/>
    </xf>
    <xf numFmtId="167" fontId="6" fillId="4" borderId="0" applyAlignment="1" pivotButton="0" quotePrefix="0" xfId="0">
      <alignment horizontal="right" vertical="center" wrapText="1"/>
    </xf>
    <xf numFmtId="0" fontId="4" fillId="0" borderId="0" applyAlignment="1" pivotButton="0" quotePrefix="0" xfId="0">
      <alignment vertical="center" wrapText="1"/>
    </xf>
    <xf numFmtId="165" fontId="5" fillId="0" borderId="0" applyAlignment="1" pivotButton="0" quotePrefix="0" xfId="0">
      <alignment horizontal="right" vertical="center" wrapText="1"/>
    </xf>
    <xf numFmtId="165" fontId="5" fillId="4" borderId="0" applyAlignment="1" pivotButton="0" quotePrefix="0" xfId="0">
      <alignment horizontal="right" vertical="center" wrapText="1"/>
    </xf>
    <xf numFmtId="165" fontId="5" fillId="5" borderId="0" applyAlignment="1" pivotButton="0" quotePrefix="0" xfId="0">
      <alignment horizontal="right" vertical="center" wrapText="1"/>
    </xf>
  </cellXfs>
  <cellStyles count="1">
    <cellStyle name="Normal" xfId="0" builtinId="0" hidden="0"/>
  </cellStyles>
  <dxfs count="1">
    <dxf>
      <fill>
        <patternFill patternType="solid">
          <fgColor rgb="00FCE5E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style val="13"/>
  <chart>
    <title>
      <tx>
        <rich>
          <a:bodyPr xmlns:a="http://schemas.openxmlformats.org/drawingml/2006/main"/>
          <a:p xmlns:a="http://schemas.openxmlformats.org/drawingml/2006/main">
            <a:pPr>
              <a:defRPr/>
            </a:pPr>
            <a:r>
              <a:t>Monthly FOB magnitude</a:t>
            </a:r>
          </a:p>
        </rich>
      </tx>
    </title>
    <plotArea>
      <barChart>
        <barDir val="col"/>
        <grouping val="clustered"/>
        <ser>
          <idx val="0"/>
          <order val="0"/>
          <tx>
            <v>2025</v>
          </tx>
          <spPr>
            <a:solidFill xmlns:a="http://schemas.openxmlformats.org/drawingml/2006/main">
              <a:srgbClr val="18384A"/>
            </a:solidFill>
            <a:ln xmlns:a="http://schemas.openxmlformats.org/drawingml/2006/main">
              <a:solidFill>
                <a:srgbClr val="18384A"/>
              </a:solidFill>
              <a:prstDash val="solid"/>
            </a:ln>
          </spPr>
          <cat>
            <strRef>
              <f>'Monthly comparison'!$A$7:$A$16</f>
              <strCache>
                <ptCount val="10"/>
                <pt idx="0">
                  <v>Jan</v>
                </pt>
                <pt idx="1">
                  <v>Feb</v>
                </pt>
                <pt idx="2">
                  <v>Mar</v>
                </pt>
                <pt idx="3">
                  <v>Apr</v>
                </pt>
                <pt idx="4">
                  <v>May</v>
                </pt>
                <pt idx="5">
                  <v>Jun</v>
                </pt>
                <pt idx="6">
                  <v>Jul</v>
                </pt>
                <pt idx="7">
                  <v>Aug</v>
                </pt>
                <pt idx="8">
                  <v>Sep</v>
                </pt>
                <pt idx="9">
                  <v>Oct</v>
                </pt>
              </strCache>
            </strRef>
          </cat>
          <val>
            <numRef>
              <f>'Monthly comparison'!$B$7:$B$16</f>
              <numCache>
                <ptCount val="10"/>
                <pt idx="0">
                  <v>78.16</v>
                </pt>
                <pt idx="1">
                  <v>61.47</v>
                </pt>
                <pt idx="2">
                  <v>64.28</v>
                </pt>
                <pt idx="3">
                  <v>108.5</v>
                </pt>
                <pt idx="4">
                  <v>55.22</v>
                </pt>
                <pt idx="5">
                  <v>64.75</v>
                </pt>
                <pt idx="6">
                  <v>91.17</v>
                </pt>
                <pt idx="7">
                  <v>57.4</v>
                </pt>
                <pt idx="8">
                  <v>67.39</v>
                </pt>
                <pt idx="9">
                  <v>28.43</v>
                </pt>
              </numCache>
            </numRef>
          </val>
        </ser>
        <ser>
          <idx val="1"/>
          <order val="1"/>
          <tx>
            <v>2026</v>
          </tx>
          <spPr>
            <a:solidFill xmlns:a="http://schemas.openxmlformats.org/drawingml/2006/main">
              <a:srgbClr val="00818A"/>
            </a:solidFill>
            <a:ln xmlns:a="http://schemas.openxmlformats.org/drawingml/2006/main">
              <a:solidFill>
                <a:srgbClr val="00818A"/>
              </a:solidFill>
              <a:prstDash val="solid"/>
            </a:ln>
          </spPr>
          <cat>
            <strRef>
              <f>'Monthly comparison'!$A$7:$A$16</f>
              <strCache>
                <ptCount val="10"/>
                <pt idx="0">
                  <v>Jan</v>
                </pt>
                <pt idx="1">
                  <v>Feb</v>
                </pt>
                <pt idx="2">
                  <v>Mar</v>
                </pt>
                <pt idx="3">
                  <v>Apr</v>
                </pt>
                <pt idx="4">
                  <v>May</v>
                </pt>
                <pt idx="5">
                  <v>Jun</v>
                </pt>
                <pt idx="6">
                  <v>Jul</v>
                </pt>
                <pt idx="7">
                  <v>Aug</v>
                </pt>
                <pt idx="8">
                  <v>Sep</v>
                </pt>
                <pt idx="9">
                  <v>Oct</v>
                </pt>
              </strCache>
            </strRef>
          </cat>
          <val>
            <numRef>
              <f>'Monthly comparison'!$C$7:$C$16</f>
              <numCache>
                <ptCount val="10"/>
                <pt idx="0">
                  <v>68.84</v>
                </pt>
                <pt idx="1">
                  <v>79.94</v>
                </pt>
                <pt idx="2">
                  <v>77.95</v>
                </pt>
                <pt idx="3">
                  <v>120.08</v>
                </pt>
                <pt idx="4">
                  <v>144.8</v>
                </pt>
                <pt idx="5">
                  <v>126.88</v>
                </pt>
                <pt idx="6">
                  <v>203.21</v>
                </pt>
                <pt idx="7">
                  <v>202.81</v>
                </pt>
                <pt idx="8">
                  <v>338.57</v>
                </pt>
                <pt idx="9">
                  <v>190.17</v>
                </pt>
              </numCache>
            </numRef>
          </val>
        </ser>
        <gapWidth val="150"/>
        <overlap val="0"/>
        <axId val="10"/>
        <axId val="100"/>
      </barChart>
      <catAx>
        <axId val="10"/>
        <scaling>
          <orientation val="minMax"/>
        </scaling>
        <axPos val="l"/>
        <title>
          <tx>
            <rich>
              <a:bodyPr xmlns:a="http://schemas.openxmlformats.org/drawingml/2006/main"/>
              <a:p xmlns:a="http://schemas.openxmlformats.org/drawingml/2006/main">
                <a:pPr>
                  <a:defRPr/>
                </a:pPr>
                <a:r>
                  <a:t>Jan-Aug: C | Sep-Oct: O | Oct 2026 incomplete</a:t>
                </a:r>
              </a:p>
            </rich>
          </tx>
        </title>
        <majorTickMark val="none"/>
        <minorTickMark val="none"/>
        <crossAx val="100"/>
        <lblOffset val="100"/>
      </catAx>
      <valAx>
        <axId val="100"/>
        <scaling>
          <orientation val="minMax"/>
          <min val="0"/>
        </scaling>
        <axPos val="l"/>
        <majorGridlines/>
        <title>
          <tx>
            <rich>
              <a:bodyPr xmlns:a="http://schemas.openxmlformats.org/drawingml/2006/main"/>
              <a:p xmlns:a="http://schemas.openxmlformats.org/drawingml/2006/main">
                <a:pPr>
                  <a:defRPr/>
                </a:pPr>
                <a:r>
                  <a:t>USD million</a:t>
                </a:r>
              </a:p>
            </rich>
          </tx>
        </title>
        <majorTickMark val="none"/>
        <minorTickMark val="none"/>
        <crossAx val="10"/>
      </valAx>
    </plotArea>
    <legend>
      <legendPos val="b"/>
    </legend>
    <plotVisOnly val="1"/>
    <dispBlanksAs val="gap"/>
  </chart>
</chartSpace>
</file>

<file path=xl/charts/chart2.xml><?xml version="1.0" encoding="utf-8"?>
<chartSpace xmlns="http://schemas.openxmlformats.org/drawingml/2006/chart">
  <style val="13"/>
  <chart>
    <title>
      <tx>
        <rich>
          <a:bodyPr xmlns:a="http://schemas.openxmlformats.org/drawingml/2006/main"/>
          <a:p xmlns:a="http://schemas.openxmlformats.org/drawingml/2006/main">
            <a:pPr>
              <a:defRPr/>
            </a:pPr>
            <a:r>
              <a:t>Monthly net-weight magnitude</a:t>
            </a:r>
          </a:p>
        </rich>
      </tx>
    </title>
    <plotArea>
      <barChart>
        <barDir val="col"/>
        <grouping val="clustered"/>
        <ser>
          <idx val="0"/>
          <order val="0"/>
          <tx>
            <v>2025</v>
          </tx>
          <spPr>
            <a:solidFill xmlns:a="http://schemas.openxmlformats.org/drawingml/2006/main">
              <a:srgbClr val="18384A"/>
            </a:solidFill>
            <a:ln xmlns:a="http://schemas.openxmlformats.org/drawingml/2006/main">
              <a:solidFill>
                <a:srgbClr val="18384A"/>
              </a:solidFill>
              <a:prstDash val="solid"/>
            </a:ln>
          </spPr>
          <cat>
            <strRef>
              <f>'Monthly comparison'!$A$7:$A$16</f>
              <strCache>
                <ptCount val="10"/>
                <pt idx="0">
                  <v>Jan</v>
                </pt>
                <pt idx="1">
                  <v>Feb</v>
                </pt>
                <pt idx="2">
                  <v>Mar</v>
                </pt>
                <pt idx="3">
                  <v>Apr</v>
                </pt>
                <pt idx="4">
                  <v>May</v>
                </pt>
                <pt idx="5">
                  <v>Jun</v>
                </pt>
                <pt idx="6">
                  <v>Jul</v>
                </pt>
                <pt idx="7">
                  <v>Aug</v>
                </pt>
                <pt idx="8">
                  <v>Sep</v>
                </pt>
                <pt idx="9">
                  <v>Oct</v>
                </pt>
              </strCache>
            </strRef>
          </cat>
          <val>
            <numRef>
              <f>'Monthly comparison'!$F$7:$F$16</f>
              <numCache>
                <ptCount val="10"/>
                <pt idx="0">
                  <v>120.15</v>
                </pt>
                <pt idx="1">
                  <v>86.44</v>
                </pt>
                <pt idx="2">
                  <v>97.89</v>
                </pt>
                <pt idx="3">
                  <v>203.86</v>
                </pt>
                <pt idx="4">
                  <v>105.23</v>
                </pt>
                <pt idx="5">
                  <v>118.74</v>
                </pt>
                <pt idx="6">
                  <v>172.57</v>
                </pt>
                <pt idx="7">
                  <v>114.32</v>
                </pt>
                <pt idx="8">
                  <v>142.9</v>
                </pt>
                <pt idx="9">
                  <v>61.35</v>
                </pt>
              </numCache>
            </numRef>
          </val>
        </ser>
        <ser>
          <idx val="1"/>
          <order val="1"/>
          <tx>
            <v>2026</v>
          </tx>
          <spPr>
            <a:solidFill xmlns:a="http://schemas.openxmlformats.org/drawingml/2006/main">
              <a:srgbClr val="00818A"/>
            </a:solidFill>
            <a:ln xmlns:a="http://schemas.openxmlformats.org/drawingml/2006/main">
              <a:solidFill>
                <a:srgbClr val="00818A"/>
              </a:solidFill>
              <a:prstDash val="solid"/>
            </a:ln>
          </spPr>
          <cat>
            <strRef>
              <f>'Monthly comparison'!$A$7:$A$16</f>
              <strCache>
                <ptCount val="10"/>
                <pt idx="0">
                  <v>Jan</v>
                </pt>
                <pt idx="1">
                  <v>Feb</v>
                </pt>
                <pt idx="2">
                  <v>Mar</v>
                </pt>
                <pt idx="3">
                  <v>Apr</v>
                </pt>
                <pt idx="4">
                  <v>May</v>
                </pt>
                <pt idx="5">
                  <v>Jun</v>
                </pt>
                <pt idx="6">
                  <v>Jul</v>
                </pt>
                <pt idx="7">
                  <v>Aug</v>
                </pt>
                <pt idx="8">
                  <v>Sep</v>
                </pt>
                <pt idx="9">
                  <v>Oct</v>
                </pt>
              </strCache>
            </strRef>
          </cat>
          <val>
            <numRef>
              <f>'Monthly comparison'!$G$7:$G$16</f>
              <numCache>
                <ptCount val="10"/>
                <pt idx="0">
                  <v>149.79</v>
                </pt>
                <pt idx="1">
                  <v>167.11</v>
                </pt>
                <pt idx="2">
                  <v>155.46</v>
                </pt>
                <pt idx="3">
                  <v>184.91</v>
                </pt>
                <pt idx="4">
                  <v>224.59</v>
                </pt>
                <pt idx="5">
                  <v>172.54</v>
                </pt>
                <pt idx="6">
                  <v>294.84</v>
                </pt>
                <pt idx="7">
                  <v>230.35</v>
                </pt>
                <pt idx="8">
                  <v>320.91</v>
                </pt>
                <pt idx="9">
                  <v>173.95</v>
                </pt>
              </numCache>
            </numRef>
          </val>
        </ser>
        <gapWidth val="150"/>
        <overlap val="0"/>
        <axId val="10"/>
        <axId val="100"/>
      </barChart>
      <catAx>
        <axId val="10"/>
        <scaling>
          <orientation val="minMax"/>
        </scaling>
        <axPos val="l"/>
        <title>
          <tx>
            <rich>
              <a:bodyPr xmlns:a="http://schemas.openxmlformats.org/drawingml/2006/main"/>
              <a:p xmlns:a="http://schemas.openxmlformats.org/drawingml/2006/main">
                <a:pPr>
                  <a:defRPr/>
                </a:pPr>
                <a:r>
                  <a:t>Jan-Aug: C | Sep-Oct: O | Oct 2026 incomplete</a:t>
                </a:r>
              </a:p>
            </rich>
          </tx>
        </title>
        <majorTickMark val="none"/>
        <minorTickMark val="none"/>
        <crossAx val="100"/>
        <lblOffset val="100"/>
      </catAx>
      <valAx>
        <axId val="100"/>
        <scaling>
          <orientation val="minMax"/>
          <min val="0"/>
        </scaling>
        <axPos val="l"/>
        <majorGridlines/>
        <title>
          <tx>
            <rich>
              <a:bodyPr xmlns:a="http://schemas.openxmlformats.org/drawingml/2006/main"/>
              <a:p xmlns:a="http://schemas.openxmlformats.org/drawingml/2006/main">
                <a:pPr>
                  <a:defRPr/>
                </a:pPr>
                <a:r>
                  <a:t>Million kg</a:t>
                </a:r>
              </a:p>
            </rich>
          </tx>
        </title>
        <majorTickMark val="none"/>
        <minorTickMark val="none"/>
        <crossAx val="10"/>
      </valAx>
    </plotArea>
    <legend>
      <legendPos val="b"/>
    </legend>
    <plotVisOnly val="1"/>
    <dispBlanksAs val="gap"/>
  </chart>
</chartSpace>
</file>

<file path=xl/charts/chart3.xml><?xml version="1.0" encoding="utf-8"?>
<chartSpace xmlns="http://schemas.openxmlformats.org/drawingml/2006/chart">
  <style val="13"/>
  <chart>
    <title>
      <tx>
        <rich>
          <a:bodyPr xmlns:a="http://schemas.openxmlformats.org/drawingml/2006/main"/>
          <a:p xmlns:a="http://schemas.openxmlformats.org/drawingml/2006/main">
            <a:pPr>
              <a:defRPr/>
            </a:pPr>
            <a:r>
              <a:t>FOB / net-weight ratio</a:t>
            </a:r>
          </a:p>
        </rich>
      </tx>
    </title>
    <plotArea>
      <lineChart>
        <grouping val="standard"/>
        <ser>
          <idx val="0"/>
          <order val="0"/>
          <tx>
            <v>2025</v>
          </tx>
          <spPr>
            <a:solidFill xmlns:a="http://schemas.openxmlformats.org/drawingml/2006/main">
              <a:srgbClr val="18384A"/>
            </a:solidFill>
            <a:ln xmlns:a="http://schemas.openxmlformats.org/drawingml/2006/main" w="24000">
              <a:solidFill>
                <a:srgbClr val="18384A"/>
              </a:solidFill>
              <a:prstDash val="solid"/>
            </a:ln>
          </spPr>
          <marker>
            <symbol val="none"/>
            <spPr>
              <a:ln xmlns:a="http://schemas.openxmlformats.org/drawingml/2006/main">
                <a:prstDash val="solid"/>
              </a:ln>
            </spPr>
          </marker>
          <cat>
            <strRef>
              <f>'Monthly comparison'!$A$7:$A$16</f>
              <strCache>
                <ptCount val="10"/>
                <pt idx="0">
                  <v>Jan</v>
                </pt>
                <pt idx="1">
                  <v>Feb</v>
                </pt>
                <pt idx="2">
                  <v>Mar</v>
                </pt>
                <pt idx="3">
                  <v>Apr</v>
                </pt>
                <pt idx="4">
                  <v>May</v>
                </pt>
                <pt idx="5">
                  <v>Jun</v>
                </pt>
                <pt idx="6">
                  <v>Jul</v>
                </pt>
                <pt idx="7">
                  <v>Aug</v>
                </pt>
                <pt idx="8">
                  <v>Sep</v>
                </pt>
                <pt idx="9">
                  <v>Oct</v>
                </pt>
              </strCache>
            </strRef>
          </cat>
          <val>
            <numRef>
              <f>'Monthly comparison'!$I$7:$I$16</f>
              <numCache>
                <ptCount val="10"/>
                <pt idx="0">
                  <v>0.6505201831044527</v>
                </pt>
                <pt idx="1">
                  <v>0.711129106894956</v>
                </pt>
                <pt idx="2">
                  <v>0.6566554295637961</v>
                </pt>
                <pt idx="3">
                  <v>0.5322279996075738</v>
                </pt>
                <pt idx="4">
                  <v>0.5247552979188445</v>
                </pt>
                <pt idx="5">
                  <v>0.5453090786592555</v>
                </pt>
                <pt idx="6">
                  <v>0.5283073535376949</v>
                </pt>
                <pt idx="7">
                  <v>0.5020993701889434</v>
                </pt>
                <pt idx="8">
                  <v>0.4715885234429671</v>
                </pt>
                <pt idx="9">
                  <v>0.4634066829665852</v>
                </pt>
              </numCache>
            </numRef>
          </val>
        </ser>
        <ser>
          <idx val="1"/>
          <order val="1"/>
          <tx>
            <v>2026</v>
          </tx>
          <spPr>
            <a:solidFill xmlns:a="http://schemas.openxmlformats.org/drawingml/2006/main">
              <a:srgbClr val="00818A"/>
            </a:solidFill>
            <a:ln xmlns:a="http://schemas.openxmlformats.org/drawingml/2006/main" w="24000">
              <a:solidFill>
                <a:srgbClr val="00818A"/>
              </a:solidFill>
              <a:prstDash val="solid"/>
            </a:ln>
          </spPr>
          <marker>
            <symbol val="none"/>
            <spPr>
              <a:ln xmlns:a="http://schemas.openxmlformats.org/drawingml/2006/main">
                <a:prstDash val="solid"/>
              </a:ln>
            </spPr>
          </marker>
          <cat>
            <strRef>
              <f>'Monthly comparison'!$A$7:$A$16</f>
              <strCache>
                <ptCount val="10"/>
                <pt idx="0">
                  <v>Jan</v>
                </pt>
                <pt idx="1">
                  <v>Feb</v>
                </pt>
                <pt idx="2">
                  <v>Mar</v>
                </pt>
                <pt idx="3">
                  <v>Apr</v>
                </pt>
                <pt idx="4">
                  <v>May</v>
                </pt>
                <pt idx="5">
                  <v>Jun</v>
                </pt>
                <pt idx="6">
                  <v>Jul</v>
                </pt>
                <pt idx="7">
                  <v>Aug</v>
                </pt>
                <pt idx="8">
                  <v>Sep</v>
                </pt>
                <pt idx="9">
                  <v>Oct</v>
                </pt>
              </strCache>
            </strRef>
          </cat>
          <val>
            <numRef>
              <f>'Monthly comparison'!$J$7:$J$16</f>
              <numCache>
                <ptCount val="10"/>
                <pt idx="0">
                  <v>0.4595767407704119</v>
                </pt>
                <pt idx="1">
                  <v>0.4783675423373825</v>
                </pt>
                <pt idx="2">
                  <v>0.5014151550238003</v>
                </pt>
                <pt idx="3">
                  <v>0.6493970039478665</v>
                </pt>
                <pt idx="4">
                  <v>0.644730397613429</v>
                </pt>
                <pt idx="5">
                  <v>0.7353657122985975</v>
                </pt>
                <pt idx="6">
                  <v>0.689221272554606</v>
                </pt>
                <pt idx="7">
                  <v>0.8804428044280443</v>
                </pt>
                <pt idx="8">
                  <v>1.055031005577888</v>
                </pt>
                <pt idx="9">
                  <v>1.093245185398103</v>
                </pt>
              </numCache>
            </numRef>
          </val>
        </ser>
        <axId val="10"/>
        <axId val="100"/>
      </lineChart>
      <catAx>
        <axId val="10"/>
        <scaling>
          <orientation val="minMax"/>
        </scaling>
        <axPos val="l"/>
        <title>
          <tx>
            <rich>
              <a:bodyPr xmlns:a="http://schemas.openxmlformats.org/drawingml/2006/main"/>
              <a:p xmlns:a="http://schemas.openxmlformats.org/drawingml/2006/main">
                <a:pPr>
                  <a:defRPr/>
                </a:pPr>
                <a:r>
                  <a:t>Jan-Aug: C | Sep-Oct: O | Oct 2026 incomplete</a:t>
                </a:r>
              </a:p>
            </rich>
          </tx>
        </title>
        <majorTickMark val="none"/>
        <minorTickMark val="none"/>
        <crossAx val="100"/>
        <lblOffset val="100"/>
      </catAx>
      <valAx>
        <axId val="100"/>
        <scaling>
          <orientation val="minMax"/>
          <min val="0"/>
        </scaling>
        <axPos val="l"/>
        <majorGridlines/>
        <title>
          <tx>
            <rich>
              <a:bodyPr xmlns:a="http://schemas.openxmlformats.org/drawingml/2006/main"/>
              <a:p xmlns:a="http://schemas.openxmlformats.org/drawingml/2006/main">
                <a:pPr>
                  <a:defRPr/>
                </a:pPr>
                <a:r>
                  <a:t>USD per kg</a:t>
                </a:r>
              </a:p>
            </rich>
          </tx>
        </title>
        <majorTickMark val="none"/>
        <minorTickMark val="none"/>
        <crossAx val="10"/>
      </valAx>
    </plotArea>
    <legend>
      <legendPos val="b"/>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Colombia LNG import bill</a:t>
            </a:r>
          </a:p>
        </rich>
      </tx>
    </title>
    <plotArea>
      <lineChart>
        <grouping val="standard"/>
        <ser>
          <idx val="0"/>
          <order val="0"/>
          <tx>
            <strRef>
              <f>'Annual imports'!E6</f>
            </strRef>
          </tx>
          <spPr>
            <a:ln xmlns:a="http://schemas.openxmlformats.org/drawingml/2006/main">
              <a:prstDash val="solid"/>
            </a:ln>
          </spPr>
          <marker>
            <symbol val="circle"/>
            <size val="5"/>
            <spPr>
              <a:ln xmlns:a="http://schemas.openxmlformats.org/drawingml/2006/main">
                <a:prstDash val="solid"/>
              </a:ln>
            </spPr>
          </marker>
          <cat>
            <numRef>
              <f>'Annual imports'!$A$7:$A$15</f>
            </numRef>
          </cat>
          <val>
            <numRef>
              <f>'Annual imports'!$E$7:$E$15</f>
            </numRef>
          </val>
          <smooth val="0"/>
        </ser>
        <smooth val="0"/>
        <axId val="10"/>
        <axId val="100"/>
      </lineChart>
      <catAx>
        <axId val="10"/>
        <scaling>
          <orientation val="minMax"/>
        </scaling>
        <axPos val="l"/>
        <title>
          <tx>
            <rich>
              <a:bodyPr xmlns:a="http://schemas.openxmlformats.org/drawingml/2006/main"/>
              <a:p xmlns:a="http://schemas.openxmlformats.org/drawingml/2006/main">
                <a:pPr>
                  <a:defRPr/>
                </a:pPr>
                <a:r>
                  <a:t>Year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US$ million, CIF</a:t>
                </a:r>
              </a:p>
            </rich>
          </tx>
        </title>
        <majorTickMark val="none"/>
        <minorTickMark val="none"/>
        <crossAx val="10"/>
      </valAx>
    </plotArea>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LNG imports by reported partner</a:t>
            </a:r>
          </a:p>
        </rich>
      </tx>
    </title>
    <plotArea>
      <barChart>
        <barDir val="col"/>
        <grouping val="stacked"/>
        <ser>
          <idx val="0"/>
          <order val="0"/>
          <tx>
            <v>United States</v>
          </tx>
          <spPr>
            <a:solidFill xmlns:a="http://schemas.openxmlformats.org/drawingml/2006/main">
              <a:srgbClr val="137D87"/>
            </a:solidFill>
            <a:ln xmlns:a="http://schemas.openxmlformats.org/drawingml/2006/main">
              <a:solidFill>
                <a:srgbClr val="137D87"/>
              </a:solidFill>
              <a:prstDash val="solid"/>
            </a:ln>
          </spPr>
          <cat>
            <numRef>
              <f>'Charts'!$A$67:$A$75</f>
            </numRef>
          </cat>
          <val>
            <numRef>
              <f>'Charts'!$B$67:$B$75</f>
            </numRef>
          </val>
        </ser>
        <ser>
          <idx val="1"/>
          <order val="1"/>
          <tx>
            <v>Trinidad and Tobago</v>
          </tx>
          <spPr>
            <a:solidFill xmlns:a="http://schemas.openxmlformats.org/drawingml/2006/main">
              <a:srgbClr val="4F83B8"/>
            </a:solidFill>
            <a:ln xmlns:a="http://schemas.openxmlformats.org/drawingml/2006/main">
              <a:solidFill>
                <a:srgbClr val="4F83B8"/>
              </a:solidFill>
              <a:prstDash val="solid"/>
            </a:ln>
          </spPr>
          <cat>
            <numRef>
              <f>'Charts'!$A$67:$A$75</f>
            </numRef>
          </cat>
          <val>
            <numRef>
              <f>'Charts'!$C$67:$C$75</f>
            </numRef>
          </val>
        </ser>
        <ser>
          <idx val="2"/>
          <order val="2"/>
          <tx>
            <v>United Kingdom</v>
          </tx>
          <spPr>
            <a:solidFill xmlns:a="http://schemas.openxmlformats.org/drawingml/2006/main">
              <a:srgbClr val="E2A548"/>
            </a:solidFill>
            <a:ln xmlns:a="http://schemas.openxmlformats.org/drawingml/2006/main">
              <a:solidFill>
                <a:srgbClr val="E2A548"/>
              </a:solidFill>
              <a:prstDash val="solid"/>
            </a:ln>
          </spPr>
          <cat>
            <numRef>
              <f>'Charts'!$A$67:$A$75</f>
            </numRef>
          </cat>
          <val>
            <numRef>
              <f>'Charts'!$D$67:$D$75</f>
            </numRef>
          </val>
        </ser>
        <ser>
          <idx val="3"/>
          <order val="3"/>
          <tx>
            <v>Other reported partners</v>
          </tx>
          <spPr>
            <a:solidFill xmlns:a="http://schemas.openxmlformats.org/drawingml/2006/main">
              <a:srgbClr val="B0BCC4"/>
            </a:solidFill>
            <a:ln xmlns:a="http://schemas.openxmlformats.org/drawingml/2006/main">
              <a:solidFill>
                <a:srgbClr val="B0BCC4"/>
              </a:solidFill>
              <a:prstDash val="solid"/>
            </a:ln>
          </spPr>
          <cat>
            <numRef>
              <f>'Charts'!$A$67:$A$75</f>
            </numRef>
          </cat>
          <val>
            <numRef>
              <f>'Charts'!$E$67:$E$75</f>
            </numRef>
          </val>
        </ser>
        <gapWidth val="150"/>
        <overlap val="100"/>
        <axId val="10"/>
        <axId val="100"/>
      </barChart>
      <catAx>
        <axId val="10"/>
        <scaling>
          <orientation val="minMax"/>
        </scaling>
        <axPos val="l"/>
        <title>
          <tx>
            <rich>
              <a:bodyPr xmlns:a="http://schemas.openxmlformats.org/drawingml/2006/main"/>
              <a:p xmlns:a="http://schemas.openxmlformats.org/drawingml/2006/main">
                <a:pPr>
                  <a:defRPr/>
                </a:pPr>
                <a:r>
                  <a:t>Year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US$ million, CIF</a:t>
                </a:r>
              </a:p>
            </rich>
          </tx>
        </title>
        <majorTickMark val="none"/>
        <minorTickMark val="none"/>
        <crossAx val="10"/>
      </valAx>
    </plotArea>
    <legend>
      <legendPos val="b"/>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BMC scenario: total supply versus demand</a:t>
            </a:r>
          </a:p>
        </rich>
      </tx>
    </title>
    <plotArea>
      <lineChart>
        <grouping val="standard"/>
        <ser>
          <idx val="0"/>
          <order val="0"/>
          <tx>
            <v>Total scenario supply</v>
          </tx>
          <spPr>
            <a:ln xmlns:a="http://schemas.openxmlformats.org/drawingml/2006/main">
              <a:solidFill>
                <a:srgbClr val="137D87"/>
              </a:solidFill>
              <a:prstDash val="solid"/>
            </a:ln>
          </spPr>
          <marker>
            <symbol val="circle"/>
            <size val="4"/>
            <spPr>
              <a:ln xmlns:a="http://schemas.openxmlformats.org/drawingml/2006/main">
                <a:prstDash val="solid"/>
              </a:ln>
            </spPr>
          </marker>
          <cat>
            <numRef>
              <f>'BMC scenario'!$A$7:$A$20</f>
            </numRef>
          </cat>
          <val>
            <numRef>
              <f>'BMC scenario'!$B$7:$B$20</f>
            </numRef>
          </val>
          <smooth val="0"/>
        </ser>
        <ser>
          <idx val="1"/>
          <order val="1"/>
          <tx>
            <v>Projected demand</v>
          </tx>
          <spPr>
            <a:ln xmlns:a="http://schemas.openxmlformats.org/drawingml/2006/main">
              <a:solidFill>
                <a:srgbClr val="E2A548"/>
              </a:solidFill>
              <a:prstDash val="solid"/>
            </a:ln>
          </spPr>
          <marker>
            <symbol val="circle"/>
            <size val="4"/>
            <spPr>
              <a:ln xmlns:a="http://schemas.openxmlformats.org/drawingml/2006/main">
                <a:prstDash val="solid"/>
              </a:ln>
            </spPr>
          </marker>
          <cat>
            <numRef>
              <f>'BMC scenario'!$A$7:$A$20</f>
            </numRef>
          </cat>
          <val>
            <numRef>
              <f>'BMC scenario'!$C$7:$C$20</f>
            </numRef>
          </val>
          <smooth val="0"/>
        </ser>
        <smooth val="0"/>
        <axId val="500"/>
        <axId val="100"/>
      </lineChart>
      <dateAx>
        <axId val="500"/>
        <scaling>
          <orientation val="minMax"/>
        </scaling>
        <axPos val="l"/>
        <numFmt formatCode="mmm-yy" sourceLinked="0"/>
        <majorTickMark val="none"/>
        <minorTickMark val="none"/>
        <crossAx val="100"/>
        <majorTimeUnit val="months"/>
      </dateAx>
      <valAx>
        <axId val="100"/>
        <scaling>
          <orientation val="minMax"/>
        </scaling>
        <axPos val="l"/>
        <majorGridlines/>
        <title>
          <tx>
            <rich>
              <a:bodyPr xmlns:a="http://schemas.openxmlformats.org/drawingml/2006/main"/>
              <a:p xmlns:a="http://schemas.openxmlformats.org/drawingml/2006/main">
                <a:pPr>
                  <a:defRPr/>
                </a:pPr>
                <a:r>
                  <a:t>MBtu/day</a:t>
                </a:r>
              </a:p>
            </rich>
          </tx>
        </title>
        <majorTickMark val="none"/>
        <minorTickMark val="none"/>
        <crossAx val="10"/>
      </valAx>
    </plotArea>
    <legend>
      <legendPos val="b"/>
    </legend>
    <plotVisOnly val="1"/>
    <dispBlanksAs val="gap"/>
  </chart>
</chartSpace>
</file>

<file path=xl/comments/comment1.xml><?xml version="1.0" encoding="utf-8"?>
<comments xmlns="http://schemas.openxmlformats.org/spreadsheetml/2006/main">
  <authors>
    <author>Source / method</author>
  </authors>
  <commentList>
    <comment ref="C7" authorId="0" shapeId="0">
      <text>
        <t>Visually transcribed from user-supplied screenshot. https://www.dian.gov.co/dian/cifras/Paginas/EstadisticasComEx.aspx</t>
      </text>
    </comment>
    <comment ref="D7" authorId="0" shapeId="0">
      <text>
        <t>Visually transcribed from user-supplied screenshot. https://www.dian.gov.co/dian/cifras/Paginas/EstadisticasComEx.aspx</t>
      </text>
    </comment>
    <comment ref="E7" authorId="0" shapeId="0">
      <text>
        <t>Visually transcribed from user-supplied screenshot. https://www.dian.gov.co/dian/cifras/Paginas/EstadisticasComEx.aspx</t>
      </text>
    </comment>
    <comment ref="F7" authorId="0" shapeId="0">
      <text>
        <t>Visually transcribed from user-supplied screenshot. https://www.dian.gov.co/dian/cifras/Paginas/EstadisticasComEx.aspx</t>
      </text>
    </comment>
    <comment ref="G7" authorId="0" shapeId="0">
      <text>
        <t>Visually transcribed from user-supplied screenshot. https://www.dian.gov.co/dian/cifras/Paginas/EstadisticasComEx.aspx</t>
      </text>
    </comment>
    <comment ref="H7" authorId="0" shapeId="0">
      <text>
        <t>Visually transcribed from user-supplied screenshot. https://www.dian.gov.co/dian/cifras/Paginas/EstadisticasComEx.aspx</t>
      </text>
    </comment>
    <comment ref="I7" authorId="0" shapeId="0">
      <text>
        <t>Visually transcribed from user-supplied screenshot. https://www.dian.gov.co/dian/cifras/Paginas/EstadisticasComEx.aspx</t>
      </text>
    </comment>
    <comment ref="C8" authorId="0" shapeId="0">
      <text>
        <t>Visually transcribed from user-supplied screenshot. https://www.dian.gov.co/dian/cifras/Paginas/EstadisticasComEx.aspx</t>
      </text>
    </comment>
    <comment ref="D8" authorId="0" shapeId="0">
      <text>
        <t>Visually transcribed from user-supplied screenshot. https://www.dian.gov.co/dian/cifras/Paginas/EstadisticasComEx.aspx</t>
      </text>
    </comment>
    <comment ref="E8" authorId="0" shapeId="0">
      <text>
        <t>Visually transcribed from user-supplied screenshot. https://www.dian.gov.co/dian/cifras/Paginas/EstadisticasComEx.aspx</t>
      </text>
    </comment>
    <comment ref="F8" authorId="0" shapeId="0">
      <text>
        <t>Visually transcribed from user-supplied screenshot. https://www.dian.gov.co/dian/cifras/Paginas/EstadisticasComEx.aspx</t>
      </text>
    </comment>
    <comment ref="G8" authorId="0" shapeId="0">
      <text>
        <t>Visually transcribed from user-supplied screenshot. https://www.dian.gov.co/dian/cifras/Paginas/EstadisticasComEx.aspx</t>
      </text>
    </comment>
    <comment ref="H8" authorId="0" shapeId="0">
      <text>
        <t>Visually transcribed from user-supplied screenshot. https://www.dian.gov.co/dian/cifras/Paginas/EstadisticasComEx.aspx</t>
      </text>
    </comment>
    <comment ref="I8" authorId="0" shapeId="0">
      <text>
        <t>Visually transcribed from user-supplied screenshot. https://www.dian.gov.co/dian/cifras/Paginas/EstadisticasComEx.aspx</t>
      </text>
    </comment>
    <comment ref="C9" authorId="0" shapeId="0">
      <text>
        <t>Visually transcribed from user-supplied screenshot. https://www.dian.gov.co/dian/cifras/Paginas/EstadisticasComEx.aspx</t>
      </text>
    </comment>
    <comment ref="D9" authorId="0" shapeId="0">
      <text>
        <t>Visually transcribed from user-supplied screenshot. https://www.dian.gov.co/dian/cifras/Paginas/EstadisticasComEx.aspx</t>
      </text>
    </comment>
    <comment ref="E9" authorId="0" shapeId="0">
      <text>
        <t>Visually transcribed from user-supplied screenshot. https://www.dian.gov.co/dian/cifras/Paginas/EstadisticasComEx.aspx</t>
      </text>
    </comment>
    <comment ref="F9" authorId="0" shapeId="0">
      <text>
        <t>Visually transcribed from user-supplied screenshot. https://www.dian.gov.co/dian/cifras/Paginas/EstadisticasComEx.aspx</t>
      </text>
    </comment>
    <comment ref="G9" authorId="0" shapeId="0">
      <text>
        <t>Visually transcribed from user-supplied screenshot. https://www.dian.gov.co/dian/cifras/Paginas/EstadisticasComEx.aspx</t>
      </text>
    </comment>
    <comment ref="H9" authorId="0" shapeId="0">
      <text>
        <t>Visually transcribed from user-supplied screenshot. https://www.dian.gov.co/dian/cifras/Paginas/EstadisticasComEx.aspx</t>
      </text>
    </comment>
    <comment ref="I9" authorId="0" shapeId="0">
      <text>
        <t>Visually transcribed from user-supplied screenshot. https://www.dian.gov.co/dian/cifras/Paginas/EstadisticasComEx.aspx</t>
      </text>
    </comment>
    <comment ref="C10" authorId="0" shapeId="0">
      <text>
        <t>Visually transcribed from user-supplied screenshot. https://www.dian.gov.co/dian/cifras/Paginas/EstadisticasComEx.aspx</t>
      </text>
    </comment>
    <comment ref="D10" authorId="0" shapeId="0">
      <text>
        <t>Visually transcribed from user-supplied screenshot. https://www.dian.gov.co/dian/cifras/Paginas/EstadisticasComEx.aspx</t>
      </text>
    </comment>
    <comment ref="E10" authorId="0" shapeId="0">
      <text>
        <t>Visually transcribed from user-supplied screenshot. https://www.dian.gov.co/dian/cifras/Paginas/EstadisticasComEx.aspx</t>
      </text>
    </comment>
    <comment ref="F10" authorId="0" shapeId="0">
      <text>
        <t>Visually transcribed from user-supplied screenshot. https://www.dian.gov.co/dian/cifras/Paginas/EstadisticasComEx.aspx</t>
      </text>
    </comment>
    <comment ref="G10" authorId="0" shapeId="0">
      <text>
        <t>Visually transcribed from user-supplied screenshot. https://www.dian.gov.co/dian/cifras/Paginas/EstadisticasComEx.aspx</t>
      </text>
    </comment>
    <comment ref="H10" authorId="0" shapeId="0">
      <text>
        <t>Visually transcribed from user-supplied screenshot. https://www.dian.gov.co/dian/cifras/Paginas/EstadisticasComEx.aspx</t>
      </text>
    </comment>
    <comment ref="I10" authorId="0" shapeId="0">
      <text>
        <t>Visually transcribed from user-supplied screenshot. https://www.dian.gov.co/dian/cifras/Paginas/EstadisticasComEx.aspx</t>
      </text>
    </comment>
    <comment ref="C11" authorId="0" shapeId="0">
      <text>
        <t>Visually transcribed from user-supplied screenshot. https://www.dian.gov.co/dian/cifras/Paginas/EstadisticasComEx.aspx</t>
      </text>
    </comment>
    <comment ref="D11" authorId="0" shapeId="0">
      <text>
        <t>Visually transcribed from user-supplied screenshot. https://www.dian.gov.co/dian/cifras/Paginas/EstadisticasComEx.aspx</t>
      </text>
    </comment>
    <comment ref="E11" authorId="0" shapeId="0">
      <text>
        <t>Visually transcribed from user-supplied screenshot. https://www.dian.gov.co/dian/cifras/Paginas/EstadisticasComEx.aspx</t>
      </text>
    </comment>
    <comment ref="F11" authorId="0" shapeId="0">
      <text>
        <t>Visually transcribed from user-supplied screenshot. https://www.dian.gov.co/dian/cifras/Paginas/EstadisticasComEx.aspx</t>
      </text>
    </comment>
    <comment ref="G11" authorId="0" shapeId="0">
      <text>
        <t>Visually transcribed from user-supplied screenshot. https://www.dian.gov.co/dian/cifras/Paginas/EstadisticasComEx.aspx</t>
      </text>
    </comment>
    <comment ref="H11" authorId="0" shapeId="0">
      <text>
        <t>Visually transcribed from user-supplied screenshot. https://www.dian.gov.co/dian/cifras/Paginas/EstadisticasComEx.aspx</t>
      </text>
    </comment>
    <comment ref="I11" authorId="0" shapeId="0">
      <text>
        <t>Visually transcribed from user-supplied screenshot. https://www.dian.gov.co/dian/cifras/Paginas/EstadisticasComEx.aspx</t>
      </text>
    </comment>
    <comment ref="C12" authorId="0" shapeId="0">
      <text>
        <t>Visually transcribed from user-supplied screenshot. https://www.dian.gov.co/dian/cifras/Paginas/EstadisticasComEx.aspx</t>
      </text>
    </comment>
    <comment ref="D12" authorId="0" shapeId="0">
      <text>
        <t>Visually transcribed from user-supplied screenshot. https://www.dian.gov.co/dian/cifras/Paginas/EstadisticasComEx.aspx</t>
      </text>
    </comment>
    <comment ref="E12" authorId="0" shapeId="0">
      <text>
        <t>Visually transcribed from user-supplied screenshot. https://www.dian.gov.co/dian/cifras/Paginas/EstadisticasComEx.aspx</t>
      </text>
    </comment>
    <comment ref="F12" authorId="0" shapeId="0">
      <text>
        <t>Visually transcribed from user-supplied screenshot. https://www.dian.gov.co/dian/cifras/Paginas/EstadisticasComEx.aspx</t>
      </text>
    </comment>
    <comment ref="G12" authorId="0" shapeId="0">
      <text>
        <t>Visually transcribed from user-supplied screenshot. https://www.dian.gov.co/dian/cifras/Paginas/EstadisticasComEx.aspx</t>
      </text>
    </comment>
    <comment ref="H12" authorId="0" shapeId="0">
      <text>
        <t>Visually transcribed from user-supplied screenshot. https://www.dian.gov.co/dian/cifras/Paginas/EstadisticasComEx.aspx</t>
      </text>
    </comment>
    <comment ref="I12" authorId="0" shapeId="0">
      <text>
        <t>Visually transcribed from user-supplied screenshot. https://www.dian.gov.co/dian/cifras/Paginas/EstadisticasComEx.aspx</t>
      </text>
    </comment>
    <comment ref="C13" authorId="0" shapeId="0">
      <text>
        <t>Visually transcribed from user-supplied screenshot. https://www.dian.gov.co/dian/cifras/Paginas/EstadisticasComEx.aspx</t>
      </text>
    </comment>
    <comment ref="D13" authorId="0" shapeId="0">
      <text>
        <t>Visually transcribed from user-supplied screenshot. https://www.dian.gov.co/dian/cifras/Paginas/EstadisticasComEx.aspx</t>
      </text>
    </comment>
    <comment ref="E13" authorId="0" shapeId="0">
      <text>
        <t>Visually transcribed from user-supplied screenshot. https://www.dian.gov.co/dian/cifras/Paginas/EstadisticasComEx.aspx</t>
      </text>
    </comment>
    <comment ref="F13" authorId="0" shapeId="0">
      <text>
        <t>Visually transcribed from user-supplied screenshot. https://www.dian.gov.co/dian/cifras/Paginas/EstadisticasComEx.aspx</t>
      </text>
    </comment>
    <comment ref="G13" authorId="0" shapeId="0">
      <text>
        <t>Visually transcribed from user-supplied screenshot. https://www.dian.gov.co/dian/cifras/Paginas/EstadisticasComEx.aspx</t>
      </text>
    </comment>
    <comment ref="H13" authorId="0" shapeId="0">
      <text>
        <t>Visually transcribed from user-supplied screenshot. https://www.dian.gov.co/dian/cifras/Paginas/EstadisticasComEx.aspx</t>
      </text>
    </comment>
    <comment ref="I13" authorId="0" shapeId="0">
      <text>
        <t>Visually transcribed from user-supplied screenshot. https://www.dian.gov.co/dian/cifras/Paginas/EstadisticasComEx.aspx</t>
      </text>
    </comment>
    <comment ref="C14" authorId="0" shapeId="0">
      <text>
        <t>Visually transcribed from user-supplied screenshot. https://www.dian.gov.co/dian/cifras/Paginas/EstadisticasComEx.aspx</t>
      </text>
    </comment>
    <comment ref="D14" authorId="0" shapeId="0">
      <text>
        <t>Visually transcribed from user-supplied screenshot. https://www.dian.gov.co/dian/cifras/Paginas/EstadisticasComEx.aspx</t>
      </text>
    </comment>
    <comment ref="E14" authorId="0" shapeId="0">
      <text>
        <t>Visually transcribed from user-supplied screenshot. https://www.dian.gov.co/dian/cifras/Paginas/EstadisticasComEx.aspx</t>
      </text>
    </comment>
    <comment ref="F14" authorId="0" shapeId="0">
      <text>
        <t>Visually transcribed from user-supplied screenshot. https://www.dian.gov.co/dian/cifras/Paginas/EstadisticasComEx.aspx</t>
      </text>
    </comment>
    <comment ref="G14" authorId="0" shapeId="0">
      <text>
        <t>Visually transcribed from user-supplied screenshot. https://www.dian.gov.co/dian/cifras/Paginas/EstadisticasComEx.aspx</t>
      </text>
    </comment>
    <comment ref="H14" authorId="0" shapeId="0">
      <text>
        <t>Visually transcribed from user-supplied screenshot. https://www.dian.gov.co/dian/cifras/Paginas/EstadisticasComEx.aspx</t>
      </text>
    </comment>
    <comment ref="I14" authorId="0" shapeId="0">
      <text>
        <t>Visually transcribed from user-supplied screenshot. https://www.dian.gov.co/dian/cifras/Paginas/EstadisticasComEx.aspx</t>
      </text>
    </comment>
    <comment ref="C15" authorId="0" shapeId="0">
      <text>
        <t>Visually transcribed from user-supplied screenshot. https://www.dian.gov.co/dian/cifras/Paginas/EstadisticasComEx.aspx</t>
      </text>
    </comment>
    <comment ref="D15" authorId="0" shapeId="0">
      <text>
        <t>Visually transcribed from user-supplied screenshot. https://www.dian.gov.co/dian/cifras/Paginas/EstadisticasComEx.aspx</t>
      </text>
    </comment>
    <comment ref="E15" authorId="0" shapeId="0">
      <text>
        <t>Visually transcribed from user-supplied screenshot. https://www.dian.gov.co/dian/cifras/Paginas/EstadisticasComEx.aspx</t>
      </text>
    </comment>
    <comment ref="F15" authorId="0" shapeId="0">
      <text>
        <t>Visually transcribed from user-supplied screenshot. https://www.dian.gov.co/dian/cifras/Paginas/EstadisticasComEx.aspx</t>
      </text>
    </comment>
    <comment ref="G15" authorId="0" shapeId="0">
      <text>
        <t>Visually transcribed from user-supplied screenshot. https://www.dian.gov.co/dian/cifras/Paginas/EstadisticasComEx.aspx</t>
      </text>
    </comment>
    <comment ref="H15" authorId="0" shapeId="0">
      <text>
        <t>Visually transcribed from user-supplied screenshot. https://www.dian.gov.co/dian/cifras/Paginas/EstadisticasComEx.aspx</t>
      </text>
    </comment>
    <comment ref="I15" authorId="0" shapeId="0">
      <text>
        <t>Visually transcribed from user-supplied screenshot. https://www.dian.gov.co/dian/cifras/Paginas/EstadisticasComEx.aspx</t>
      </text>
    </comment>
    <comment ref="C16" authorId="0" shapeId="0">
      <text>
        <t>Visually transcribed from user-supplied screenshot. https://www.dian.gov.co/dian/cifras/Paginas/EstadisticasComEx.aspx</t>
      </text>
    </comment>
    <comment ref="D16" authorId="0" shapeId="0">
      <text>
        <t>Visually transcribed from user-supplied screenshot. https://www.dian.gov.co/dian/cifras/Paginas/EstadisticasComEx.aspx</t>
      </text>
    </comment>
    <comment ref="E16" authorId="0" shapeId="0">
      <text>
        <t>Visually transcribed from user-supplied screenshot. https://www.dian.gov.co/dian/cifras/Paginas/EstadisticasComEx.aspx</t>
      </text>
    </comment>
    <comment ref="F16" authorId="0" shapeId="0">
      <text>
        <t>Visually transcribed from user-supplied screenshot. https://www.dian.gov.co/dian/cifras/Paginas/EstadisticasComEx.aspx</t>
      </text>
    </comment>
    <comment ref="G16" authorId="0" shapeId="0">
      <text>
        <t>Visually transcribed from user-supplied screenshot. https://www.dian.gov.co/dian/cifras/Paginas/EstadisticasComEx.aspx</t>
      </text>
    </comment>
    <comment ref="H16" authorId="0" shapeId="0">
      <text>
        <t>Visually transcribed from user-supplied screenshot. https://www.dian.gov.co/dian/cifras/Paginas/EstadisticasComEx.aspx</t>
      </text>
    </comment>
    <comment ref="I16" authorId="0" shapeId="0">
      <text>
        <t>Visually transcribed from user-supplied screenshot. https://www.dian.gov.co/dian/cifras/Paginas/EstadisticasComEx.aspx</t>
      </text>
    </comment>
  </commentList>
</comments>
</file>

<file path=xl/comments/comment2.xml><?xml version="1.0" encoding="utf-8"?>
<comments xmlns="http://schemas.openxmlformats.org/spreadsheetml/2006/main">
  <authors>
    <author>Source / method</author>
  </authors>
  <commentList>
    <comment ref="F21" authorId="0" shapeId="0">
      <text>
        <t>https://www.dane.gov.co/files/operaciones/IMP/bol-IMP-ago2026.pdf</t>
      </text>
    </comment>
    <comment ref="F22" authorId="0" shapeId="0">
      <text>
        <t>https://www.dane.gov.co/files/operaciones/IMP/bol-IMP-ago2026.pdf</t>
      </text>
    </comment>
    <comment ref="F23" authorId="0" shapeId="0">
      <text>
        <t>Scale comparison only; not a causal COP estimate.</t>
      </text>
    </comment>
    <comment ref="F24" authorId="0" shapeId="0">
      <text>
        <t>Scale comparison only; not a causal COP estimate.</t>
      </text>
    </comment>
    <comment ref="F25" authorId="0" shapeId="0">
      <text>
        <t>Scale comparison only; not a causal COP estimate.</t>
      </text>
    </comment>
  </commentList>
</comments>
</file>

<file path=xl/comments/comment3.xml><?xml version="1.0" encoding="utf-8"?>
<comments xmlns="http://schemas.openxmlformats.org/spreadsheetml/2006/main">
  <authors>
    <author>Source / methodology</author>
  </authors>
  <commentList>
    <comment ref="D7" authorId="0" shapeId="0">
      <text>
        <t>Source: https://wits.worldbank.org/trade/comtrade/en/country/COL/year/2017/tradeflow/Imports/partner/ALL/product/271111</t>
      </text>
    </comment>
    <comment ref="E7" authorId="0" shapeId="0">
      <text>
        <t>Source: https://wits.worldbank.org/trade/comtrade/en/country/COL/year/2017/tradeflow/Imports/partner/ALL/product/271111</t>
      </text>
    </comment>
    <comment ref="D8" authorId="0" shapeId="0">
      <text>
        <t>Source: https://wits.worldbank.org/trade/comtrade/en/country/COL/year/2018/tradeflow/Imports/partner/ALL/product/271111</t>
      </text>
    </comment>
    <comment ref="E8" authorId="0" shapeId="0">
      <text>
        <t>Source: https://wits.worldbank.org/trade/comtrade/en/country/COL/year/2018/tradeflow/Imports/partner/ALL/product/271111</t>
      </text>
    </comment>
    <comment ref="D9" authorId="0" shapeId="0">
      <text>
        <t>Source: https://wits.worldbank.org/trade/comtrade/en/country/COL/year/2019/tradeflow/Imports/partner/ALL/product/271111</t>
      </text>
    </comment>
    <comment ref="E9" authorId="0" shapeId="0">
      <text>
        <t>Source: https://wits.worldbank.org/trade/comtrade/en/country/COL/year/2019/tradeflow/Imports/partner/ALL/product/271111</t>
      </text>
    </comment>
    <comment ref="D10" authorId="0" shapeId="0">
      <text>
        <t>Source: https://wits.worldbank.org/trade/comtrade/en/country/COL/year/2020/tradeflow/Imports/partner/ALL/product/271111</t>
      </text>
    </comment>
    <comment ref="E10" authorId="0" shapeId="0">
      <text>
        <t>Source: https://wits.worldbank.org/trade/comtrade/en/country/COL/year/2020/tradeflow/Imports/partner/ALL/product/271111</t>
      </text>
    </comment>
    <comment ref="D11" authorId="0" shapeId="0">
      <text>
        <t>Source: https://wits.worldbank.org/trade/comtrade/en/country/COL/year/2021/tradeflow/Imports/partner/ALL/product/271111</t>
      </text>
    </comment>
    <comment ref="E11" authorId="0" shapeId="0">
      <text>
        <t>Source: https://wits.worldbank.org/trade/comtrade/en/country/COL/year/2021/tradeflow/Imports/partner/ALL/product/271111</t>
      </text>
    </comment>
    <comment ref="D12" authorId="0" shapeId="0">
      <text>
        <t>Source: https://wits.worldbank.org/trade/comtrade/en/country/COL/year/2021/tradeflow/Imports/partner/ALL/product/271121</t>
      </text>
    </comment>
    <comment ref="E12" authorId="0" shapeId="0">
      <text>
        <t>Source: https://wits.worldbank.org/trade/comtrade/en/country/COL/year/2021/tradeflow/Imports/partner/ALL/product/271121</t>
      </text>
    </comment>
    <comment ref="D13" authorId="0" shapeId="0">
      <text>
        <t>Source: https://wits.worldbank.org/trade/comtrade/en/country/COL/year/2022/tradeflow/Imports/partner/ALL/product/271111</t>
      </text>
    </comment>
    <comment ref="E13" authorId="0" shapeId="0">
      <text>
        <t>Source: https://wits.worldbank.org/trade/comtrade/en/country/COL/year/2022/tradeflow/Imports/partner/ALL/product/271111</t>
      </text>
    </comment>
    <comment ref="D14" authorId="0" shapeId="0">
      <text>
        <t>Source: https://wits.worldbank.org/trade/comtrade/en/country/COL/year/2022/tradeflow/Imports/partner/ALL/product/271121</t>
      </text>
    </comment>
    <comment ref="E14" authorId="0" shapeId="0">
      <text>
        <t>Source: https://wits.worldbank.org/trade/comtrade/en/country/COL/year/2022/tradeflow/Imports/partner/ALL/product/271121</t>
      </text>
    </comment>
    <comment ref="D15" authorId="0" shapeId="0">
      <text>
        <t>Source: https://wits.worldbank.org/trade/comtrade/en/country/COL/year/2023/tradeflow/Imports/partner/ALL/product/271111</t>
      </text>
    </comment>
    <comment ref="E15" authorId="0" shapeId="0">
      <text>
        <t>Source: https://wits.worldbank.org/trade/comtrade/en/country/COL/year/2023/tradeflow/Imports/partner/ALL/product/271111</t>
      </text>
    </comment>
    <comment ref="D16" authorId="0" shapeId="0">
      <text>
        <t>Source: https://wits.worldbank.org/trade/comtrade/en/country/COL/year/2023/tradeflow/Imports/partner/ALL/product/271121</t>
      </text>
    </comment>
    <comment ref="E16" authorId="0" shapeId="0">
      <text>
        <t>Source: https://wits.worldbank.org/trade/comtrade/en/country/COL/year/2023/tradeflow/Imports/partner/ALL/product/271121</t>
      </text>
    </comment>
    <comment ref="D17" authorId="0" shapeId="0">
      <text>
        <t>Source: https://wits.worldbank.org/trade/comtrade/en/country/COL/year/2024/tradeflow/Imports/partner/ALL/product/271111</t>
      </text>
    </comment>
    <comment ref="E17" authorId="0" shapeId="0">
      <text>
        <t>Source: https://wits.worldbank.org/trade/comtrade/en/country/COL/year/2024/tradeflow/Imports/partner/ALL/product/271111</t>
      </text>
    </comment>
    <comment ref="D18" authorId="0" shapeId="0">
      <text>
        <t>Source: https://wits.worldbank.org/trade/comtrade/en/country/COL/year/2024/tradeflow/Imports/partner/ALL/product/271121</t>
      </text>
    </comment>
    <comment ref="E18" authorId="0" shapeId="0">
      <text>
        <t>Source: https://wits.worldbank.org/trade/comtrade/en/country/COL/year/2024/tradeflow/Imports/partner/ALL/product/271121</t>
      </text>
    </comment>
    <comment ref="D19" authorId="0" shapeId="0">
      <text>
        <t>Source: https://wits.worldbank.org/trade/comtrade/en/country/COL/year/2025/tradeflow/Imports/partner/ALL/product/271111</t>
      </text>
    </comment>
    <comment ref="E19" authorId="0" shapeId="0">
      <text>
        <t>Source: https://wits.worldbank.org/trade/comtrade/en/country/COL/year/2025/tradeflow/Imports/partner/ALL/product/271111</t>
      </text>
    </comment>
    <comment ref="D20" authorId="0" shapeId="0">
      <text>
        <t>Source: https://wits.worldbank.org/trade/comtrade/en/country/COL/year/2025/tradeflow/Imports/partner/ALL/product/271121</t>
      </text>
    </comment>
    <comment ref="E20" authorId="0" shapeId="0">
      <text>
        <t>Source: https://wits.worldbank.org/trade/comtrade/en/country/COL/year/2025/tradeflow/Imports/partner/ALL/product/271121</t>
      </text>
    </comment>
  </commentList>
</comments>
</file>

<file path=xl/comments/comment4.xml><?xml version="1.0" encoding="utf-8"?>
<comments xmlns="http://schemas.openxmlformats.org/spreadsheetml/2006/main">
  <authors>
    <author>Source / methodology</author>
  </authors>
  <commentList>
    <comment ref="E7" authorId="0" shapeId="0">
      <text>
        <t>Source: https://wits.worldbank.org/trade/comtrade/en/country/COL/year/2017/tradeflow/Imports/partner/ALL/product/271111</t>
      </text>
    </comment>
    <comment ref="G7" authorId="0" shapeId="0">
      <text>
        <t>Source: https://wits.worldbank.org/trade/comtrade/en/country/COL/year/2017/tradeflow/Imports/partner/ALL/product/271111</t>
      </text>
    </comment>
    <comment ref="E8" authorId="0" shapeId="0">
      <text>
        <t>Source: https://wits.worldbank.org/trade/comtrade/en/country/COL/year/2018/tradeflow/Imports/partner/ALL/product/271111</t>
      </text>
    </comment>
    <comment ref="G8" authorId="0" shapeId="0">
      <text>
        <t>Source: https://wits.worldbank.org/trade/comtrade/en/country/COL/year/2018/tradeflow/Imports/partner/ALL/product/271111</t>
      </text>
    </comment>
    <comment ref="E9" authorId="0" shapeId="0">
      <text>
        <t>Source: https://wits.worldbank.org/trade/comtrade/en/country/COL/year/2018/tradeflow/Imports/partner/ALL/product/271111</t>
      </text>
    </comment>
    <comment ref="G9" authorId="0" shapeId="0">
      <text>
        <t>Source: https://wits.worldbank.org/trade/comtrade/en/country/COL/year/2018/tradeflow/Imports/partner/ALL/product/271111</t>
      </text>
    </comment>
    <comment ref="E10" authorId="0" shapeId="0">
      <text>
        <t>Source: https://wits.worldbank.org/trade/comtrade/en/country/COL/year/2018/tradeflow/Imports/partner/ALL/product/271111</t>
      </text>
    </comment>
    <comment ref="G10" authorId="0" shapeId="0">
      <text>
        <t>Source: https://wits.worldbank.org/trade/comtrade/en/country/COL/year/2018/tradeflow/Imports/partner/ALL/product/271111</t>
      </text>
    </comment>
    <comment ref="E11" authorId="0" shapeId="0">
      <text>
        <t>Source: https://wits.worldbank.org/trade/comtrade/en/country/COL/year/2018/tradeflow/Imports/partner/ALL/product/271111</t>
      </text>
    </comment>
    <comment ref="G11" authorId="0" shapeId="0">
      <text>
        <t>Source: https://wits.worldbank.org/trade/comtrade/en/country/COL/year/2018/tradeflow/Imports/partner/ALL/product/271111</t>
      </text>
    </comment>
    <comment ref="E12" authorId="0" shapeId="0">
      <text>
        <t>Source: https://wits.worldbank.org/trade/comtrade/en/country/COL/year/2018/tradeflow/Imports/partner/ALL/product/271111</t>
      </text>
    </comment>
    <comment ref="G12" authorId="0" shapeId="0">
      <text>
        <t>Source: https://wits.worldbank.org/trade/comtrade/en/country/COL/year/2018/tradeflow/Imports/partner/ALL/product/271111</t>
      </text>
    </comment>
    <comment ref="E13" authorId="0" shapeId="0">
      <text>
        <t>Source: https://wits.worldbank.org/trade/comtrade/en/country/COL/year/2019/tradeflow/Imports/partner/ALL/product/271111</t>
      </text>
    </comment>
    <comment ref="G13" authorId="0" shapeId="0">
      <text>
        <t>Source: https://wits.worldbank.org/trade/comtrade/en/country/COL/year/2019/tradeflow/Imports/partner/ALL/product/271111</t>
      </text>
    </comment>
    <comment ref="E14" authorId="0" shapeId="0">
      <text>
        <t>Source: https://wits.worldbank.org/trade/comtrade/en/country/COL/year/2019/tradeflow/Imports/partner/ALL/product/271111</t>
      </text>
    </comment>
    <comment ref="G14" authorId="0" shapeId="0">
      <text>
        <t>Source: https://wits.worldbank.org/trade/comtrade/en/country/COL/year/2019/tradeflow/Imports/partner/ALL/product/271111</t>
      </text>
    </comment>
    <comment ref="E15" authorId="0" shapeId="0">
      <text>
        <t>Source: https://wits.worldbank.org/trade/comtrade/en/country/COL/year/2019/tradeflow/Imports/partner/ALL/product/271111</t>
      </text>
    </comment>
    <comment ref="G15" authorId="0" shapeId="0">
      <text>
        <t>Source: https://wits.worldbank.org/trade/comtrade/en/country/COL/year/2019/tradeflow/Imports/partner/ALL/product/271111</t>
      </text>
    </comment>
    <comment ref="E16" authorId="0" shapeId="0">
      <text>
        <t>Source: https://wits.worldbank.org/trade/comtrade/en/country/COL/year/2020/tradeflow/Imports/partner/ALL/product/271111</t>
      </text>
    </comment>
    <comment ref="G16" authorId="0" shapeId="0">
      <text>
        <t>Source: https://wits.worldbank.org/trade/comtrade/en/country/COL/year/2020/tradeflow/Imports/partner/ALL/product/271111</t>
      </text>
    </comment>
    <comment ref="E17" authorId="0" shapeId="0">
      <text>
        <t>Source: https://wits.worldbank.org/trade/comtrade/en/country/COL/year/2020/tradeflow/Imports/partner/ALL/product/271111</t>
      </text>
    </comment>
    <comment ref="G17" authorId="0" shapeId="0">
      <text>
        <t>Source: https://wits.worldbank.org/trade/comtrade/en/country/COL/year/2020/tradeflow/Imports/partner/ALL/product/271111</t>
      </text>
    </comment>
    <comment ref="E18" authorId="0" shapeId="0">
      <text>
        <t>Source: https://wits.worldbank.org/trade/comtrade/en/country/COL/year/2020/tradeflow/Imports/partner/ALL/product/271111</t>
      </text>
    </comment>
    <comment ref="G18" authorId="0" shapeId="0">
      <text>
        <t>Source: https://wits.worldbank.org/trade/comtrade/en/country/COL/year/2020/tradeflow/Imports/partner/ALL/product/271111</t>
      </text>
    </comment>
    <comment ref="E19" authorId="0" shapeId="0">
      <text>
        <t>Source: https://wits.worldbank.org/trade/comtrade/en/country/COL/year/2020/tradeflow/Imports/partner/ALL/product/271111</t>
      </text>
    </comment>
    <comment ref="G19" authorId="0" shapeId="0">
      <text>
        <t>Source: https://wits.worldbank.org/trade/comtrade/en/country/COL/year/2020/tradeflow/Imports/partner/ALL/product/271111</t>
      </text>
    </comment>
    <comment ref="E20" authorId="0" shapeId="0">
      <text>
        <t>Source: https://wits.worldbank.org/trade/comtrade/en/country/COL/year/2020/tradeflow/Imports/partner/ALL/product/271111</t>
      </text>
    </comment>
    <comment ref="G20" authorId="0" shapeId="0">
      <text>
        <t>Source: https://wits.worldbank.org/trade/comtrade/en/country/COL/year/2020/tradeflow/Imports/partner/ALL/product/271111</t>
      </text>
    </comment>
    <comment ref="E21" authorId="0" shapeId="0">
      <text>
        <t>Source: https://wits.worldbank.org/trade/comtrade/en/country/COL/year/2021/tradeflow/Imports/partner/ALL/product/271111</t>
      </text>
    </comment>
    <comment ref="G21" authorId="0" shapeId="0">
      <text>
        <t>Source: https://wits.worldbank.org/trade/comtrade/en/country/COL/year/2021/tradeflow/Imports/partner/ALL/product/271111</t>
      </text>
    </comment>
    <comment ref="E22" authorId="0" shapeId="0">
      <text>
        <t>Source: https://wits.worldbank.org/trade/comtrade/en/country/COL/year/2021/tradeflow/Imports/partner/ALL/product/271111</t>
      </text>
    </comment>
    <comment ref="G22" authorId="0" shapeId="0">
      <text>
        <t>Source: https://wits.worldbank.org/trade/comtrade/en/country/COL/year/2021/tradeflow/Imports/partner/ALL/product/271111</t>
      </text>
    </comment>
    <comment ref="E23" authorId="0" shapeId="0">
      <text>
        <t>Source: https://wits.worldbank.org/trade/comtrade/en/country/COL/year/2021/tradeflow/Imports/partner/ALL/product/271111</t>
      </text>
    </comment>
    <comment ref="G23" authorId="0" shapeId="0">
      <text>
        <t>Source: https://wits.worldbank.org/trade/comtrade/en/country/COL/year/2021/tradeflow/Imports/partner/ALL/product/271111</t>
      </text>
    </comment>
    <comment ref="E24" authorId="0" shapeId="0">
      <text>
        <t>Source: https://wits.worldbank.org/trade/comtrade/en/country/COL/year/2021/tradeflow/Imports/partner/ALL/product/271111</t>
      </text>
    </comment>
    <comment ref="G24" authorId="0" shapeId="0">
      <text>
        <t>Source: https://wits.worldbank.org/trade/comtrade/en/country/COL/year/2021/tradeflow/Imports/partner/ALL/product/271111</t>
      </text>
    </comment>
    <comment ref="E25" authorId="0" shapeId="0">
      <text>
        <t>Source: https://wits.worldbank.org/trade/comtrade/en/country/COL/year/2021/tradeflow/Imports/partner/ALL/product/271121</t>
      </text>
    </comment>
    <comment ref="G25" authorId="0" shapeId="0">
      <text>
        <t>Source: https://wits.worldbank.org/trade/comtrade/en/country/COL/year/2021/tradeflow/Imports/partner/ALL/product/271121</t>
      </text>
    </comment>
    <comment ref="E26" authorId="0" shapeId="0">
      <text>
        <t>Source: https://wits.worldbank.org/trade/comtrade/en/country/COL/year/2021/tradeflow/Imports/partner/ALL/product/271121</t>
      </text>
    </comment>
    <comment ref="G26" authorId="0" shapeId="0">
      <text>
        <t>Source: https://wits.worldbank.org/trade/comtrade/en/country/COL/year/2021/tradeflow/Imports/partner/ALL/product/271121</t>
      </text>
    </comment>
    <comment ref="E27" authorId="0" shapeId="0">
      <text>
        <t>Source: https://wits.worldbank.org/trade/comtrade/en/country/COL/year/2022/tradeflow/Imports/partner/ALL/product/271111</t>
      </text>
    </comment>
    <comment ref="G27" authorId="0" shapeId="0">
      <text>
        <t>Source: https://wits.worldbank.org/trade/comtrade/en/country/COL/year/2022/tradeflow/Imports/partner/ALL/product/271111</t>
      </text>
    </comment>
    <comment ref="E28" authorId="0" shapeId="0">
      <text>
        <t>Source: https://wits.worldbank.org/trade/comtrade/en/country/COL/year/2022/tradeflow/Imports/partner/ALL/product/271121</t>
      </text>
    </comment>
    <comment ref="G28" authorId="0" shapeId="0">
      <text>
        <t>Source: https://wits.worldbank.org/trade/comtrade/en/country/COL/year/2022/tradeflow/Imports/partner/ALL/product/271121</t>
      </text>
    </comment>
    <comment ref="E29" authorId="0" shapeId="0">
      <text>
        <t>Source: https://wits.worldbank.org/trade/comtrade/en/country/COL/year/2022/tradeflow/Imports/partner/ALL/product/271121</t>
      </text>
    </comment>
    <comment ref="G29" authorId="0" shapeId="0">
      <text>
        <t>Source: https://wits.worldbank.org/trade/comtrade/en/country/COL/year/2022/tradeflow/Imports/partner/ALL/product/271121</t>
      </text>
    </comment>
    <comment ref="E30" authorId="0" shapeId="0">
      <text>
        <t>Source: https://wits.worldbank.org/trade/comtrade/en/country/COL/year/2023/tradeflow/Imports/partner/ALL/product/271111</t>
      </text>
    </comment>
    <comment ref="G30" authorId="0" shapeId="0">
      <text>
        <t>Source: https://wits.worldbank.org/trade/comtrade/en/country/COL/year/2023/tradeflow/Imports/partner/ALL/product/271111</t>
      </text>
    </comment>
    <comment ref="E31" authorId="0" shapeId="0">
      <text>
        <t>Source: https://wits.worldbank.org/trade/comtrade/en/country/COL/year/2023/tradeflow/Imports/partner/ALL/product/271111</t>
      </text>
    </comment>
    <comment ref="G31" authorId="0" shapeId="0">
      <text>
        <t>Source: https://wits.worldbank.org/trade/comtrade/en/country/COL/year/2023/tradeflow/Imports/partner/ALL/product/271111</t>
      </text>
    </comment>
    <comment ref="E32" authorId="0" shapeId="0">
      <text>
        <t>Source: https://wits.worldbank.org/trade/comtrade/en/country/COL/year/2023/tradeflow/Imports/partner/ALL/product/271111</t>
      </text>
    </comment>
    <comment ref="G32" authorId="0" shapeId="0">
      <text>
        <t>Source: https://wits.worldbank.org/trade/comtrade/en/country/COL/year/2023/tradeflow/Imports/partner/ALL/product/271111</t>
      </text>
    </comment>
    <comment ref="E33" authorId="0" shapeId="0">
      <text>
        <t>Source: https://wits.worldbank.org/trade/comtrade/en/country/COL/year/2023/tradeflow/Imports/partner/ALL/product/271121</t>
      </text>
    </comment>
    <comment ref="G33" authorId="0" shapeId="0">
      <text>
        <t>Source: https://wits.worldbank.org/trade/comtrade/en/country/COL/year/2023/tradeflow/Imports/partner/ALL/product/271121</t>
      </text>
    </comment>
    <comment ref="E34" authorId="0" shapeId="0">
      <text>
        <t>Source: https://wits.worldbank.org/trade/comtrade/en/country/COL/year/2024/tradeflow/Imports/partner/ALL/product/271111</t>
      </text>
    </comment>
    <comment ref="G34" authorId="0" shapeId="0">
      <text>
        <t>Source: https://wits.worldbank.org/trade/comtrade/en/country/COL/year/2024/tradeflow/Imports/partner/ALL/product/271111</t>
      </text>
    </comment>
    <comment ref="E35" authorId="0" shapeId="0">
      <text>
        <t>Source: https://wits.worldbank.org/trade/comtrade/en/country/COL/year/2024/tradeflow/Imports/partner/ALL/product/271111</t>
      </text>
    </comment>
    <comment ref="G35" authorId="0" shapeId="0">
      <text>
        <t>Source: https://wits.worldbank.org/trade/comtrade/en/country/COL/year/2024/tradeflow/Imports/partner/ALL/product/271111</t>
      </text>
    </comment>
    <comment ref="E36" authorId="0" shapeId="0">
      <text>
        <t>Source: https://wits.worldbank.org/trade/comtrade/en/country/COL/year/2024/tradeflow/Imports/partner/ALL/product/271111</t>
      </text>
    </comment>
    <comment ref="G36" authorId="0" shapeId="0">
      <text>
        <t>Source: https://wits.worldbank.org/trade/comtrade/en/country/COL/year/2024/tradeflow/Imports/partner/ALL/product/271111</t>
      </text>
    </comment>
    <comment ref="E37" authorId="0" shapeId="0">
      <text>
        <t>Source: https://wits.worldbank.org/trade/comtrade/en/country/COL/year/2024/tradeflow/Imports/partner/ALL/product/271121</t>
      </text>
    </comment>
    <comment ref="G37" authorId="0" shapeId="0">
      <text>
        <t>Source: https://wits.worldbank.org/trade/comtrade/en/country/COL/year/2024/tradeflow/Imports/partner/ALL/product/271121</t>
      </text>
    </comment>
    <comment ref="E38" authorId="0" shapeId="0">
      <text>
        <t>Source: https://wits.worldbank.org/trade/comtrade/en/country/COL/year/2024/tradeflow/Imports/partner/ALL/product/271121</t>
      </text>
    </comment>
    <comment ref="G38" authorId="0" shapeId="0">
      <text>
        <t>Source: https://wits.worldbank.org/trade/comtrade/en/country/COL/year/2024/tradeflow/Imports/partner/ALL/product/271121</t>
      </text>
    </comment>
    <comment ref="E39" authorId="0" shapeId="0">
      <text>
        <t>Source: https://wits.worldbank.org/trade/comtrade/en/country/COL/year/2025/tradeflow/Imports/partner/ALL/product/271111</t>
      </text>
    </comment>
    <comment ref="G39" authorId="0" shapeId="0">
      <text>
        <t>Source: https://wits.worldbank.org/trade/comtrade/en/country/COL/year/2025/tradeflow/Imports/partner/ALL/product/271111</t>
      </text>
    </comment>
    <comment ref="E40" authorId="0" shapeId="0">
      <text>
        <t>Source: https://wits.worldbank.org/trade/comtrade/en/country/COL/year/2025/tradeflow/Imports/partner/ALL/product/271111</t>
      </text>
    </comment>
    <comment ref="G40" authorId="0" shapeId="0">
      <text>
        <t>Source: https://wits.worldbank.org/trade/comtrade/en/country/COL/year/2025/tradeflow/Imports/partner/ALL/product/271111</t>
      </text>
    </comment>
    <comment ref="E41" authorId="0" shapeId="0">
      <text>
        <t>Source: https://wits.worldbank.org/trade/comtrade/en/country/COL/year/2025/tradeflow/Imports/partner/ALL/product/271111</t>
      </text>
    </comment>
    <comment ref="G41" authorId="0" shapeId="0">
      <text>
        <t>Source: https://wits.worldbank.org/trade/comtrade/en/country/COL/year/2025/tradeflow/Imports/partner/ALL/product/271111</t>
      </text>
    </comment>
    <comment ref="E42" authorId="0" shapeId="0">
      <text>
        <t>Source: https://wits.worldbank.org/trade/comtrade/en/country/COL/year/2025/tradeflow/Imports/partner/ALL/product/271121</t>
      </text>
    </comment>
    <comment ref="G42" authorId="0" shapeId="0">
      <text>
        <t>Source: https://wits.worldbank.org/trade/comtrade/en/country/COL/year/2025/tradeflow/Imports/partner/ALL/product/271121</t>
      </text>
    </comment>
    <comment ref="E43" authorId="0" shapeId="0">
      <text>
        <t>Source: https://wits.worldbank.org/trade/comtrade/en/country/COL/year/2025/tradeflow/Imports/partner/ALL/product/271121</t>
      </text>
    </comment>
    <comment ref="G43" authorId="0" shapeId="0">
      <text>
        <t>Source: https://wits.worldbank.org/trade/comtrade/en/country/COL/year/2025/tradeflow/Imports/partner/ALL/product/271121</t>
      </text>
    </comment>
  </commentList>
</comments>
</file>

<file path=xl/comments/comment5.xml><?xml version="1.0" encoding="utf-8"?>
<comments xmlns="http://schemas.openxmlformats.org/spreadsheetml/2006/main">
  <authors>
    <author>Source / methodology</author>
  </authors>
  <commentList>
    <comment ref="B7" authorId="0" shapeId="0">
      <text>
        <t>Source: User-supplied BMC screenshot
Dashboard vintage not visible; received 2026-10-27. Units as displayed: MBTUD (million Btu/day).</t>
      </text>
    </comment>
    <comment ref="C7" authorId="0" shapeId="0">
      <text>
        <t>Source: User-supplied BMC screenshot
Dashboard vintage not visible; received 2026-10-27. Units as displayed: MBTUD (million Btu/day).</t>
      </text>
    </comment>
    <comment ref="D7" authorId="0" shapeId="0">
      <text>
        <t>Source: User-supplied BMC screenshot
Dashboard vintage not visible; received 2026-10-27. Units as displayed: MBTUD (million Btu/day).</t>
      </text>
    </comment>
    <comment ref="B8" authorId="0" shapeId="0">
      <text>
        <t>Source: User-supplied BMC screenshot
Dashboard vintage not visible; received 2026-10-27. Units as displayed: MBTUD (million Btu/day).</t>
      </text>
    </comment>
    <comment ref="C8" authorId="0" shapeId="0">
      <text>
        <t>Source: User-supplied BMC screenshot
Dashboard vintage not visible; received 2026-10-27. Units as displayed: MBTUD (million Btu/day).</t>
      </text>
    </comment>
    <comment ref="D8" authorId="0" shapeId="0">
      <text>
        <t>Source: User-supplied BMC screenshot
Dashboard vintage not visible; received 2026-10-27. Units as displayed: MBTUD (million Btu/day).</t>
      </text>
    </comment>
    <comment ref="B9" authorId="0" shapeId="0">
      <text>
        <t>Source: User-supplied BMC screenshot
Dashboard vintage not visible; received 2026-10-27. Units as displayed: MBTUD (million Btu/day).</t>
      </text>
    </comment>
    <comment ref="C9" authorId="0" shapeId="0">
      <text>
        <t>Source: User-supplied BMC screenshot
Dashboard vintage not visible; received 2026-10-27. Units as displayed: MBTUD (million Btu/day).</t>
      </text>
    </comment>
    <comment ref="D9" authorId="0" shapeId="0">
      <text>
        <t>Source: User-supplied BMC screenshot
Dashboard vintage not visible; received 2026-10-27. Units as displayed: MBTUD (million Btu/day).</t>
      </text>
    </comment>
    <comment ref="B10" authorId="0" shapeId="0">
      <text>
        <t>Source: User-supplied BMC screenshot
Dashboard vintage not visible; received 2026-10-27. Units as displayed: MBTUD (million Btu/day).</t>
      </text>
    </comment>
    <comment ref="C10" authorId="0" shapeId="0">
      <text>
        <t>Source: User-supplied BMC screenshot
Dashboard vintage not visible; received 2026-10-27. Units as displayed: MBTUD (million Btu/day).</t>
      </text>
    </comment>
    <comment ref="D10" authorId="0" shapeId="0">
      <text>
        <t>Source: User-supplied BMC screenshot
Dashboard vintage not visible; received 2026-10-27. Units as displayed: MBTUD (million Btu/day).</t>
      </text>
    </comment>
    <comment ref="B11" authorId="0" shapeId="0">
      <text>
        <t>Source: User-supplied BMC screenshot
Dashboard vintage not visible; received 2026-10-27. Units as displayed: MBTUD (million Btu/day).</t>
      </text>
    </comment>
    <comment ref="C11" authorId="0" shapeId="0">
      <text>
        <t>Source: User-supplied BMC screenshot
Dashboard vintage not visible; received 2026-10-27. Units as displayed: MBTUD (million Btu/day).</t>
      </text>
    </comment>
    <comment ref="D11" authorId="0" shapeId="0">
      <text>
        <t>Source: User-supplied BMC screenshot
Dashboard vintage not visible; received 2026-10-27. Units as displayed: MBTUD (million Btu/day).</t>
      </text>
    </comment>
    <comment ref="B12" authorId="0" shapeId="0">
      <text>
        <t>Source: User-supplied BMC screenshot
Dashboard vintage not visible; received 2026-10-27. Units as displayed: MBTUD (million Btu/day).</t>
      </text>
    </comment>
    <comment ref="C12" authorId="0" shapeId="0">
      <text>
        <t>Source: User-supplied BMC screenshot
Dashboard vintage not visible; received 2026-10-27. Units as displayed: MBTUD (million Btu/day).</t>
      </text>
    </comment>
    <comment ref="D12" authorId="0" shapeId="0">
      <text>
        <t>Source: User-supplied BMC screenshot
Dashboard vintage not visible; received 2026-10-27. Units as displayed: MBTUD (million Btu/day).</t>
      </text>
    </comment>
    <comment ref="B13" authorId="0" shapeId="0">
      <text>
        <t>Source: User-supplied BMC screenshot
Dashboard vintage not visible; received 2026-10-27. Units as displayed: MBTUD (million Btu/day).</t>
      </text>
    </comment>
    <comment ref="C13" authorId="0" shapeId="0">
      <text>
        <t>Source: User-supplied BMC screenshot
Dashboard vintage not visible; received 2026-10-27. Units as displayed: MBTUD (million Btu/day).</t>
      </text>
    </comment>
    <comment ref="D13" authorId="0" shapeId="0">
      <text>
        <t>Source: User-supplied BMC screenshot
Dashboard vintage not visible; received 2026-10-27. Units as displayed: MBTUD (million Btu/day).</t>
      </text>
    </comment>
    <comment ref="B14" authorId="0" shapeId="0">
      <text>
        <t>Source: User-supplied BMC screenshot
Dashboard vintage not visible; received 2026-10-27. Units as displayed: MBTUD (million Btu/day).</t>
      </text>
    </comment>
    <comment ref="C14" authorId="0" shapeId="0">
      <text>
        <t>Source: User-supplied BMC screenshot
Dashboard vintage not visible; received 2026-10-27. Units as displayed: MBTUD (million Btu/day).</t>
      </text>
    </comment>
    <comment ref="D14" authorId="0" shapeId="0">
      <text>
        <t>Source: User-supplied BMC screenshot
Dashboard vintage not visible; received 2026-10-27. Units as displayed: MBTUD (million Btu/day).</t>
      </text>
    </comment>
    <comment ref="B15" authorId="0" shapeId="0">
      <text>
        <t>Source: User-supplied BMC screenshot
Dashboard vintage not visible; received 2026-10-27. Units as displayed: MBTUD (million Btu/day).</t>
      </text>
    </comment>
    <comment ref="C15" authorId="0" shapeId="0">
      <text>
        <t>Source: User-supplied BMC screenshot
Dashboard vintage not visible; received 2026-10-27. Units as displayed: MBTUD (million Btu/day).</t>
      </text>
    </comment>
    <comment ref="D15" authorId="0" shapeId="0">
      <text>
        <t>Source: User-supplied BMC screenshot
Dashboard vintage not visible; received 2026-10-27. Units as displayed: MBTUD (million Btu/day).</t>
      </text>
    </comment>
    <comment ref="B16" authorId="0" shapeId="0">
      <text>
        <t>Source: User-supplied BMC screenshot
Dashboard vintage not visible; received 2026-10-27. Units as displayed: MBTUD (million Btu/day).</t>
      </text>
    </comment>
    <comment ref="C16" authorId="0" shapeId="0">
      <text>
        <t>Source: User-supplied BMC screenshot
Dashboard vintage not visible; received 2026-10-27. Units as displayed: MBTUD (million Btu/day).</t>
      </text>
    </comment>
    <comment ref="D16" authorId="0" shapeId="0">
      <text>
        <t>Source: User-supplied BMC screenshot
Dashboard vintage not visible; received 2026-10-27. Units as displayed: MBTUD (million Btu/day).</t>
      </text>
    </comment>
    <comment ref="B17" authorId="0" shapeId="0">
      <text>
        <t>Source: User-supplied BMC screenshot
Dashboard vintage not visible; received 2026-10-27. Units as displayed: MBTUD (million Btu/day).</t>
      </text>
    </comment>
    <comment ref="C17" authorId="0" shapeId="0">
      <text>
        <t>Source: User-supplied BMC screenshot
Dashboard vintage not visible; received 2026-10-27. Units as displayed: MBTUD (million Btu/day).</t>
      </text>
    </comment>
    <comment ref="D17" authorId="0" shapeId="0">
      <text>
        <t>Source: User-supplied BMC screenshot
Dashboard vintage not visible; received 2026-10-27. Units as displayed: MBTUD (million Btu/day).</t>
      </text>
    </comment>
    <comment ref="B18" authorId="0" shapeId="0">
      <text>
        <t>Source: User-supplied BMC screenshot
Dashboard vintage not visible; received 2026-10-27. Units as displayed: MBTUD (million Btu/day).</t>
      </text>
    </comment>
    <comment ref="C18" authorId="0" shapeId="0">
      <text>
        <t>Source: User-supplied BMC screenshot
Dashboard vintage not visible; received 2026-10-27. Units as displayed: MBTUD (million Btu/day).</t>
      </text>
    </comment>
    <comment ref="D18" authorId="0" shapeId="0">
      <text>
        <t>Source: User-supplied BMC screenshot
Dashboard vintage not visible; received 2026-10-27. Units as displayed: MBTUD (million Btu/day).</t>
      </text>
    </comment>
    <comment ref="B19" authorId="0" shapeId="0">
      <text>
        <t>Source: User-supplied BMC screenshot
Dashboard vintage not visible; received 2026-10-27. Units as displayed: MBTUD (million Btu/day).</t>
      </text>
    </comment>
    <comment ref="C19" authorId="0" shapeId="0">
      <text>
        <t>Source: User-supplied BMC screenshot
Dashboard vintage not visible; received 2026-10-27. Units as displayed: MBTUD (million Btu/day).</t>
      </text>
    </comment>
    <comment ref="D19" authorId="0" shapeId="0">
      <text>
        <t>Source: User-supplied BMC screenshot
Dashboard vintage not visible; received 2026-10-27. Units as displayed: MBTUD (million Btu/day).</t>
      </text>
    </comment>
    <comment ref="B20" authorId="0" shapeId="0">
      <text>
        <t>Source: User-supplied BMC screenshot
Dashboard vintage not visible; received 2026-10-27. Units as displayed: MBTUD (million Btu/day).</t>
      </text>
    </comment>
    <comment ref="C20" authorId="0" shapeId="0">
      <text>
        <t>Source: User-supplied BMC screenshot
Dashboard vintage not visible; received 2026-10-27. Units as displayed: MBTUD (million Btu/day).</t>
      </text>
    </comment>
    <comment ref="D20" authorId="0" shapeId="0">
      <text>
        <t>Source: User-supplied BMC screenshot
Dashboard vintage not visible; received 2026-10-27. Units as displayed: MBTUD (million Btu/day).</t>
      </text>
    </comment>
  </commentList>
</comments>
</file>

<file path=xl/comments/comment6.xml><?xml version="1.0" encoding="utf-8"?>
<comments xmlns="http://schemas.openxmlformats.org/spreadsheetml/2006/main">
  <authors>
    <author>Source / methodology</author>
  </authors>
  <commentList>
    <comment ref="D7" authorId="0" shapeId="0">
      <text>
        <t>Source: https://www.dane.gov.co/files/operaciones/IMP/bol-IMP-ago2026.pdf
Page 9. US$ million CIF rounded to one decimal; provisional.</t>
      </text>
    </comment>
    <comment ref="D8" authorId="0" shapeId="0">
      <text>
        <t>Source: https://www.dane.gov.co/files/operaciones/IMP/bol-IMP-ago2026.pdf
Page 9. US$ million CIF rounded to one decimal; provisional.</t>
      </text>
    </comment>
  </commentList>
</comments>
</file>

<file path=xl/comments/comment7.xml><?xml version="1.0" encoding="utf-8"?>
<comments xmlns="http://schemas.openxmlformats.org/spreadsheetml/2006/main">
  <authors>
    <author>Source / methodology</author>
  </authors>
  <commentList>
    <comment ref="B10" authorId="0" shapeId="0">
      <text>
        <t>Source: Analyst illustration
Not a market-price observation or forecast.</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_rels/drawing2.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3.xml.rels><Relationships xmlns="http://schemas.openxmlformats.org/package/2006/relationships"><Relationship Type="http://schemas.openxmlformats.org/officeDocument/2006/relationships/chart" Target="/xl/charts/chart4.xml" Id="rId1"/><Relationship Type="http://schemas.openxmlformats.org/officeDocument/2006/relationships/chart" Target="/xl/charts/chart5.xml" Id="rId2"/><Relationship Type="http://schemas.openxmlformats.org/officeDocument/2006/relationships/chart" Target="/xl/charts/chart6.xml" Id="rId3"/></Relationships>
</file>

<file path=xl/drawings/drawing1.xml><?xml version="1.0" encoding="utf-8"?>
<wsDr xmlns="http://schemas.openxmlformats.org/drawingml/2006/spreadsheetDrawing">
  <oneCellAnchor>
    <from>
      <col>0</col>
      <colOff>0</colOff>
      <row>10</row>
      <rowOff>0</rowOff>
    </from>
    <ext cx="900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28</row>
      <rowOff>0</rowOff>
    </from>
    <ext cx="900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46</row>
      <rowOff>0</rowOff>
    </from>
    <ext cx="9000000" cy="324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2.xml><?xml version="1.0" encoding="utf-8"?>
<wsDr xmlns="http://schemas.openxmlformats.org/drawingml/2006/spreadsheetDrawing">
  <oneCellAnchor>
    <from>
      <col>0</col>
      <colOff>0</colOff>
      <row>4</row>
      <rowOff>0</rowOff>
    </from>
    <ext cx="7305675" cy="2381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19</row>
      <rowOff>0</rowOff>
    </from>
    <ext cx="8115300" cy="24098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6</row>
      <rowOff>0</rowOff>
    </from>
    <ext cx="82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26</row>
      <rowOff>0</rowOff>
    </from>
    <ext cx="828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46</row>
      <rowOff>0</rowOff>
    </from>
    <ext cx="8280000" cy="324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ables/table1.xml><?xml version="1.0" encoding="utf-8"?>
<table xmlns="http://schemas.openxmlformats.org/spreadsheetml/2006/main" id="1" name="DianRawMonthly" displayName="DianRawMonthly" ref="A6:M16" headerRowCount="1">
  <autoFilter ref="A6:M16"/>
  <tableColumns count="13">
    <tableColumn id="1" name="Month no."/>
    <tableColumn id="2" name="Month label"/>
    <tableColumn id="3" name="FOB 2025 (USD m), signed"/>
    <tableColumn id="4" name="FOB 2026 (USD m), signed"/>
    <tableColumn id="5" name="FOB YoY, displayed"/>
    <tableColumn id="6" name="Weight 2025 (m kg), signed"/>
    <tableColumn id="7" name="Weight 2026 (m kg), signed"/>
    <tableColumn id="8" name="Weight YoY, displayed"/>
    <tableColumn id="9" name="Row status"/>
    <tableColumn id="10" name="Quality / scope note"/>
    <tableColumn id="11" name="Source URL"/>
    <tableColumn id="12" name="FOB evidence"/>
    <tableColumn id="13" name="Weight evidence"/>
  </tableColumns>
  <tableStyleInfo name="TableStyleMedium2" showFirstColumn="0" showLastColumn="0" showRowStripes="1" showColumnStripes="0"/>
</table>
</file>

<file path=xl/tables/table2.xml><?xml version="1.0" encoding="utf-8"?>
<table xmlns="http://schemas.openxmlformats.org/spreadsheetml/2006/main" id="2" name="MonthlyComparison" displayName="MonthlyComparison" ref="A6:Q16" headerRowCount="1">
  <autoFilter ref="A6:Q16"/>
  <tableColumns count="17">
    <tableColumn id="1" name="Month"/>
    <tableColumn id="2" name="FOB 2025 (USD m)"/>
    <tableColumn id="3" name="FOB 2026 (USD m)"/>
    <tableColumn id="4" name="FOB YoY"/>
    <tableColumn id="5" name="FOB increase (USD m)"/>
    <tableColumn id="6" name="Weight 2025 (m kg)"/>
    <tableColumn id="7" name="Weight 2026 (m kg)"/>
    <tableColumn id="8" name="Weight YoY"/>
    <tableColumn id="9" name="FOB/weight 2025 (USD/kg)"/>
    <tableColumn id="10" name="FOB/weight 2026 (USD/kg)"/>
    <tableColumn id="11" name="Ratio YoY"/>
    <tableColumn id="12" name="Cum. FOB 2025 (USD m)"/>
    <tableColumn id="13" name="Cum. FOB 2026 (USD m)"/>
    <tableColumn id="14" name="Cum. FOB increase (USD m)"/>
    <tableColumn id="15" name="Row status"/>
    <tableColumn id="16" name="Coverage flag"/>
    <tableColumn id="17" name="Source URL"/>
  </tableColumns>
  <tableStyleInfo name="TableStyleMedium2" showFirstColumn="0" showLastColumn="0" showRowStripes="1" showColumnStripes="0"/>
</table>
</file>

<file path=xl/tables/table3.xml><?xml version="1.0" encoding="utf-8"?>
<table xmlns="http://schemas.openxmlformats.org/spreadsheetml/2006/main" id="3" name="DianMonthlyLong" displayName="DianMonthlyLong" ref="A6:R26" headerRowCount="1">
  <autoFilter ref="A6:R26"/>
  <tableColumns count="18">
    <tableColumn id="1" name="Month"/>
    <tableColumn id="2" name="Year"/>
    <tableColumn id="3" name="Month no."/>
    <tableColumn id="4" name="FOB signed (USD m)"/>
    <tableColumn id="5" name="Weight signed (m kg)"/>
    <tableColumn id="6" name="FOB magnitude (USD m)"/>
    <tableColumn id="7" name="Weight magnitude (m kg)"/>
    <tableColumn id="8" name="FOB magnitude (USD)"/>
    <tableColumn id="9" name="Weight magnitude (kg)"/>
    <tableColumn id="10" name="FOB/weight (USD/kg)"/>
    <tableColumn id="11" name="Row status shown"/>
    <tableColumn id="12" name="Verified HS6"/>
    <tableColumn id="13" name="Verified HS10"/>
    <tableColumn id="14" name="Product context"/>
    <tableColumn id="15" name="Flow context"/>
    <tableColumn id="16" name="Snapshot date"/>
    <tableColumn id="17" name="Source URL"/>
    <tableColumn id="18" name="Period / status note"/>
  </tableColumns>
  <tableStyleInfo name="TableStyleMedium2" showFirstColumn="0" showLastColumn="0" showRowStripes="1" showColumnStripes="0"/>
</table>
</file>

<file path=xl/tables/table4.xml><?xml version="1.0" encoding="utf-8"?>
<table xmlns="http://schemas.openxmlformats.org/spreadsheetml/2006/main" id="4" name="DianPeriods" displayName="DianPeriods" ref="A6:P12" headerRowCount="1">
  <autoFilter ref="A6:P12"/>
  <tableColumns count="16">
    <tableColumn id="1" name="Period"/>
    <tableColumn id="2" name="FOB 2025 (USD m)"/>
    <tableColumn id="3" name="FOB 2026 (USD m)"/>
    <tableColumn id="4" name="Increase (USD m)"/>
    <tableColumn id="5" name="FOB YoY"/>
    <tableColumn id="6" name="Weight 2025 (m kg)"/>
    <tableColumn id="7" name="Weight 2026 (m kg)"/>
    <tableColumn id="8" name="Weight YoY"/>
    <tableColumn id="9" name="FOB/weight 2025 (USD/kg)"/>
    <tableColumn id="10" name="FOB/weight 2026 (USD/kg)"/>
    <tableColumn id="11" name="Ratio YoY"/>
    <tableColumn id="12" name="Weight effect at 2025 ratio (USD m)"/>
    <tableColumn id="13" name="Ratio effect at 2026 weight (USD m)"/>
    <tableColumn id="14" name="Effect sum check"/>
    <tableColumn id="15" name="Weight share of increase"/>
    <tableColumn id="16" name="Coverage / interpretation"/>
  </tableColumns>
  <tableStyleInfo name="TableStyleMedium2" showFirstColumn="0" showLastColumn="0" showRowStripes="1" showColumnStripes="0"/>
</table>
</file>

<file path=xl/tables/table5.xml><?xml version="1.0" encoding="utf-8"?>
<table xmlns="http://schemas.openxmlformats.org/spreadsheetml/2006/main" id="5" name="ChartReadyAnnual" displayName="ChartReadyAnnual" ref="A6:K15" headerRowCount="1">
  <autoFilter ref="A6:K15"/>
  <tableColumns count="11">
    <tableColumn id="1" name="Year"/>
    <tableColumn id="2" name="LNG CIF (US$)"/>
    <tableColumn id="3" name="Gaseous gas CIF (US$)"/>
    <tableColumn id="4" name="Total natural gas CIF (US$)"/>
    <tableColumn id="5" name="LNG CIF (US$ million)"/>
    <tableColumn id="6" name="LNG reported quantity (tonnes)"/>
    <tableColumn id="7" name="LNG CIF unit value (US$/tonne)"/>
    <tableColumn id="8" name="LNG value YoY (%)"/>
    <tableColumn id="9" name="Quantity status"/>
    <tableColumn id="10" name="LNG source URL"/>
    <tableColumn id="11" name="Gaseous-gas source URL"/>
  </tableColumns>
  <tableStyleInfo name="TableStyleMedium2" showRowStripes="1" showColumnStripes="0"/>
</table>
</file>

<file path=xl/tables/table6.xml><?xml version="1.0" encoding="utf-8"?>
<table xmlns="http://schemas.openxmlformats.org/spreadsheetml/2006/main" id="6" name="AnnualWorld" displayName="AnnualWorld" ref="A6:I20" headerRowCount="1">
  <autoFilter ref="A6:I20"/>
  <tableColumns count="9">
    <tableColumn id="1" name="Year"/>
    <tableColumn id="2" name="HS6"/>
    <tableColumn id="3" name="Product"/>
    <tableColumn id="4" name="Source value (US$ thousands)"/>
    <tableColumn id="5" name="Reported quantity (kg)"/>
    <tableColumn id="6" name="CIF value (US$)"/>
    <tableColumn id="7" name="Quantity status"/>
    <tableColumn id="8" name="Source URL"/>
    <tableColumn id="9" name="Accessed"/>
  </tableColumns>
  <tableStyleInfo name="TableStyleMedium2" showRowStripes="1" showColumnStripes="0"/>
</table>
</file>

<file path=xl/tables/table7.xml><?xml version="1.0" encoding="utf-8"?>
<table xmlns="http://schemas.openxmlformats.org/spreadsheetml/2006/main" id="7" name="AnnualPartners" displayName="AnnualPartners" ref="A6:J43" headerRowCount="1">
  <autoFilter ref="A6:J43"/>
  <tableColumns count="10">
    <tableColumn id="1" name="Year"/>
    <tableColumn id="2" name="HS6"/>
    <tableColumn id="3" name="Partner reported"/>
    <tableColumn id="4" name="Partner for analysis"/>
    <tableColumn id="5" name="Source value (US$ thousands)"/>
    <tableColumn id="6" name="CIF value (US$)"/>
    <tableColumn id="7" name="Reported quantity (kg)"/>
    <tableColumn id="8" name="Quality / reconciliation note"/>
    <tableColumn id="9" name="Source URL"/>
    <tableColumn id="10" name="Reconciliation URL"/>
  </tableColumns>
  <tableStyleInfo name="TableStyleMedium2" showRowStripes="1" showColumnStripes="0"/>
</table>
</file>

<file path=xl/tables/table8.xml><?xml version="1.0" encoding="utf-8"?>
<table xmlns="http://schemas.openxmlformats.org/spreadsheetml/2006/main" id="8" name="BmcScenario" displayName="BmcScenario" ref="A6:M20" headerRowCount="1">
  <autoFilter ref="A6:M20"/>
  <tableColumns count="13">
    <tableColumn id="1" name="Month"/>
    <tableColumn id="2" name="Supply (MBtu/day)"/>
    <tableColumn id="3" name="Demand projection (MBtu/day)"/>
    <tableColumn id="4" name="Published margin (MBtu/day)"/>
    <tableColumn id="5" name="Calculated margin (MBtu/day)"/>
    <tableColumn id="6" name="Margin check"/>
    <tableColumn id="7" name="Usable domestic supply (input, MBtu/day)"/>
    <tableColumn id="8" name="Residual import need (MBtu/day)"/>
    <tableColumn id="9" name="Border LNG price (US$/MMBtu)"/>
    <tableColumn id="10" name="Days in month"/>
    <tableColumn id="11" name="Indicative monthly LNG bill (US$ million)"/>
    <tableColumn id="12" name="Scenario"/>
    <tableColumn id="13" name="Source / provenance"/>
  </tableColumns>
  <tableStyleInfo name="TableStyleMedium2" showRowStripes="1" showColumnStripes="0"/>
</table>
</file>

<file path=xl/tables/table9.xml><?xml version="1.0" encoding="utf-8"?>
<table xmlns="http://schemas.openxmlformats.org/spreadsheetml/2006/main" id="9" name="SelectedMonthlyObservations" displayName="SelectedMonthlyObservations" ref="A6:H8" headerRowCount="1">
  <autoFilter ref="A6:H8"/>
  <tableColumns count="8">
    <tableColumn id="1" name="Month"/>
    <tableColumn id="2" name="Origin partner"/>
    <tableColumn id="3" name="Product label"/>
    <tableColumn id="4" name="CIF value (US$ million)"/>
    <tableColumn id="5" name="CIF value (US$)"/>
    <tableColumn id="6" name="Coverage"/>
    <tableColumn id="7" name="Source URL"/>
    <tableColumn id="8" name="Source page"/>
  </tableColumns>
  <tableStyleInfo name="TableStyleMedium2" showRowStripes="1" showColumnStripes="0"/>
</table>
</file>

<file path=xl/tables/table10.xml><?xml version="1.0" encoding="utf-8"?>
<table xmlns="http://schemas.openxmlformats.org/spreadsheetml/2006/main" id="10" name="DataChecks" displayName="DataChecks" ref="A6:I20" headerRowCount="1">
  <autoFilter ref="A6:I20"/>
  <tableColumns count="9">
    <tableColumn id="1" name="Year"/>
    <tableColumn id="2" name="HS6"/>
    <tableColumn id="3" name="World CIF (US$)"/>
    <tableColumn id="4" name="Sum of partners (US$)"/>
    <tableColumn id="5" name="Residual (US$)"/>
    <tableColumn id="6" name="Tolerance (US$)"/>
    <tableColumn id="7" name="Check"/>
    <tableColumn id="8" name="Quantity missing?"/>
    <tableColumn id="9" name="Source URL"/>
  </tableColumns>
  <tableStyleInfo name="TableStyleMedium2" showRowStripes="1" showColumnStripes="0"/>
</table>
</file>

<file path=xl/tables/table11.xml><?xml version="1.0" encoding="utf-8"?>
<table xmlns="http://schemas.openxmlformats.org/spreadsheetml/2006/main" id="11" name="SourceRegister" displayName="SourceRegister" ref="A6:G31" headerRowCount="1">
  <autoFilter ref="A6:G27"/>
  <tableColumns count="7">
    <tableColumn id="1" name="Source ID"/>
    <tableColumn id="2" name="Publisher"/>
    <tableColumn id="3" name="Document / table"/>
    <tableColumn id="4" name="Source URL"/>
    <tableColumn id="5" name="Accessed"/>
    <tableColumn id="6" name="Scope"/>
    <tableColumn id="7" name="Retrieval status"/>
  </tableColumns>
  <tableStyleInfo name="TableStyleMedium2" showRowStripes="1" showColumnStripes="0"/>
</table>
</file>

<file path=xl/tables/table12.xml><?xml version="1.0" encoding="utf-8"?>
<table xmlns="http://schemas.openxmlformats.org/spreadsheetml/2006/main" id="12" name="Definitions" displayName="Definitions" ref="A6:D32" headerRowCount="1">
  <autoFilter ref="A6:D24"/>
  <tableColumns count="4">
    <tableColumn id="1" name="Dataset / field"/>
    <tableColumn id="2" name="Definition"/>
    <tableColumn id="3" name="Unit / coding"/>
    <tableColumn id="4" name="Treatment / limitation"/>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harts'!A1" TargetMode="External" Id="rId1"/><Relationship Type="http://schemas.openxmlformats.org/officeDocument/2006/relationships/hyperlink" Target="#'Annual imports'!A1" TargetMode="External" Id="rId2"/><Relationship Type="http://schemas.openxmlformats.org/officeDocument/2006/relationships/hyperlink" Target="#'BMC scenario'!A1" TargetMode="External" Id="rId3"/><Relationship Type="http://schemas.openxmlformats.org/officeDocument/2006/relationships/hyperlink" Target="#'Monthly imports'!A1" TargetMode="External" Id="rId4"/><Relationship Type="http://schemas.openxmlformats.org/officeDocument/2006/relationships/hyperlink" Target="#'Checks'!A1" TargetMode="External" Id="rId5"/></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8.xml.rels><Relationships xmlns="http://schemas.openxmlformats.org/package/2006/relationships"><Relationship Type="http://schemas.openxmlformats.org/officeDocument/2006/relationships/drawing" Target="/xl/drawings/drawing2.xml" Id="rId1"/></Relationships>
</file>

<file path=xl/worksheets/_rels/sheet9.xml.rels><Relationships xmlns="http://schemas.openxmlformats.org/package/2006/relationships"><Relationship Type="http://schemas.openxmlformats.org/officeDocument/2006/relationships/drawing" Target="/xl/drawings/drawing3.xml" Id="rId1"/></Relationships>
</file>

<file path=xl/worksheets/_rels/sheet10.xml.rels><Relationships xmlns="http://schemas.openxmlformats.org/package/2006/relationships"><Relationship Type="http://schemas.openxmlformats.org/officeDocument/2006/relationships/table" Target="/xl/tables/table5.xml" Id="rId1"/></Relationships>
</file>

<file path=xl/worksheets/_rels/sheet11.xml.rels><Relationships xmlns="http://schemas.openxmlformats.org/package/2006/relationships"><Relationship Type="http://schemas.openxmlformats.org/officeDocument/2006/relationships/table" Target="/xl/tables/table6.xml" Id="rId1"/><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2.xml.rels><Relationships xmlns="http://schemas.openxmlformats.org/package/2006/relationships"><Relationship Type="http://schemas.openxmlformats.org/officeDocument/2006/relationships/table" Target="/xl/tables/table7.xml" Id="rId1"/><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3.xml.rels><Relationships xmlns="http://schemas.openxmlformats.org/package/2006/relationships"><Relationship Type="http://schemas.openxmlformats.org/officeDocument/2006/relationships/table" Target="/xl/tables/table8.xml" Id="rId1"/><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4.xml.rels><Relationships xmlns="http://schemas.openxmlformats.org/package/2006/relationships"><Relationship Type="http://schemas.openxmlformats.org/officeDocument/2006/relationships/table" Target="/xl/tables/table9.xml" Id="rId1"/><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6.xml.rels><Relationships xmlns="http://schemas.openxmlformats.org/package/2006/relationships"><Relationship Type="http://schemas.openxmlformats.org/officeDocument/2006/relationships/table" Target="/xl/tables/table10.xml" Id="rId1"/></Relationships>
</file>

<file path=xl/worksheets/_rels/sheet17.xml.rels><Relationships xmlns="http://schemas.openxmlformats.org/package/2006/relationships"><Relationship Type="http://schemas.openxmlformats.org/officeDocument/2006/relationships/table" Target="/xl/tables/table11.xml" Id="rId1"/></Relationships>
</file>

<file path=xl/worksheets/_rels/sheet18.xml.rels><Relationships xmlns="http://schemas.openxmlformats.org/package/2006/relationships"><Relationship Type="http://schemas.openxmlformats.org/officeDocument/2006/relationships/table" Target="/xl/tables/table12.xml" Id="rId1"/></Relationships>
</file>

<file path=xl/worksheets/_rels/sheet19.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sheet1.xml><?xml version="1.0" encoding="utf-8"?>
<ns0:worksheet xmlns:ns0="http://schemas.openxmlformats.org/spreadsheetml/2006/main" xmlns:ns1="http://schemas.openxmlformats.org/officeDocument/2006/relationships">
  <ns0:sheetPr>
    <ns0:outlinePr summaryBelow="1" summaryRight="0"/>
    <ns0:pageSetUpPr fitToPage="1"/>
  </ns0:sheetPr>
  <ns0:dimension ref="A1:I28"/>
  <ns0:sheetViews>
    <ns0:sheetView showGridLines="0" workbookViewId="0">
      <ns0:pane ySplit="4" topLeftCell="A5" activePane="bottomLeft" state="frozen"/>
      <ns0:selection pane="bottomLeft" activeCell="A1" sqref="A1"/>
    </ns0:sheetView>
  </ns0:sheetViews>
  <ns0:sheetFormatPr baseColWidth="8" defaultRowHeight="15"/>
  <ns0:cols>
    <ns0:col width="15" customWidth="1" min="1" max="1"/>
    <ns0:col width="15" customWidth="1" min="2" max="2"/>
    <ns0:col width="15" customWidth="1" min="3" max="3"/>
    <ns0:col width="15" customWidth="1" min="4" max="4"/>
    <ns0:col width="15" customWidth="1" min="5" max="5"/>
    <ns0:col width="15" customWidth="1" min="6" max="6"/>
    <ns0:col width="15" customWidth="1" min="7" max="7"/>
    <ns0:col width="15" customWidth="1" min="8" max="8"/>
    <ns0:col width="15" customWidth="1" min="9" max="9"/>
  </ns0:cols>
  <ns0:sheetData>
    <ns0:row r="1" ht="42" customHeight="1">
      <ns0:c r="A1" s="1" t="inlineStr">
        <ns0:is>
          <ns0:t>COLOMBIA | NATURAL GAS IMPORTS</ns0:t>
        </ns0:is>
      </ns0:c>
    </ns0:row>
    <ns0:row r="2" ht="26" customHeight="1">
      <ns0:c r="A2" s="3" t="inlineStr">
        <ns0:is>
          <ns0:t>Updated 27 October 2026: monthly DIAN screenshot observations added. Annual CIF history, signed monthly FOB data and BMC scenarios remain separate.</ns0:t>
        </ns0:is>
      </ns0:c>
    </ns0:row>
    <ns0:row r="3" ht="16" customHeight="1"/>
    <ns0:row r="5">
      <ns0:c r="A5" s="4" t="inlineStr">
        <ns0:is>
          <ns0:t>LNG imports: 2025, CIF</ns0:t>
        </ns0:is>
      </ns0:c>
      <ns0:c r="D5" s="4" t="inlineStr">
        <ns0:is>
          <ns0:t>Annual LNG coverage</ns0:t>
        </ns0:is>
      </ns0:c>
      <ns0:c r="G5" s="4" t="inlineStr">
        <ns0:is>
          <ns0:t>Monthly screenshot observations</ns0:t>
        </ns0:is>
      </ns0:c>
    </ns0:row>
    <ns0:row r="6" ht="28" customHeight="1">
      <ns0:c r="A6" s="48" t="n">
        <ns0:f>'Annual imports'!E15</ns0:f>
        <ns0:v>779.20366</ns0:v>
      </ns0:c>
      <ns0:c r="D6" s="6" t="inlineStr">
        <ns0:is>
          <ns0:t>2017-2025</ns0:t>
        </ns0:is>
      </ns0:c>
      <ns0:c r="G6" s="49" t="inlineStr">
        <ns0:is>
          <ns0:t>20 ROWS / REVIEW</ns0:t>
        </ns0:is>
      </ns0:c>
    </ns0:row>
    <ns0:row r="7" ht="20" customHeight="1"/>
    <ns0:row r="9" ht="48" customHeight="1">
      <ns0:c r="A9" s="8" t="inlineStr">
        <ns0:is>
          <ns0:t>New: 2025/2026 monthly screenshot rows are available. Product/flow filters are cropped; 2025 displayed totals do not reconcile. Bulk national customs archives remain unloaded.</ns0:t>
        </ns0:is>
      </ns0:c>
    </ns0:row>
    <ns0:row r="12">
      <ns0:c r="A12" s="9" t="inlineStr">
        <ns0:is>
          <ns0:t>START WITH MONTHLY DASHBOARD</ns0:t>
        </ns0:is>
      </ns0:c>
    </ns0:row>
    <ns0:row r="13" ht="39" customHeight="1">
      <ns0:c r="A13" s="10" t="inlineStr">
        <ns0:is>
          <ns0:t>January-August C-labelled comparison, three editable charts and explicit warnings. Historical charts remain on Charts.</ns0:t>
        </ns0:is>
      </ns0:c>
    </ns0:row>
    <ns0:row r="15">
      <ns0:c r="A15" s="9" t="inlineStr">
        <ns0:is>
          <ns0:t>USE MONTHLY COMPARISON / MONTHLY LONG</ns0:t>
        </ns0:is>
      </ns0:c>
    </ns0:row>
    <ns0:row r="16" ht="39" customHeight="1">
      <ns0:c r="A16" s="10" t="inlineStr">
        <ns0:is>
          <ns0:t>Ten paired months and 20 year-month observations, with original signs, absolute magnitudes, units, source links and row-status metadata.</ns0:t>
        </ns0:is>
      </ns0:c>
    </ns0:row>
    <ns0:row r="18">
      <ns0:c r="A18" s="9" t="inlineStr">
        <ns0:is>
          <ns0:t>KEEP THE BMC SCENARIO SEPARATE</ns0:t>
        </ns0:is>
      </ns0:c>
    </ns0:row>
    <ns0:row r="19" ht="39" customHeight="1">
      <ns0:c r="A19" s="10" t="inlineStr">
        <ns0:is>
          <ns0:t>14 exact visible rows from October 2026 to November 2027. Only domestic supply inputs, not total supply, can be used to infer residual import needs.</ns0:t>
        </ns0:is>
      </ns0:c>
    </ns0:row>
    <ns0:row r="21">
      <ns0:c r="A21" s="9" t="inlineStr">
        <ns0:is>
          <ns0:t>KEEP RAW DATA AND CHECKS</ns0:t>
        </ns0:is>
      </ns0:c>
    </ns0:row>
    <ns0:row r="22" ht="39" customHeight="1">
      <ns0:c r="A22" s="10" t="inlineStr">
        <ns0:is>
          <ns0:t>DIAN raw retains published totals. Monthly checks flags the 2025 gaps; no fabricated months, hidden adjustments or final-data claims.</ns0:t>
        </ns0:is>
      </ns0:c>
    </ns0:row>
    <ns0:row r="24">
      <ns0:c r="A24" s="9" t="inlineStr">
        <ns0:is>
          <ns0:t>CONFIRM FILTERS BEFORE LNG-SPECIFIC INFERENCE</ns0:t>
        </ns0:is>
      </ns0:c>
    </ns0:row>
    <ns0:row r="25" ht="39" customHeight="1">
      <ns0:c r="A25" s="10" t="inlineStr">
        <ns0:is>
          <ns0:t>Product HS code, national coverage and import-versus-balance selection are not visible. October 2026 is incomplete. Do not splice FOB to CIF.</ns0:t>
        </ns0:is>
      </ns0:c>
    </ns0:row>
    <ns0:row r="28" ht="40" customHeight="1">
      <ns0:c r="A28" s="3" t="inlineStr">
        <ns0:is>
          <ns0:t>Source attribution: World Bank WITS / UN Comtrade; DIAN-DANE; BMC screenshot supplied by the user. Fuente: Departamento Administrativo Nacional de Estadistica: www.dane.gov.co</ns0:t>
        </ns0:is>
      </ns0:c>
    </ns0:row>
  </ns0:sheetData>
  <ns0:mergeCells count="20">
    <ns0:mergeCell ref="A25:I25"/>
    <ns0:mergeCell ref="A18:I18"/>
    <ns0:mergeCell ref="A12:I12"/>
    <ns0:mergeCell ref="A21:I21"/>
    <ns0:mergeCell ref="D6:F7"/>
    <ns0:mergeCell ref="A5:C5"/>
    <ns0:mergeCell ref="G5:I5"/>
    <ns0:mergeCell ref="A22:I22"/>
    <ns0:mergeCell ref="A6:C7"/>
    <ns0:mergeCell ref="A19:I19"/>
    <ns0:mergeCell ref="D5:F5"/>
    <ns0:mergeCell ref="A28:I28"/>
    <ns0:mergeCell ref="A13:I13"/>
    <ns0:mergeCell ref="A9:I9"/>
    <ns0:mergeCell ref="A24:I24"/>
    <ns0:mergeCell ref="A15:I15"/>
    <ns0:mergeCell ref="A2:I3"/>
    <ns0:mergeCell ref="G6:I7"/>
    <ns0:mergeCell ref="A1:I1"/>
    <ns0:mergeCell ref="A16:I16"/>
  </ns0:mergeCells>
  <ns0:hyperlinks>
    <ns0:hyperlink ref="A12" ns1:id="rId1"/>
    <ns0:hyperlink ref="A15" ns1:id="rId2"/>
    <ns0:hyperlink ref="A18" ns1:id="rId3"/>
    <ns0:hyperlink ref="A21" ns1:id="rId4"/>
    <ns0:hyperlink ref="A24" ns1:id="rId5"/>
  </ns0:hyperlinks>
  <ns0:printOptions horizontalCentered="1"/>
  <ns0:pageMargins left="0.75" right="0.75" top="1" bottom="1" header="0.5" footer="0.5"/>
  <ns0:pageSetup orientation="landscape" paperSize="8" fitToHeight="0" fitToWidth="1"/>
  <ns0:headerFooter>
    <ns0:oddHeader/>
    <ns0:oddFooter>&amp;CColombia natural gas | Sources and limitations inside workbook&amp;RPage &amp;P</ns0:oddFooter>
    <ns0:evenHeader/>
    <ns0:evenFooter/>
    <ns0:firstHeader/>
    <ns0:firstFooter/>
  </ns0:headerFooter>
</ns0:worksheet>
</file>

<file path=xl/worksheets/sheet2.xml><?xml version="1.0" encoding="utf-8"?>
<ns0:worksheet xmlns:ns0="http://schemas.openxmlformats.org/spreadsheetml/2006/main" xmlns:ns1="http://schemas.openxmlformats.org/officeDocument/2006/relationships">
  <ns0:sheetPr>
    <ns0:outlinePr summaryBelow="1" summaryRight="1"/>
    <ns0:pageSetUpPr fitToPage="1"/>
  </ns0:sheetPr>
  <ns0:dimension ref="A1:I68"/>
  <ns0:sheetViews>
    <ns0:sheetView showGridLines="0" workbookViewId="0">
      <ns0:pane ySplit="9" topLeftCell="A10" activePane="bottomLeft" state="frozen"/>
      <ns0:selection pane="bottomLeft"/>
      <ns0:selection pane="bottomLeft"/>
      <ns0:selection pane="bottomRight" activeCell="A1" sqref="A1"/>
    </ns0:sheetView>
  </ns0:sheetViews>
  <ns0:sheetFormatPr baseColWidth="8" defaultRowHeight="15"/>
  <ns0:cols>
    <ns0:col width="15" customWidth="1" min="1" max="1"/>
    <ns0:col width="15" customWidth="1" min="2" max="2"/>
    <ns0:col width="15" customWidth="1" min="3" max="3"/>
    <ns0:col width="15" customWidth="1" min="4" max="4"/>
    <ns0:col width="15" customWidth="1" min="5" max="5"/>
    <ns0:col width="15" customWidth="1" min="6" max="6"/>
    <ns0:col width="15" customWidth="1" min="7" max="7"/>
    <ns0:col width="15" customWidth="1" min="8" max="8"/>
    <ns0:col width="15" customWidth="1" min="9" max="9"/>
  </ns0:cols>
  <ns0:sheetData>
    <ns0:row r="1" ht="39" customHeight="1">
      <ns0:c r="A1" s="50" t="inlineStr">
        <ns0:is>
          <ns0:t>MONTHLY UPDATE | DIAN SCREENSHOTS</ns0:t>
        </ns0:is>
      </ns0:c>
    </ns0:row>
    <ns0:row r="2" ht="23" customHeight="1">
      <ns0:c r="A2" s="51" t="inlineStr">
        <ns0:is>
          <ns0:t>User-provided monthly rows for 2025 and 2026. Headline comparison uses January-August, labelled C. Values are display magnitudes; product and flow filters are not visible.</ns0:t>
        </ns0:is>
      </ns0:c>
    </ns0:row>
    <ns0:row r="3" ht="23" customHeight="1"/>
    <ns0:row r="5" ht="24" customHeight="1">
      <ns0:c r="A5" s="52" t="inlineStr">
        <ns0:is>
          <ns0:t>FOB MAGNITUDE INCREASE | JAN-AUG</ns0:t>
        </ns0:is>
      </ns0:c>
      <ns0:c r="D5" s="52" t="inlineStr">
        <ns0:is>
          <ns0:t>NET-WEIGHT MAGNITUDE GROWTH</ns0:t>
        </ns0:is>
      </ns0:c>
      <ns0:c r="G5" s="52" t="inlineStr">
        <ns0:is>
          <ns0:t>FOB / WEIGHT RATIO GROWTH</ns0:t>
        </ns0:is>
      </ns0:c>
    </ns0:row>
    <ns0:row r="6" ht="24" customHeight="1">
      <ns0:c r="A6" s="53" t="n">
        <ns0:f>'Period analysis'!D7</ns0:f>
        <ns0:v>443.56000000000006</ns0:v>
      </ns0:c>
      <ns0:c r="D6" s="54" t="n">
        <ns0:f>'Period analysis'!H7</ns0:f>
        <ns0:v>0.5498332025117738</ns0:v>
      </ns0:c>
      <ns0:c r="G6" s="54" t="n">
        <ns0:f>'Period analysis'!K7</ns0:f>
        <ns0:v>0.13786957480718365</ns0:v>
      </ns0:c>
    </ns0:row>
    <ns0:row r="7" ht="24" customHeight="1"/>
    <ns0:row r="8" ht="24" customHeight="1"/>
    <ns0:row r="9" ht="44" customHeight="1">
      <ns0:c r="A9" s="55" t="inlineStr">
        <ns0:is>
          <ns0:t>Scope warning: the cropped screenshots do not show the HS code or flow selection. Negative values may represent trade balance. Figures below are magnitudes, not independently verified gross imports.</ns0:t>
        </ns0:is>
      </ns0:c>
    </ns0:row>
    <ns0:row r="11" ht="17" customHeight="1"/>
    <ns0:row r="12" ht="17" customHeight="1"/>
    <ns0:row r="13" ht="17" customHeight="1"/>
    <ns0:row r="14" ht="17" customHeight="1"/>
    <ns0:row r="15" ht="17" customHeight="1"/>
    <ns0:row r="16" ht="17" customHeight="1"/>
    <ns0:row r="17" ht="17" customHeight="1"/>
    <ns0:row r="18" ht="17" customHeight="1"/>
    <ns0:row r="19" ht="17" customHeight="1"/>
    <ns0:row r="20" ht="17" customHeight="1"/>
    <ns0:row r="21" ht="17" customHeight="1"/>
    <ns0:row r="22" ht="17" customHeight="1"/>
    <ns0:row r="23" ht="17" customHeight="1"/>
    <ns0:row r="24" ht="17" customHeight="1"/>
    <ns0:row r="25" ht="17" customHeight="1"/>
    <ns0:row r="26" ht="17" customHeight="1"/>
    <ns0:row r="27" ht="17" customHeight="1"/>
    <ns0:row r="28" ht="17" customHeight="1"/>
    <ns0:row r="29" ht="17" customHeight="1"/>
    <ns0:row r="30" ht="17" customHeight="1"/>
    <ns0:row r="31" ht="17" customHeight="1"/>
    <ns0:row r="32" ht="17" customHeight="1"/>
    <ns0:row r="33" ht="17" customHeight="1"/>
    <ns0:row r="34" ht="17" customHeight="1"/>
    <ns0:row r="35" ht="17" customHeight="1"/>
    <ns0:row r="36" ht="17" customHeight="1"/>
    <ns0:row r="37" ht="17" customHeight="1"/>
    <ns0:row r="38" ht="17" customHeight="1"/>
    <ns0:row r="39" ht="17" customHeight="1"/>
    <ns0:row r="40" ht="17" customHeight="1"/>
    <ns0:row r="41" ht="17" customHeight="1"/>
    <ns0:row r="42" ht="17" customHeight="1"/>
    <ns0:row r="43" ht="17" customHeight="1"/>
    <ns0:row r="44" ht="17" customHeight="1"/>
    <ns0:row r="45" ht="17" customHeight="1"/>
    <ns0:row r="46" ht="17" customHeight="1"/>
    <ns0:row r="47" ht="17" customHeight="1"/>
    <ns0:row r="48" ht="17" customHeight="1"/>
    <ns0:row r="49" ht="17" customHeight="1"/>
    <ns0:row r="50" ht="17" customHeight="1"/>
    <ns0:row r="51" ht="17" customHeight="1"/>
    <ns0:row r="52" ht="17" customHeight="1"/>
    <ns0:row r="53" ht="17" customHeight="1"/>
    <ns0:row r="54" ht="17" customHeight="1"/>
    <ns0:row r="55" ht="17" customHeight="1"/>
    <ns0:row r="56" ht="17" customHeight="1"/>
    <ns0:row r="57" ht="17" customHeight="1"/>
    <ns0:row r="58" ht="17" customHeight="1"/>
    <ns0:row r="59" ht="17" customHeight="1"/>
    <ns0:row r="60" ht="17" customHeight="1"/>
    <ns0:row r="61" ht="17" customHeight="1"/>
    <ns0:row r="62" ht="17" customHeight="1"/>
    <ns0:row r="63" ht="17" customHeight="1"/>
    <ns0:row r="64" ht="17" customHeight="1"/>
    <ns0:row r="66" ht="42" customHeight="1">
      <ns0:c r="A66" s="55" t="inlineStr">
        <ns0:is>
          <ns0:t>Do not use the dashboard total as a matched Jan-Oct 2025 total: it exceeds the visible months by USD 33.37m and 69.66m kg. See Monthly checks.</ns0:t>
        </ns0:is>
      </ns0:c>
    </ns0:row>
    <ns0:row r="68" ht="38" customHeight="1">
      <ns0:c r="A68" s="51" t="inlineStr">
        <ns0:is>
          <ns0:t>Start with Monthly comparison for charts, Monthly long for imports into software, and Period analysis for the value/weight decomposition and macro scale comparison.</ns0:t>
        </ns0:is>
      </ns0:c>
    </ns0:row>
  </ns0:sheetData>
  <ns0:mergeCells count="11">
    <ns0:mergeCell ref="A2:I3"/>
    <ns0:mergeCell ref="A6:C7"/>
    <ns0:mergeCell ref="G6:I7"/>
    <ns0:mergeCell ref="D6:F7"/>
    <ns0:mergeCell ref="A68:I68"/>
    <ns0:mergeCell ref="D5:F5"/>
    <ns0:mergeCell ref="A5:C5"/>
    <ns0:mergeCell ref="G5:I5"/>
    <ns0:mergeCell ref="A66:I66"/>
    <ns0:mergeCell ref="A1:I1"/>
    <ns0:mergeCell ref="A9:I9"/>
  </ns0:mergeCells>
  <ns0:pageMargins left="0.75" right="0.75" top="1" bottom="1" header="0.5" footer="0.5"/>
  <ns0:pageSetup orientation="landscape" paperSize="8" fitToHeight="0" fitToWidth="1"/>
  <ns0:drawing ns1:id="rId1"/>
</ns0:worksheet>
</file>

<file path=xl/worksheets/sheet3.xml><?xml version="1.0" encoding="utf-8"?>
<ns0:worksheet xmlns:ns0="http://schemas.openxmlformats.org/spreadsheetml/2006/main" xmlns:ns1="http://schemas.openxmlformats.org/officeDocument/2006/relationships">
  <ns0:sheetPr>
    <ns0:outlinePr summaryBelow="1" summaryRight="1"/>
    <ns0:pageSetUpPr fitToPage="1"/>
  </ns0:sheetPr>
  <ns0:dimension ref="A1:M24"/>
  <ns0:sheetViews>
    <ns0:sheetView showGridLines="0" workbookViewId="0">
      <ns0:pane xSplit="1" ySplit="6" topLeftCell="B7" activePane="bottomRight" state="frozen"/>
      <ns0:selection pane="topRight"/>
      <ns0:selection pane="bottomLeft"/>
      <ns0:selection pane="bottomRight" activeCell="A1" sqref="A1"/>
    </ns0:sheetView>
  </ns0:sheetViews>
  <ns0:sheetFormatPr baseColWidth="8" defaultRowHeight="15"/>
  <ns0:cols>
    <ns0:col width="9" customWidth="1" min="1" max="1"/>
    <ns0:col width="16" customWidth="1" min="2" max="2"/>
    <ns0:col width="17" customWidth="1" min="3" max="3"/>
    <ns0:col width="17" customWidth="1" min="4" max="4"/>
    <ns0:col width="16" customWidth="1" min="5" max="5"/>
    <ns0:col width="18" customWidth="1" min="6" max="6"/>
    <ns0:col width="18" customWidth="1" min="7" max="7"/>
    <ns0:col width="16" customWidth="1" min="8" max="8"/>
    <ns0:col width="13" customWidth="1" min="9" max="9"/>
    <ns0:col width="42" customWidth="1" min="10" max="10"/>
    <ns0:col width="42" customWidth="1" min="11" max="11"/>
    <ns0:col width="32" customWidth="1" min="12" max="12"/>
    <ns0:col width="32" customWidth="1" min="13" max="13"/>
  </ns0:cols>
  <ns0:sheetData>
    <ns0:row r="1" ht="39" customHeight="1">
      <ns0:c r="A1" s="50" t="inlineStr">
        <ns0:is>
          <ns0:t>DIAN | EXACT SCREENSHOT TRANSCRIPTION</ns0:t>
        </ns0:is>
      </ns0:c>
    </ns0:row>
    <ns0:row r="2" ht="23" customHeight="1">
      <ns0:c r="A2" s="51" t="inlineStr">
        <ns0:is>
          <ns0:t>Negative signs, published percentages and non-reconciling totals are retained. Units follow DIAN documentation: USD millions and million kg. Product/flow selections and extraction cutoff are not shown.</ns0:t>
        </ns0:is>
      </ns0:c>
    </ns0:row>
    <ns0:row r="3" ht="23" customHeight="1"/>
    <ns0:row r="6" ht="42" customHeight="1">
      <ns0:c r="A6" s="56" t="inlineStr">
        <ns0:is>
          <ns0:t>Month no.</ns0:t>
        </ns0:is>
      </ns0:c>
      <ns0:c r="B6" s="57" t="inlineStr">
        <ns0:is>
          <ns0:t>Month label</ns0:t>
        </ns0:is>
      </ns0:c>
      <ns0:c r="C6" s="57" t="inlineStr">
        <ns0:is>
          <ns0:t>FOB 2025 (USD m), signed</ns0:t>
        </ns0:is>
      </ns0:c>
      <ns0:c r="D6" s="57" t="inlineStr">
        <ns0:is>
          <ns0:t>FOB 2026 (USD m), signed</ns0:t>
        </ns0:is>
      </ns0:c>
      <ns0:c r="E6" s="57" t="inlineStr">
        <ns0:is>
          <ns0:t>FOB YoY, displayed</ns0:t>
        </ns0:is>
      </ns0:c>
      <ns0:c r="F6" s="57" t="inlineStr">
        <ns0:is>
          <ns0:t>Weight 2025 (m kg), signed</ns0:t>
        </ns0:is>
      </ns0:c>
      <ns0:c r="G6" s="57" t="inlineStr">
        <ns0:is>
          <ns0:t>Weight 2026 (m kg), signed</ns0:t>
        </ns0:is>
      </ns0:c>
      <ns0:c r="H6" s="57" t="inlineStr">
        <ns0:is>
          <ns0:t>Weight YoY, displayed</ns0:t>
        </ns0:is>
      </ns0:c>
      <ns0:c r="I6" s="57" t="inlineStr">
        <ns0:is>
          <ns0:t>Row status</ns0:t>
        </ns0:is>
      </ns0:c>
      <ns0:c r="J6" s="57" t="inlineStr">
        <ns0:is>
          <ns0:t>Quality / scope note</ns0:t>
        </ns0:is>
      </ns0:c>
      <ns0:c r="K6" s="57" t="inlineStr">
        <ns0:is>
          <ns0:t>Source URL</ns0:t>
        </ns0:is>
      </ns0:c>
      <ns0:c r="L6" s="57" t="inlineStr">
        <ns0:is>
          <ns0:t>FOB evidence</ns0:t>
        </ns0:is>
      </ns0:c>
      <ns0:c r="M6" s="57" t="inlineStr">
        <ns0:is>
          <ns0:t>Weight evidence</ns0:t>
        </ns0:is>
      </ns0:c>
    </ns0:row>
    <ns0:row r="7" ht="59" customHeight="1">
      <ns0:c r="A7" s="13" t="n">
        <ns0:v>1</ns0:v>
      </ns0:c>
      <ns0:c r="B7" s="18" t="inlineStr">
        <ns0:is>
          <ns0:t>01 - Enero</ns0:t>
        </ns0:is>
      </ns0:c>
      <ns0:c r="C7" s="58" t="n">
        <ns0:v>-78.16</ns0:v>
      </ns0:c>
      <ns0:c r="D7" s="58" t="n">
        <ns0:v>-68.84</ns0:v>
      </ns0:c>
      <ns0:c r="E7" s="59" t="n">
        <ns0:v>-0.1192</ns0:v>
      </ns0:c>
      <ns0:c r="F7" s="58" t="n">
        <ns0:v>-120.15</ns0:v>
      </ns0:c>
      <ns0:c r="G7" s="58" t="n">
        <ns0:v>-149.79</ns0:v>
      </ns0:c>
      <ns0:c r="H7" s="59" t="n">
        <ns0:v>0.247</ns0:v>
      </ns0:c>
      <ns0:c r="I7" s="18" t="inlineStr">
        <ns0:is>
          <ns0:t>C</ns0:t>
        </ns0:is>
      </ns0:c>
      <ns0:c r="J7" s="18" t="inlineStr">
        <ns0:is>
          <ns0:t>Product/flow filter not visible; row status is not an independently verified status for each year.</ns0:t>
        </ns0:is>
      </ns0:c>
      <ns0:c r="K7" s="18" t="inlineStr">
        <ns0:is>
          <ns0:t>https://www.dian.gov.co/dian/cifras/Paginas/EstadisticasComEx.aspx</ns0:t>
        </ns0:is>
      </ns0:c>
      <ns0:c r="L7" s="18" t="inlineStr">
        <ns0:is>
          <ns0:t>evidence/dian_fob.png</ns0:t>
        </ns0:is>
      </ns0:c>
      <ns0:c r="M7" s="18" t="inlineStr">
        <ns0:is>
          <ns0:t>evidence/dian_weight.png</ns0:t>
        </ns0:is>
      </ns0:c>
    </ns0:row>
    <ns0:row r="8" ht="59" customHeight="1">
      <ns0:c r="A8" s="13" t="n">
        <ns0:v>2</ns0:v>
      </ns0:c>
      <ns0:c r="B8" s="18" t="inlineStr">
        <ns0:is>
          <ns0:t>02 - Febrero</ns0:t>
        </ns0:is>
      </ns0:c>
      <ns0:c r="C8" s="58" t="n">
        <ns0:v>-61.47</ns0:v>
      </ns0:c>
      <ns0:c r="D8" s="58" t="n">
        <ns0:v>-79.94</ns0:v>
      </ns0:c>
      <ns0:c r="E8" s="59" t="n">
        <ns0:v>0.3004</ns0:v>
      </ns0:c>
      <ns0:c r="F8" s="58" t="n">
        <ns0:v>-86.44</ns0:v>
      </ns0:c>
      <ns0:c r="G8" s="58" t="n">
        <ns0:v>-167.11</ns0:v>
      </ns0:c>
      <ns0:c r="H8" s="59" t="n">
        <ns0:v>0.9329999999999999</ns0:v>
      </ns0:c>
      <ns0:c r="I8" s="18" t="inlineStr">
        <ns0:is>
          <ns0:t>C</ns0:t>
        </ns0:is>
      </ns0:c>
      <ns0:c r="J8" s="18" t="inlineStr">
        <ns0:is>
          <ns0:t>Product/flow filter not visible; row status is not an independently verified status for each year.</ns0:t>
        </ns0:is>
      </ns0:c>
      <ns0:c r="K8" s="18" t="inlineStr">
        <ns0:is>
          <ns0:t>https://www.dian.gov.co/dian/cifras/Paginas/EstadisticasComEx.aspx</ns0:t>
        </ns0:is>
      </ns0:c>
      <ns0:c r="L8" s="18" t="inlineStr">
        <ns0:is>
          <ns0:t>evidence/dian_fob.png</ns0:t>
        </ns0:is>
      </ns0:c>
      <ns0:c r="M8" s="18" t="inlineStr">
        <ns0:is>
          <ns0:t>evidence/dian_weight.png</ns0:t>
        </ns0:is>
      </ns0:c>
    </ns0:row>
    <ns0:row r="9" ht="59" customHeight="1">
      <ns0:c r="A9" s="13" t="n">
        <ns0:v>3</ns0:v>
      </ns0:c>
      <ns0:c r="B9" s="18" t="inlineStr">
        <ns0:is>
          <ns0:t>03 - Marzo</ns0:t>
        </ns0:is>
      </ns0:c>
      <ns0:c r="C9" s="58" t="n">
        <ns0:v>-64.28</ns0:v>
      </ns0:c>
      <ns0:c r="D9" s="58" t="n">
        <ns0:v>-77.95</ns0:v>
      </ns0:c>
      <ns0:c r="E9" s="59" t="n">
        <ns0:v>0.2127</ns0:v>
      </ns0:c>
      <ns0:c r="F9" s="58" t="n">
        <ns0:v>-97.89</ns0:v>
      </ns0:c>
      <ns0:c r="G9" s="58" t="n">
        <ns0:v>-155.46</ns0:v>
      </ns0:c>
      <ns0:c r="H9" s="59" t="n">
        <ns0:v>0.588</ns0:v>
      </ns0:c>
      <ns0:c r="I9" s="18" t="inlineStr">
        <ns0:is>
          <ns0:t>C</ns0:t>
        </ns0:is>
      </ns0:c>
      <ns0:c r="J9" s="18" t="inlineStr">
        <ns0:is>
          <ns0:t>Product/flow filter not visible; row status is not an independently verified status for each year.</ns0:t>
        </ns0:is>
      </ns0:c>
      <ns0:c r="K9" s="18" t="inlineStr">
        <ns0:is>
          <ns0:t>https://www.dian.gov.co/dian/cifras/Paginas/EstadisticasComEx.aspx</ns0:t>
        </ns0:is>
      </ns0:c>
      <ns0:c r="L9" s="18" t="inlineStr">
        <ns0:is>
          <ns0:t>evidence/dian_fob.png</ns0:t>
        </ns0:is>
      </ns0:c>
      <ns0:c r="M9" s="18" t="inlineStr">
        <ns0:is>
          <ns0:t>evidence/dian_weight.png</ns0:t>
        </ns0:is>
      </ns0:c>
    </ns0:row>
    <ns0:row r="10" ht="59" customHeight="1">
      <ns0:c r="A10" s="13" t="n">
        <ns0:v>4</ns0:v>
      </ns0:c>
      <ns0:c r="B10" s="18" t="inlineStr">
        <ns0:is>
          <ns0:t>04 - Abril</ns0:t>
        </ns0:is>
      </ns0:c>
      <ns0:c r="C10" s="58" t="n">
        <ns0:v>-108.5</ns0:v>
      </ns0:c>
      <ns0:c r="D10" s="58" t="n">
        <ns0:v>-120.08</ns0:v>
      </ns0:c>
      <ns0:c r="E10" s="59" t="n">
        <ns0:v>0.1067</ns0:v>
      </ns0:c>
      <ns0:c r="F10" s="58" t="n">
        <ns0:v>-203.86</ns0:v>
      </ns0:c>
      <ns0:c r="G10" s="58" t="n">
        <ns0:v>-184.91</ns0:v>
      </ns0:c>
      <ns0:c r="H10" s="59" t="n">
        <ns0:v>-0.09300000000000001</ns0:v>
      </ns0:c>
      <ns0:c r="I10" s="18" t="inlineStr">
        <ns0:is>
          <ns0:t>C</ns0:t>
        </ns0:is>
      </ns0:c>
      <ns0:c r="J10" s="18" t="inlineStr">
        <ns0:is>
          <ns0:t>Product/flow filter not visible; row status is not an independently verified status for each year.</ns0:t>
        </ns0:is>
      </ns0:c>
      <ns0:c r="K10" s="18" t="inlineStr">
        <ns0:is>
          <ns0:t>https://www.dian.gov.co/dian/cifras/Paginas/EstadisticasComEx.aspx</ns0:t>
        </ns0:is>
      </ns0:c>
      <ns0:c r="L10" s="18" t="inlineStr">
        <ns0:is>
          <ns0:t>evidence/dian_fob.png</ns0:t>
        </ns0:is>
      </ns0:c>
      <ns0:c r="M10" s="18" t="inlineStr">
        <ns0:is>
          <ns0:t>evidence/dian_weight.png</ns0:t>
        </ns0:is>
      </ns0:c>
    </ns0:row>
    <ns0:row r="11" ht="59" customHeight="1">
      <ns0:c r="A11" s="13" t="n">
        <ns0:v>5</ns0:v>
      </ns0:c>
      <ns0:c r="B11" s="18" t="inlineStr">
        <ns0:is>
          <ns0:t>05 - Mayo</ns0:t>
        </ns0:is>
      </ns0:c>
      <ns0:c r="C11" s="58" t="n">
        <ns0:v>-55.22</ns0:v>
      </ns0:c>
      <ns0:c r="D11" s="58" t="n">
        <ns0:v>-144.8</ns0:v>
      </ns0:c>
      <ns0:c r="E11" s="59" t="n">
        <ns0:v>1.6221</ns0:v>
      </ns0:c>
      <ns0:c r="F11" s="58" t="n">
        <ns0:v>-105.23</ns0:v>
      </ns0:c>
      <ns0:c r="G11" s="58" t="n">
        <ns0:v>-224.59</ns0:v>
      </ns0:c>
      <ns0:c r="H11" s="59" t="n">
        <ns0:v>1.134</ns0:v>
      </ns0:c>
      <ns0:c r="I11" s="18" t="inlineStr">
        <ns0:is>
          <ns0:t>C</ns0:t>
        </ns0:is>
      </ns0:c>
      <ns0:c r="J11" s="18" t="inlineStr">
        <ns0:is>
          <ns0:t>Product/flow filter not visible; row status is not an independently verified status for each year.</ns0:t>
        </ns0:is>
      </ns0:c>
      <ns0:c r="K11" s="18" t="inlineStr">
        <ns0:is>
          <ns0:t>https://www.dian.gov.co/dian/cifras/Paginas/EstadisticasComEx.aspx</ns0:t>
        </ns0:is>
      </ns0:c>
      <ns0:c r="L11" s="18" t="inlineStr">
        <ns0:is>
          <ns0:t>evidence/dian_fob.png</ns0:t>
        </ns0:is>
      </ns0:c>
      <ns0:c r="M11" s="18" t="inlineStr">
        <ns0:is>
          <ns0:t>evidence/dian_weight.png</ns0:t>
        </ns0:is>
      </ns0:c>
    </ns0:row>
    <ns0:row r="12" ht="59" customHeight="1">
      <ns0:c r="A12" s="13" t="n">
        <ns0:v>6</ns0:v>
      </ns0:c>
      <ns0:c r="B12" s="18" t="inlineStr">
        <ns0:is>
          <ns0:t>06 - Junio</ns0:t>
        </ns0:is>
      </ns0:c>
      <ns0:c r="C12" s="58" t="n">
        <ns0:v>-64.75</ns0:v>
      </ns0:c>
      <ns0:c r="D12" s="58" t="n">
        <ns0:v>-126.88</ns0:v>
      </ns0:c>
      <ns0:c r="E12" s="59" t="n">
        <ns0:v>0.9595</ns0:v>
      </ns0:c>
      <ns0:c r="F12" s="58" t="n">
        <ns0:v>-118.74</ns0:v>
      </ns0:c>
      <ns0:c r="G12" s="58" t="n">
        <ns0:v>-172.54</ns0:v>
      </ns0:c>
      <ns0:c r="H12" s="59" t="n">
        <ns0:v>0.453</ns0:v>
      </ns0:c>
      <ns0:c r="I12" s="18" t="inlineStr">
        <ns0:is>
          <ns0:t>C</ns0:t>
        </ns0:is>
      </ns0:c>
      <ns0:c r="J12" s="18" t="inlineStr">
        <ns0:is>
          <ns0:t>Product/flow filter not visible; row status is not an independently verified status for each year.</ns0:t>
        </ns0:is>
      </ns0:c>
      <ns0:c r="K12" s="18" t="inlineStr">
        <ns0:is>
          <ns0:t>https://www.dian.gov.co/dian/cifras/Paginas/EstadisticasComEx.aspx</ns0:t>
        </ns0:is>
      </ns0:c>
      <ns0:c r="L12" s="18" t="inlineStr">
        <ns0:is>
          <ns0:t>evidence/dian_fob.png</ns0:t>
        </ns0:is>
      </ns0:c>
      <ns0:c r="M12" s="18" t="inlineStr">
        <ns0:is>
          <ns0:t>evidence/dian_weight.png</ns0:t>
        </ns0:is>
      </ns0:c>
    </ns0:row>
    <ns0:row r="13" ht="59" customHeight="1">
      <ns0:c r="A13" s="13" t="n">
        <ns0:v>7</ns0:v>
      </ns0:c>
      <ns0:c r="B13" s="18" t="inlineStr">
        <ns0:is>
          <ns0:t>07 - Julio</ns0:t>
        </ns0:is>
      </ns0:c>
      <ns0:c r="C13" s="58" t="n">
        <ns0:v>-91.17</ns0:v>
      </ns0:c>
      <ns0:c r="D13" s="58" t="n">
        <ns0:v>-203.21</ns0:v>
      </ns0:c>
      <ns0:c r="E13" s="59" t="n">
        <ns0:v>1.229</ns0:v>
      </ns0:c>
      <ns0:c r="F13" s="58" t="n">
        <ns0:v>-172.57</ns0:v>
      </ns0:c>
      <ns0:c r="G13" s="58" t="n">
        <ns0:v>-294.84</ns0:v>
      </ns0:c>
      <ns0:c r="H13" s="59" t="n">
        <ns0:v>0.708</ns0:v>
      </ns0:c>
      <ns0:c r="I13" s="18" t="inlineStr">
        <ns0:is>
          <ns0:t>C</ns0:t>
        </ns0:is>
      </ns0:c>
      <ns0:c r="J13" s="18" t="inlineStr">
        <ns0:is>
          <ns0:t>Product/flow filter not visible; row status is not an independently verified status for each year.</ns0:t>
        </ns0:is>
      </ns0:c>
      <ns0:c r="K13" s="18" t="inlineStr">
        <ns0:is>
          <ns0:t>https://www.dian.gov.co/dian/cifras/Paginas/EstadisticasComEx.aspx</ns0:t>
        </ns0:is>
      </ns0:c>
      <ns0:c r="L13" s="18" t="inlineStr">
        <ns0:is>
          <ns0:t>evidence/dian_fob.png</ns0:t>
        </ns0:is>
      </ns0:c>
      <ns0:c r="M13" s="18" t="inlineStr">
        <ns0:is>
          <ns0:t>evidence/dian_weight.png</ns0:t>
        </ns0:is>
      </ns0:c>
    </ns0:row>
    <ns0:row r="14" ht="59" customHeight="1">
      <ns0:c r="A14" s="13" t="n">
        <ns0:v>8</ns0:v>
      </ns0:c>
      <ns0:c r="B14" s="18" t="inlineStr">
        <ns0:is>
          <ns0:t>08 - Agosto</ns0:t>
        </ns0:is>
      </ns0:c>
      <ns0:c r="C14" s="58" t="n">
        <ns0:v>-57.4</ns0:v>
      </ns0:c>
      <ns0:c r="D14" s="58" t="n">
        <ns0:v>-202.81</ns0:v>
      </ns0:c>
      <ns0:c r="E14" s="59" t="n">
        <ns0:v>2.5331</ns0:v>
      </ns0:c>
      <ns0:c r="F14" s="58" t="n">
        <ns0:v>-114.32</ns0:v>
      </ns0:c>
      <ns0:c r="G14" s="58" t="n">
        <ns0:v>-230.35</ns0:v>
      </ns0:c>
      <ns0:c r="H14" s="59" t="n">
        <ns0:v>1.015</ns0:v>
      </ns0:c>
      <ns0:c r="I14" s="18" t="inlineStr">
        <ns0:is>
          <ns0:t>C</ns0:t>
        </ns0:is>
      </ns0:c>
      <ns0:c r="J14" s="18" t="inlineStr">
        <ns0:is>
          <ns0:t>Product/flow filter not visible; row status is not an independently verified status for each year.</ns0:t>
        </ns0:is>
      </ns0:c>
      <ns0:c r="K14" s="18" t="inlineStr">
        <ns0:is>
          <ns0:t>https://www.dian.gov.co/dian/cifras/Paginas/EstadisticasComEx.aspx</ns0:t>
        </ns0:is>
      </ns0:c>
      <ns0:c r="L14" s="18" t="inlineStr">
        <ns0:is>
          <ns0:t>evidence/dian_fob.png</ns0:t>
        </ns0:is>
      </ns0:c>
      <ns0:c r="M14" s="18" t="inlineStr">
        <ns0:is>
          <ns0:t>evidence/dian_weight.png</ns0:t>
        </ns0:is>
      </ns0:c>
    </ns0:row>
    <ns0:row r="15" ht="59" customHeight="1">
      <ns0:c r="A15" s="13" t="n">
        <ns0:v>9</ns0:v>
      </ns0:c>
      <ns0:c r="B15" s="18" t="inlineStr">
        <ns0:is>
          <ns0:t>09 - Septiembre</ns0:t>
        </ns0:is>
      </ns0:c>
      <ns0:c r="C15" s="58" t="n">
        <ns0:v>-67.39</ns0:v>
      </ns0:c>
      <ns0:c r="D15" s="58" t="n">
        <ns0:v>-338.57</ns0:v>
      </ns0:c>
      <ns0:c r="E15" s="59" t="n">
        <ns0:v>4.0244</ns0:v>
      </ns0:c>
      <ns0:c r="F15" s="58" t="n">
        <ns0:v>-142.9</ns0:v>
      </ns0:c>
      <ns0:c r="G15" s="58" t="n">
        <ns0:v>-320.91</ns0:v>
      </ns0:c>
      <ns0:c r="H15" s="59" t="n">
        <ns0:v>1.246</ns0:v>
      </ns0:c>
      <ns0:c r="I15" s="18" t="inlineStr">
        <ns0:is>
          <ns0:t>O</ns0:t>
        </ns0:is>
      </ns0:c>
      <ns0:c r="J15" s="18" t="inlineStr">
        <ns0:is>
          <ns0:t>Product/flow filter not visible; row status is not an independently verified status for each year.</ns0:t>
        </ns0:is>
      </ns0:c>
      <ns0:c r="K15" s="18" t="inlineStr">
        <ns0:is>
          <ns0:t>https://www.dian.gov.co/dian/cifras/Paginas/EstadisticasComEx.aspx</ns0:t>
        </ns0:is>
      </ns0:c>
      <ns0:c r="L15" s="18" t="inlineStr">
        <ns0:is>
          <ns0:t>evidence/dian_fob.png</ns0:t>
        </ns0:is>
      </ns0:c>
      <ns0:c r="M15" s="18" t="inlineStr">
        <ns0:is>
          <ns0:t>evidence/dian_weight.png</ns0:t>
        </ns0:is>
      </ns0:c>
    </ns0:row>
    <ns0:row r="16" ht="59" customHeight="1">
      <ns0:c r="A16" s="13" t="n">
        <ns0:v>10</ns0:v>
      </ns0:c>
      <ns0:c r="B16" s="18" t="inlineStr">
        <ns0:is>
          <ns0:t>10 - Octubre</ns0:t>
        </ns0:is>
      </ns0:c>
      <ns0:c r="C16" s="58" t="n">
        <ns0:v>-28.43</ns0:v>
      </ns0:c>
      <ns0:c r="D16" s="58" t="n">
        <ns0:v>-190.17</ns0:v>
      </ns0:c>
      <ns0:c r="E16" s="59" t="n">
        <ns0:v>5.688300000000001</ns0:v>
      </ns0:c>
      <ns0:c r="F16" s="58" t="n">
        <ns0:v>-61.35</ns0:v>
      </ns0:c>
      <ns0:c r="G16" s="58" t="n">
        <ns0:v>-173.95</ns0:v>
      </ns0:c>
      <ns0:c r="H16" s="59" t="n">
        <ns0:v>1.835</ns0:v>
      </ns0:c>
      <ns0:c r="I16" s="18" t="inlineStr">
        <ns0:is>
          <ns0:t>O</ns0:t>
        </ns0:is>
      </ns0:c>
      <ns0:c r="J16" s="18" t="inlineStr">
        <ns0:is>
          <ns0:t>Product/flow filter not visible; row status is not an independently verified status for each year. October 2026 is incomplete as of 27 October; exact cutoff and prior-year matched cutoff unknown.</ns0:t>
        </ns0:is>
      </ns0:c>
      <ns0:c r="K16" s="18" t="inlineStr">
        <ns0:is>
          <ns0:t>https://www.dian.gov.co/dian/cifras/Paginas/EstadisticasComEx.aspx</ns0:t>
        </ns0:is>
      </ns0:c>
      <ns0:c r="L16" s="18" t="inlineStr">
        <ns0:is>
          <ns0:t>evidence/dian_fob.png</ns0:t>
        </ns0:is>
      </ns0:c>
      <ns0:c r="M16" s="18" t="inlineStr">
        <ns0:is>
          <ns0:t>evidence/dian_weight.png</ns0:t>
        </ns0:is>
      </ns0:c>
    </ns0:row>
    <ns0:row r="18" ht="40" customHeight="1">
      <ns0:c r="B18" s="60" t="inlineStr">
        <ns0:is>
          <ns0:t>Visible-month sum</ns0:t>
        </ns0:is>
      </ns0:c>
      <ns0:c r="C18" s="61" t="n">
        <ns0:f>SUM(C7:C16)</ns0:f>
        <ns0:v>-676.7699999999999</ns0:v>
      </ns0:c>
      <ns0:c r="D18" s="61" t="n">
        <ns0:f>SUM(D7:D16)</ns0:f>
        <ns0:v>-1553.25</ns0:v>
      </ns0:c>
      <ns0:c r="F18" s="61" t="n">
        <ns0:f>SUM(F7:F16)</ns0:f>
        <ns0:v>-1223.45</ns0:v>
      </ns0:c>
      <ns0:c r="G18" s="61" t="n">
        <ns0:f>SUM(G7:G16)</ns0:f>
        <ns0:v>-2074.45</ns0:v>
      </ns0:c>
    </ns0:row>
    <ns0:row r="20" ht="40" customHeight="1">
      <ns0:c r="B20" s="60" t="inlineStr">
        <ns0:is>
          <ns0:t>Displayed total</ns0:t>
        </ns0:is>
      </ns0:c>
      <ns0:c r="C20" s="62" t="n">
        <ns0:v>-710.14</ns0:v>
      </ns0:c>
      <ns0:c r="D20" s="62" t="n">
        <ns0:v>-1553.25</ns0:v>
      </ns0:c>
      <ns0:c r="E20" s="63" t="n">
        <ns0:v>1.1872</ns0:v>
      </ns0:c>
      <ns0:c r="F20" s="62" t="n">
        <ns0:v>-1293.11</ns0:v>
      </ns0:c>
      <ns0:c r="G20" s="62" t="n">
        <ns0:v>-2074.45</ns0:v>
      </ns0:c>
      <ns0:c r="H20" s="63" t="n">
        <ns0:v>0.604</ns0:v>
      </ns0:c>
      <ns0:c r="I20" t="inlineStr">
        <ns0:is>
          <ns0:t>C y O</ns0:t>
        </ns0:is>
      </ns0:c>
      <ns0:c r="J20" t="inlineStr">
        <ns0:is>
          <ns0:t>Not a validated Jan-Oct aggregate: 2025 totals exceed visible rows.</ns0:t>
        </ns0:is>
      </ns0:c>
      <ns0:c r="K20" t="inlineStr">
        <ns0:is>
          <ns0:t>https://www.dian.gov.co/dian/cifras/Paginas/EstadisticasComEx.aspx</ns0:t>
        </ns0:is>
      </ns0:c>
    </ns0:row>
    <ns0:row r="22" ht="40" customHeight="1">
      <ns0:c r="B22" s="60" t="inlineStr">
        <ns0:is>
          <ns0:t>Total minus visible sum</ns0:t>
        </ns0:is>
      </ns0:c>
      <ns0:c r="C22" s="61" t="n">
        <ns0:f>C20-C18</ns0:f>
        <ns0:v>-33.37000000000012</ns0:v>
      </ns0:c>
      <ns0:c r="D22" s="61" t="n">
        <ns0:f>D20-D18</ns0:f>
        <ns0:v>0</ns0:v>
      </ns0:c>
      <ns0:c r="F22" s="61" t="n">
        <ns0:f>F20-F18</ns0:f>
        <ns0:v>-69.65999999999985</ns0:v>
      </ns0:c>
      <ns0:c r="G22" s="61" t="n">
        <ns0:f>G20-G18</ns0:f>
        <ns0:v>0</ns0:v>
      </ns0:c>
    </ns0:row>
    <ns0:row r="24" ht="36" customHeight="1">
      <ns0:c r="A24" s="55" t="inlineStr">
        <ns0:is>
          <ns0:t>2025 discrepancies are USD 33.37 million and 69.66 million kg in magnitude, too large to be display rounding. Do not invent missing months or adjust the data to force agreement.</ns0:t>
        </ns0:is>
      </ns0:c>
    </ns0:row>
  </ns0:sheetData>
  <ns0:mergeCells count="3">
    <ns0:mergeCell ref="A24:M24"/>
    <ns0:mergeCell ref="A2:M3"/>
    <ns0:mergeCell ref="A1:M1"/>
  </ns0:mergeCells>
  <ns0:pageMargins left="0.75" right="0.75" top="1" bottom="1" header="0.5" footer="0.5"/>
  <ns0:pageSetup orientation="landscape" paperSize="8" fitToHeight="0" fitToWidth="1"/>
  <ns0:legacyDrawing ns1:id="anysvml"/>
  <ns0:tableParts count="1">
    <ns0:tablePart ns1:id="rId1"/>
  </ns0:tableParts>
</ns0:worksheet>
</file>

<file path=xl/worksheets/sheet4.xml><?xml version="1.0" encoding="utf-8"?>
<ns0:worksheet xmlns:ns0="http://schemas.openxmlformats.org/spreadsheetml/2006/main" xmlns:ns1="http://schemas.openxmlformats.org/officeDocument/2006/relationships">
  <ns0:sheetPr>
    <ns0:outlinePr summaryBelow="1" summaryRight="1"/>
    <ns0:pageSetUpPr fitToPage="1"/>
  </ns0:sheetPr>
  <ns0:dimension ref="A1:Q19"/>
  <ns0:sheetViews>
    <ns0:sheetView showGridLines="0" workbookViewId="0">
      <ns0:pane xSplit="1" ySplit="6" topLeftCell="B7" activePane="bottomRight" state="frozen"/>
      <ns0:selection pane="topRight"/>
      <ns0:selection pane="bottomLeft"/>
      <ns0:selection pane="bottomRight" activeCell="A1" sqref="A1"/>
    </ns0:sheetView>
  </ns0:sheetViews>
  <ns0:sheetFormatPr baseColWidth="8" defaultRowHeight="15"/>
  <ns0:cols>
    <ns0:col width="11" customWidth="1" min="1" max="1"/>
    <ns0:col width="16" customWidth="1" min="2" max="2"/>
    <ns0:col width="16" customWidth="1" min="3" max="3"/>
    <ns0:col width="14" customWidth="1" min="4" max="4"/>
    <ns0:col width="16" customWidth="1" min="5" max="5"/>
    <ns0:col width="16" customWidth="1" min="6" max="6"/>
    <ns0:col width="16" customWidth="1" min="7" max="7"/>
    <ns0:col width="14" customWidth="1" min="8" max="8"/>
    <ns0:col width="17" customWidth="1" min="9" max="9"/>
    <ns0:col width="17" customWidth="1" min="10" max="10"/>
    <ns0:col width="14" customWidth="1" min="11" max="11"/>
    <ns0:col width="16" customWidth="1" min="12" max="12"/>
    <ns0:col width="16" customWidth="1" min="13" max="13"/>
    <ns0:col width="18" customWidth="1" min="14" max="14"/>
    <ns0:col width="13" customWidth="1" min="15" max="15"/>
    <ns0:col width="38" customWidth="1" min="16" max="16"/>
    <ns0:col width="42" customWidth="1" min="17" max="17"/>
  </ns0:cols>
  <ns0:sheetData>
    <ns0:row r="1" ht="39" customHeight="1">
      <ns0:c r="A1" s="50" t="inlineStr">
        <ns0:is>
          <ns0:t>MONTHLY COMPARISON | CHART-READY</ns0:t>
        </ns0:is>
      </ns0:c>
    </ns0:row>
    <ns0:row r="2" ht="23" customHeight="1">
      <ns0:c r="A2" s="51" t="inlineStr">
        <ns0:is>
          <ns0:t>Calculated from the ten visible rows, not from displayed totals. All values are absolute magnitudes. FOB/weight is a ratio, not a verified import price unless flow and product filters are confirmed.</ns0:t>
        </ns0:is>
      </ns0:c>
    </ns0:row>
    <ns0:row r="3" ht="23" customHeight="1"/>
    <ns0:row r="6" ht="42" customHeight="1">
      <ns0:c r="A6" s="56" t="inlineStr">
        <ns0:is>
          <ns0:t>Month</ns0:t>
        </ns0:is>
      </ns0:c>
      <ns0:c r="B6" s="57" t="inlineStr">
        <ns0:is>
          <ns0:t>FOB 2025 (USD m)</ns0:t>
        </ns0:is>
      </ns0:c>
      <ns0:c r="C6" s="57" t="inlineStr">
        <ns0:is>
          <ns0:t>FOB 2026 (USD m)</ns0:t>
        </ns0:is>
      </ns0:c>
      <ns0:c r="D6" s="57" t="inlineStr">
        <ns0:is>
          <ns0:t>FOB YoY</ns0:t>
        </ns0:is>
      </ns0:c>
      <ns0:c r="E6" s="57" t="inlineStr">
        <ns0:is>
          <ns0:t>FOB increase (USD m)</ns0:t>
        </ns0:is>
      </ns0:c>
      <ns0:c r="F6" s="57" t="inlineStr">
        <ns0:is>
          <ns0:t>Weight 2025 (m kg)</ns0:t>
        </ns0:is>
      </ns0:c>
      <ns0:c r="G6" s="57" t="inlineStr">
        <ns0:is>
          <ns0:t>Weight 2026 (m kg)</ns0:t>
        </ns0:is>
      </ns0:c>
      <ns0:c r="H6" s="57" t="inlineStr">
        <ns0:is>
          <ns0:t>Weight YoY</ns0:t>
        </ns0:is>
      </ns0:c>
      <ns0:c r="I6" s="57" t="inlineStr">
        <ns0:is>
          <ns0:t>FOB/weight 2025 (USD/kg)</ns0:t>
        </ns0:is>
      </ns0:c>
      <ns0:c r="J6" s="57" t="inlineStr">
        <ns0:is>
          <ns0:t>FOB/weight 2026 (USD/kg)</ns0:t>
        </ns0:is>
      </ns0:c>
      <ns0:c r="K6" s="57" t="inlineStr">
        <ns0:is>
          <ns0:t>Ratio YoY</ns0:t>
        </ns0:is>
      </ns0:c>
      <ns0:c r="L6" s="57" t="inlineStr">
        <ns0:is>
          <ns0:t>Cum. FOB 2025 (USD m)</ns0:t>
        </ns0:is>
      </ns0:c>
      <ns0:c r="M6" s="57" t="inlineStr">
        <ns0:is>
          <ns0:t>Cum. FOB 2026 (USD m)</ns0:t>
        </ns0:is>
      </ns0:c>
      <ns0:c r="N6" s="57" t="inlineStr">
        <ns0:is>
          <ns0:t>Cum. FOB increase (USD m)</ns0:t>
        </ns0:is>
      </ns0:c>
      <ns0:c r="O6" s="57" t="inlineStr">
        <ns0:is>
          <ns0:t>Row status</ns0:t>
        </ns0:is>
      </ns0:c>
      <ns0:c r="P6" s="57" t="inlineStr">
        <ns0:is>
          <ns0:t>Coverage flag</ns0:t>
        </ns0:is>
      </ns0:c>
      <ns0:c r="Q6" s="57" t="inlineStr">
        <ns0:is>
          <ns0:t>Source URL</ns0:t>
        </ns0:is>
      </ns0:c>
    </ns0:row>
    <ns0:row r="7" ht="43" customHeight="1">
      <ns0:c r="A7" s="64" t="inlineStr">
        <ns0:is>
          <ns0:t>Jan</ns0:t>
        </ns0:is>
      </ns0:c>
      <ns0:c r="B7" s="58" t="n">
        <ns0:f>ABS('DIAN raw'!C7)</ns0:f>
        <ns0:v>78.16</ns0:v>
      </ns0:c>
      <ns0:c r="C7" s="58" t="n">
        <ns0:f>ABS('DIAN raw'!D7)</ns0:f>
        <ns0:v>68.84</ns0:v>
      </ns0:c>
      <ns0:c r="D7" s="25" t="n">
        <ns0:f>IFERROR(C7/B7-1,"")</ns0:f>
        <ns0:v>-0.11924257932446258</ns0:v>
      </ns0:c>
      <ns0:c r="E7" s="65" t="n">
        <ns0:f>C7-B7</ns0:f>
        <ns0:v>-9.319999999999993</ns0:v>
      </ns0:c>
      <ns0:c r="F7" s="58" t="n">
        <ns0:f>ABS('DIAN raw'!F7)</ns0:f>
        <ns0:v>120.15</ns0:v>
      </ns0:c>
      <ns0:c r="G7" s="58" t="n">
        <ns0:f>ABS('DIAN raw'!G7)</ns0:f>
        <ns0:v>149.79</ns0:v>
      </ns0:c>
      <ns0:c r="H7" s="25" t="n">
        <ns0:f>IFERROR(G7/F7-1,"")</ns0:f>
        <ns0:v>0.2466916354556803</ns0:v>
      </ns0:c>
      <ns0:c r="I7" s="66" t="n">
        <ns0:f>IFERROR(B7/F7,"")</ns0:f>
        <ns0:v>0.6505201831044527</ns0:v>
      </ns0:c>
      <ns0:c r="J7" s="66" t="n">
        <ns0:f>IFERROR(C7/G7,"")</ns0:f>
        <ns0:v>0.45957674077041194</ns0:v>
      </ns0:c>
      <ns0:c r="K7" s="25" t="n">
        <ns0:f>IFERROR(J7/I7-1,"")</ns0:f>
        <ns0:v>-0.2935242399748592</ns0:v>
      </ns0:c>
      <ns0:c r="L7" s="65" t="n">
        <ns0:f>SUM(B$7:B7)</ns0:f>
        <ns0:v>78.16</ns0:v>
      </ns0:c>
      <ns0:c r="M7" s="65" t="n">
        <ns0:f>SUM(C$7:C7)</ns0:f>
        <ns0:v>68.84</ns0:v>
      </ns0:c>
      <ns0:c r="N7" s="65" t="n">
        <ns0:f>M7-L7</ns0:f>
        <ns0:v>-9.319999999999993</ns0:v>
      </ns0:c>
      <ns0:c r="O7" s="67" t="str">
        <ns0:f>'DIAN raw'!I7</ns0:f>
        <ns0:v>C</ns0:v>
      </ns0:c>
      <ns0:c r="P7" s="64" t="inlineStr">
        <ns0:is>
          <ns0:t>Filter unverified; C row</ns0:t>
        </ns0:is>
      </ns0:c>
      <ns0:c r="Q7" s="64" t="inlineStr">
        <ns0:is>
          <ns0:t>https://www.dian.gov.co/dian/cifras/Paginas/EstadisticasComEx.aspx</ns0:t>
        </ns0:is>
      </ns0:c>
    </ns0:row>
    <ns0:row r="8" ht="43" customHeight="1">
      <ns0:c r="A8" s="64" t="inlineStr">
        <ns0:is>
          <ns0:t>Feb</ns0:t>
        </ns0:is>
      </ns0:c>
      <ns0:c r="B8" s="58" t="n">
        <ns0:f>ABS('DIAN raw'!C8)</ns0:f>
        <ns0:v>61.47</ns0:v>
      </ns0:c>
      <ns0:c r="C8" s="58" t="n">
        <ns0:f>ABS('DIAN raw'!D8)</ns0:f>
        <ns0:v>79.94</ns0:v>
      </ns0:c>
      <ns0:c r="D8" s="25" t="n">
        <ns0:f>IFERROR(C8/B8-1,"")</ns0:f>
        <ns0:v>0.30047177484952003</ns0:v>
      </ns0:c>
      <ns0:c r="E8" s="65" t="n">
        <ns0:f>C8-B8</ns0:f>
        <ns0:v>18.47</ns0:v>
      </ns0:c>
      <ns0:c r="F8" s="58" t="n">
        <ns0:f>ABS('DIAN raw'!F8)</ns0:f>
        <ns0:v>86.44</ns0:v>
      </ns0:c>
      <ns0:c r="G8" s="58" t="n">
        <ns0:f>ABS('DIAN raw'!G8)</ns0:f>
        <ns0:v>167.11</ns0:v>
      </ns0:c>
      <ns0:c r="H8" s="25" t="n">
        <ns0:f>IFERROR(G8/F8-1,"")</ns0:f>
        <ns0:v>0.9332484960666361</ns0:v>
      </ns0:c>
      <ns0:c r="I8" s="66" t="n">
        <ns0:f>IFERROR(B8/F8,"")</ns0:f>
        <ns0:v>0.711129106894956</ns0:v>
      </ns0:c>
      <ns0:c r="J8" s="66" t="n">
        <ns0:f>IFERROR(C8/G8,"")</ns0:f>
        <ns0:v>0.4783675423373825</ns0:v>
      </ns0:c>
      <ns0:c r="K8" s="25" t="n">
        <ns0:f>IFERROR(J8/I8-1,"")</ns0:f>
        <ns0:v>-0.3273126669978308</ns0:v>
      </ns0:c>
      <ns0:c r="L8" s="65" t="n">
        <ns0:f>SUM(B$7:B8)</ns0:f>
        <ns0:v>139.63</ns0:v>
      </ns0:c>
      <ns0:c r="M8" s="65" t="n">
        <ns0:f>SUM(C$7:C8)</ns0:f>
        <ns0:v>148.78</ns0:v>
      </ns0:c>
      <ns0:c r="N8" s="65" t="n">
        <ns0:f>M8-L8</ns0:f>
        <ns0:v>9.150000000000006</ns0:v>
      </ns0:c>
      <ns0:c r="O8" s="67" t="str">
        <ns0:f>'DIAN raw'!I8</ns0:f>
        <ns0:v>C</ns0:v>
      </ns0:c>
      <ns0:c r="P8" s="64" t="inlineStr">
        <ns0:is>
          <ns0:t>Filter unverified; C row</ns0:t>
        </ns0:is>
      </ns0:c>
      <ns0:c r="Q8" s="64" t="inlineStr">
        <ns0:is>
          <ns0:t>https://www.dian.gov.co/dian/cifras/Paginas/EstadisticasComEx.aspx</ns0:t>
        </ns0:is>
      </ns0:c>
    </ns0:row>
    <ns0:row r="9" ht="43" customHeight="1">
      <ns0:c r="A9" s="64" t="inlineStr">
        <ns0:is>
          <ns0:t>Mar</ns0:t>
        </ns0:is>
      </ns0:c>
      <ns0:c r="B9" s="58" t="n">
        <ns0:f>ABS('DIAN raw'!C9)</ns0:f>
        <ns0:v>64.28</ns0:v>
      </ns0:c>
      <ns0:c r="C9" s="58" t="n">
        <ns0:f>ABS('DIAN raw'!D9)</ns0:f>
        <ns0:v>77.95</ns0:v>
      </ns0:c>
      <ns0:c r="D9" s="25" t="n">
        <ns0:f>IFERROR(C9/B9-1,"")</ns0:f>
        <ns0:v>0.21266334785314256</ns0:v>
      </ns0:c>
      <ns0:c r="E9" s="65" t="n">
        <ns0:f>C9-B9</ns0:f>
        <ns0:v>13.670000000000002</ns0:v>
      </ns0:c>
      <ns0:c r="F9" s="58" t="n">
        <ns0:f>ABS('DIAN raw'!F9)</ns0:f>
        <ns0:v>97.89</ns0:v>
      </ns0:c>
      <ns0:c r="G9" s="58" t="n">
        <ns0:f>ABS('DIAN raw'!G9)</ns0:f>
        <ns0:v>155.46</ns0:v>
      </ns0:c>
      <ns0:c r="H9" s="25" t="n">
        <ns0:f>IFERROR(G9/F9-1,"")</ns0:f>
        <ns0:v>0.5881091020533253</ns0:v>
      </ns0:c>
      <ns0:c r="I9" s="66" t="n">
        <ns0:f>IFERROR(B9/F9,"")</ns0:f>
        <ns0:v>0.6566554295637961</ns0:v>
      </ns0:c>
      <ns0:c r="J9" s="66" t="n">
        <ns0:f>IFERROR(C9/G9,"")</ns0:f>
        <ns0:v>0.5014151550238003</ns0:v>
      </ns0:c>
      <ns0:c r="K9" s="25" t="n">
        <ns0:f>IFERROR(J9/I9-1,"")</ns0:f>
        <ns0:v>-0.2364105549894242</ns0:v>
      </ns0:c>
      <ns0:c r="L9" s="65" t="n">
        <ns0:f>SUM(B$7:B9)</ns0:f>
        <ns0:v>203.91</ns0:v>
      </ns0:c>
      <ns0:c r="M9" s="65" t="n">
        <ns0:f>SUM(C$7:C9)</ns0:f>
        <ns0:v>226.73000000000002</ns0:v>
      </ns0:c>
      <ns0:c r="N9" s="65" t="n">
        <ns0:f>M9-L9</ns0:f>
        <ns0:v>22.82000000000002</ns0:v>
      </ns0:c>
      <ns0:c r="O9" s="67" t="str">
        <ns0:f>'DIAN raw'!I9</ns0:f>
        <ns0:v>C</ns0:v>
      </ns0:c>
      <ns0:c r="P9" s="64" t="inlineStr">
        <ns0:is>
          <ns0:t>Filter unverified; C row</ns0:t>
        </ns0:is>
      </ns0:c>
      <ns0:c r="Q9" s="64" t="inlineStr">
        <ns0:is>
          <ns0:t>https://www.dian.gov.co/dian/cifras/Paginas/EstadisticasComEx.aspx</ns0:t>
        </ns0:is>
      </ns0:c>
    </ns0:row>
    <ns0:row r="10" ht="43" customHeight="1">
      <ns0:c r="A10" s="64" t="inlineStr">
        <ns0:is>
          <ns0:t>Apr</ns0:t>
        </ns0:is>
      </ns0:c>
      <ns0:c r="B10" s="58" t="n">
        <ns0:f>ABS('DIAN raw'!C10)</ns0:f>
        <ns0:v>108.5</ns0:v>
      </ns0:c>
      <ns0:c r="C10" s="58" t="n">
        <ns0:f>ABS('DIAN raw'!D10)</ns0:f>
        <ns0:v>120.08</ns0:v>
      </ns0:c>
      <ns0:c r="D10" s="25" t="n">
        <ns0:f>IFERROR(C10/B10-1,"")</ns0:f>
        <ns0:v>0.10672811059907827</ns0:v>
      </ns0:c>
      <ns0:c r="E10" s="65" t="n">
        <ns0:f>C10-B10</ns0:f>
        <ns0:v>11.579999999999998</ns0:v>
      </ns0:c>
      <ns0:c r="F10" s="58" t="n">
        <ns0:f>ABS('DIAN raw'!F10)</ns0:f>
        <ns0:v>203.86</ns0:v>
      </ns0:c>
      <ns0:c r="G10" s="58" t="n">
        <ns0:f>ABS('DIAN raw'!G10)</ns0:f>
        <ns0:v>184.91</ns0:v>
      </ns0:c>
      <ns0:c r="H10" s="25" t="n">
        <ns0:f>IFERROR(G10/F10-1,"")</ns0:f>
        <ns0:v>-0.09295595016187586</ns0:v>
      </ns0:c>
      <ns0:c r="I10" s="66" t="n">
        <ns0:f>IFERROR(B10/F10,"")</ns0:f>
        <ns0:v>0.5322279996075738</ns0:v>
      </ns0:c>
      <ns0:c r="J10" s="66" t="n">
        <ns0:f>IFERROR(C10/G10,"")</ns0:f>
        <ns0:v>0.6493970039478665</ns0:v>
      </ns0:c>
      <ns0:c r="K10" s="25" t="n">
        <ns0:f>IFERROR(J10/I10-1,"")</ns0:f>
        <ns0:v>0.2201481403208485</ns0:v>
      </ns0:c>
      <ns0:c r="L10" s="65" t="n">
        <ns0:f>SUM(B$7:B10)</ns0:f>
        <ns0:v>312.40999999999997</ns0:v>
      </ns0:c>
      <ns0:c r="M10" s="65" t="n">
        <ns0:f>SUM(C$7:C10)</ns0:f>
        <ns0:v>346.81</ns0:v>
      </ns0:c>
      <ns0:c r="N10" s="65" t="n">
        <ns0:f>M10-L10</ns0:f>
        <ns0:v>34.400000000000034</ns0:v>
      </ns0:c>
      <ns0:c r="O10" s="67" t="str">
        <ns0:f>'DIAN raw'!I10</ns0:f>
        <ns0:v>C</ns0:v>
      </ns0:c>
      <ns0:c r="P10" s="64" t="inlineStr">
        <ns0:is>
          <ns0:t>Filter unverified; C row</ns0:t>
        </ns0:is>
      </ns0:c>
      <ns0:c r="Q10" s="64" t="inlineStr">
        <ns0:is>
          <ns0:t>https://www.dian.gov.co/dian/cifras/Paginas/EstadisticasComEx.aspx</ns0:t>
        </ns0:is>
      </ns0:c>
    </ns0:row>
    <ns0:row r="11" ht="43" customHeight="1">
      <ns0:c r="A11" s="64" t="inlineStr">
        <ns0:is>
          <ns0:t>May</ns0:t>
        </ns0:is>
      </ns0:c>
      <ns0:c r="B11" s="58" t="n">
        <ns0:f>ABS('DIAN raw'!C11)</ns0:f>
        <ns0:v>55.22</ns0:v>
      </ns0:c>
      <ns0:c r="C11" s="58" t="n">
        <ns0:f>ABS('DIAN raw'!D11)</ns0:f>
        <ns0:v>144.8</ns0:v>
      </ns0:c>
      <ns0:c r="D11" s="25" t="n">
        <ns0:f>IFERROR(C11/B11-1,"")</ns0:f>
        <ns0:v>1.6222383194494752</ns0:v>
      </ns0:c>
      <ns0:c r="E11" s="65" t="n">
        <ns0:f>C11-B11</ns0:f>
        <ns0:v>89.58000000000001</ns0:v>
      </ns0:c>
      <ns0:c r="F11" s="58" t="n">
        <ns0:f>ABS('DIAN raw'!F11)</ns0:f>
        <ns0:v>105.23</ns0:v>
      </ns0:c>
      <ns0:c r="G11" s="58" t="n">
        <ns0:f>ABS('DIAN raw'!G11)</ns0:f>
        <ns0:v>224.59</ns0:v>
      </ns0:c>
      <ns0:c r="H11" s="25" t="n">
        <ns0:f>IFERROR(G11/F11-1,"")</ns0:f>
        <ns0:v>1.1342772973486648</ns0:v>
      </ns0:c>
      <ns0:c r="I11" s="66" t="n">
        <ns0:f>IFERROR(B11/F11,"")</ns0:f>
        <ns0:v>0.5247552979188445</ns0:v>
      </ns0:c>
      <ns0:c r="J11" s="66" t="n">
        <ns0:f>IFERROR(C11/G11,"")</ns0:f>
        <ns0:v>0.644730397613429</ns0:v>
      </ns0:c>
      <ns0:c r="K11" s="25" t="n">
        <ns0:f>IFERROR(J11/I11-1,"")</ns0:f>
        <ns0:v>0.22863056394170833</ns0:v>
      </ns0:c>
      <ns0:c r="L11" s="65" t="n">
        <ns0:f>SUM(B$7:B11)</ns0:f>
        <ns0:v>367.63</ns0:v>
      </ns0:c>
      <ns0:c r="M11" s="65" t="n">
        <ns0:f>SUM(C$7:C11)</ns0:f>
        <ns0:v>491.61</ns0:v>
      </ns0:c>
      <ns0:c r="N11" s="65" t="n">
        <ns0:f>M11-L11</ns0:f>
        <ns0:v>123.98000000000002</ns0:v>
      </ns0:c>
      <ns0:c r="O11" s="67" t="str">
        <ns0:f>'DIAN raw'!I11</ns0:f>
        <ns0:v>C</ns0:v>
      </ns0:c>
      <ns0:c r="P11" s="64" t="inlineStr">
        <ns0:is>
          <ns0:t>Filter unverified; C row</ns0:t>
        </ns0:is>
      </ns0:c>
      <ns0:c r="Q11" s="64" t="inlineStr">
        <ns0:is>
          <ns0:t>https://www.dian.gov.co/dian/cifras/Paginas/EstadisticasComEx.aspx</ns0:t>
        </ns0:is>
      </ns0:c>
    </ns0:row>
    <ns0:row r="12" ht="43" customHeight="1">
      <ns0:c r="A12" s="64" t="inlineStr">
        <ns0:is>
          <ns0:t>Jun</ns0:t>
        </ns0:is>
      </ns0:c>
      <ns0:c r="B12" s="58" t="n">
        <ns0:f>ABS('DIAN raw'!C12)</ns0:f>
        <ns0:v>64.75</ns0:v>
      </ns0:c>
      <ns0:c r="C12" s="58" t="n">
        <ns0:f>ABS('DIAN raw'!D12)</ns0:f>
        <ns0:v>126.88</ns0:v>
      </ns0:c>
      <ns0:c r="D12" s="25" t="n">
        <ns0:f>IFERROR(C12/B12-1,"")</ns0:f>
        <ns0:v>0.9595366795366795</ns0:v>
      </ns0:c>
      <ns0:c r="E12" s="65" t="n">
        <ns0:f>C12-B12</ns0:f>
        <ns0:v>62.129999999999995</ns0:v>
      </ns0:c>
      <ns0:c r="F12" s="58" t="n">
        <ns0:f>ABS('DIAN raw'!F12)</ns0:f>
        <ns0:v>118.74</ns0:v>
      </ns0:c>
      <ns0:c r="G12" s="58" t="n">
        <ns0:f>ABS('DIAN raw'!G12)</ns0:f>
        <ns0:v>172.54</ns0:v>
      </ns0:c>
      <ns0:c r="H12" s="25" t="n">
        <ns0:f>IFERROR(G12/F12-1,"")</ns0:f>
        <ns0:v>0.4530907865925551</ns0:v>
      </ns0:c>
      <ns0:c r="I12" s="66" t="n">
        <ns0:f>IFERROR(B12/F12,"")</ns0:f>
        <ns0:v>0.5453090786592555</ns0:v>
      </ns0:c>
      <ns0:c r="J12" s="66" t="n">
        <ns0:f>IFERROR(C12/G12,"")</ns0:f>
        <ns0:v>0.7353657122985975</ns0:v>
      </ns0:c>
      <ns0:c r="K12" s="25" t="n">
        <ns0:f>IFERROR(J12/I12-1,"")</ns0:f>
        <ns0:v>0.34853011086232377</ns0:v>
      </ns0:c>
      <ns0:c r="L12" s="65" t="n">
        <ns0:f>SUM(B$7:B12)</ns0:f>
        <ns0:v>432.38</ns0:v>
      </ns0:c>
      <ns0:c r="M12" s="65" t="n">
        <ns0:f>SUM(C$7:C12)</ns0:f>
        <ns0:v>618.49</ns0:v>
      </ns0:c>
      <ns0:c r="N12" s="65" t="n">
        <ns0:f>M12-L12</ns0:f>
        <ns0:v>186.11</ns0:v>
      </ns0:c>
      <ns0:c r="O12" s="67" t="str">
        <ns0:f>'DIAN raw'!I12</ns0:f>
        <ns0:v>C</ns0:v>
      </ns0:c>
      <ns0:c r="P12" s="64" t="inlineStr">
        <ns0:is>
          <ns0:t>Filter unverified; C row</ns0:t>
        </ns0:is>
      </ns0:c>
      <ns0:c r="Q12" s="64" t="inlineStr">
        <ns0:is>
          <ns0:t>https://www.dian.gov.co/dian/cifras/Paginas/EstadisticasComEx.aspx</ns0:t>
        </ns0:is>
      </ns0:c>
    </ns0:row>
    <ns0:row r="13" ht="43" customHeight="1">
      <ns0:c r="A13" s="64" t="inlineStr">
        <ns0:is>
          <ns0:t>Jul</ns0:t>
        </ns0:is>
      </ns0:c>
      <ns0:c r="B13" s="58" t="n">
        <ns0:f>ABS('DIAN raw'!C13)</ns0:f>
        <ns0:v>91.17</ns0:v>
      </ns0:c>
      <ns0:c r="C13" s="58" t="n">
        <ns0:f>ABS('DIAN raw'!D13)</ns0:f>
        <ns0:v>203.21</ns0:v>
      </ns0:c>
      <ns0:c r="D13" s="25" t="n">
        <ns0:f>IFERROR(C13/B13-1,"")</ns0:f>
        <ns0:v>1.2289130196336515</ns0:v>
      </ns0:c>
      <ns0:c r="E13" s="65" t="n">
        <ns0:f>C13-B13</ns0:f>
        <ns0:v>112.04</ns0:v>
      </ns0:c>
      <ns0:c r="F13" s="58" t="n">
        <ns0:f>ABS('DIAN raw'!F13)</ns0:f>
        <ns0:v>172.57</ns0:v>
      </ns0:c>
      <ns0:c r="G13" s="58" t="n">
        <ns0:f>ABS('DIAN raw'!G13)</ns0:f>
        <ns0:v>294.84</ns0:v>
      </ns0:c>
      <ns0:c r="H13" s="25" t="n">
        <ns0:f>IFERROR(G13/F13-1,"")</ns0:f>
        <ns0:v>0.7085240771860692</ns0:v>
      </ns0:c>
      <ns0:c r="I13" s="66" t="n">
        <ns0:f>IFERROR(B13/F13,"")</ns0:f>
        <ns0:v>0.5283073535376949</ns0:v>
      </ns0:c>
      <ns0:c r="J13" s="66" t="n">
        <ns0:f>IFERROR(C13/G13,"")</ns0:f>
        <ns0:v>0.689221272554606</ns0:v>
      </ns0:c>
      <ns0:c r="K13" s="25" t="n">
        <ns0:f>IFERROR(J13/I13-1,"")</ns0:f>
        <ns0:v>0.3045839092327338</ns0:v>
      </ns0:c>
      <ns0:c r="L13" s="65" t="n">
        <ns0:f>SUM(B$7:B13)</ns0:f>
        <ns0:v>523.55</ns0:v>
      </ns0:c>
      <ns0:c r="M13" s="65" t="n">
        <ns0:f>SUM(C$7:C13)</ns0:f>
        <ns0:v>821.7</ns0:v>
      </ns0:c>
      <ns0:c r="N13" s="65" t="n">
        <ns0:f>M13-L13</ns0:f>
        <ns0:v>298.1500000000001</ns0:v>
      </ns0:c>
      <ns0:c r="O13" s="67" t="str">
        <ns0:f>'DIAN raw'!I13</ns0:f>
        <ns0:v>C</ns0:v>
      </ns0:c>
      <ns0:c r="P13" s="64" t="inlineStr">
        <ns0:is>
          <ns0:t>Filter unverified; C row</ns0:t>
        </ns0:is>
      </ns0:c>
      <ns0:c r="Q13" s="64" t="inlineStr">
        <ns0:is>
          <ns0:t>https://www.dian.gov.co/dian/cifras/Paginas/EstadisticasComEx.aspx</ns0:t>
        </ns0:is>
      </ns0:c>
    </ns0:row>
    <ns0:row r="14" ht="43" customHeight="1">
      <ns0:c r="A14" s="64" t="inlineStr">
        <ns0:is>
          <ns0:t>Aug</ns0:t>
        </ns0:is>
      </ns0:c>
      <ns0:c r="B14" s="58" t="n">
        <ns0:f>ABS('DIAN raw'!C14)</ns0:f>
        <ns0:v>57.4</ns0:v>
      </ns0:c>
      <ns0:c r="C14" s="58" t="n">
        <ns0:f>ABS('DIAN raw'!D14)</ns0:f>
        <ns0:v>202.81</ns0:v>
      </ns0:c>
      <ns0:c r="D14" s="25" t="n">
        <ns0:f>IFERROR(C14/B14-1,"")</ns0:f>
        <ns0:v>2.533275261324042</ns0:v>
      </ns0:c>
      <ns0:c r="E14" s="65" t="n">
        <ns0:f>C14-B14</ns0:f>
        <ns0:v>145.41</ns0:v>
      </ns0:c>
      <ns0:c r="F14" s="58" t="n">
        <ns0:f>ABS('DIAN raw'!F14)</ns0:f>
        <ns0:v>114.32</ns0:v>
      </ns0:c>
      <ns0:c r="G14" s="58" t="n">
        <ns0:f>ABS('DIAN raw'!G14)</ns0:f>
        <ns0:v>230.35</ns0:v>
      </ns0:c>
      <ns0:c r="H14" s="25" t="n">
        <ns0:f>IFERROR(G14/F14-1,"")</ns0:f>
        <ns0:v>1.0149580125962214</ns0:v>
      </ns0:c>
      <ns0:c r="I14" s="66" t="n">
        <ns0:f>IFERROR(B14/F14,"")</ns0:f>
        <ns0:v>0.5020993701889434</ns0:v>
      </ns0:c>
      <ns0:c r="J14" s="66" t="n">
        <ns0:f>IFERROR(C14/G14,"")</ns0:f>
        <ns0:v>0.8804428044280443</ns0:v>
      </ns0:c>
      <ns0:c r="K14" s="25" t="n">
        <ns0:f>IFERROR(J14/I14-1,"")</ns0:f>
        <ns0:v>0.7535230209444952</ns0:v>
      </ns0:c>
      <ns0:c r="L14" s="65" t="n">
        <ns0:f>SUM(B$7:B14)</ns0:f>
        <ns0:v>580.9499999999999</ns0:v>
      </ns0:c>
      <ns0:c r="M14" s="65" t="n">
        <ns0:f>SUM(C$7:C14)</ns0:f>
        <ns0:v>1024.51</ns0:v>
      </ns0:c>
      <ns0:c r="N14" s="65" t="n">
        <ns0:f>M14-L14</ns0:f>
        <ns0:v>443.56000000000006</ns0:v>
      </ns0:c>
      <ns0:c r="O14" s="67" t="str">
        <ns0:f>'DIAN raw'!I14</ns0:f>
        <ns0:v>C</ns0:v>
      </ns0:c>
      <ns0:c r="P14" s="64" t="inlineStr">
        <ns0:is>
          <ns0:t>Filter unverified; C row</ns0:t>
        </ns0:is>
      </ns0:c>
      <ns0:c r="Q14" s="64" t="inlineStr">
        <ns0:is>
          <ns0:t>https://www.dian.gov.co/dian/cifras/Paginas/EstadisticasComEx.aspx</ns0:t>
        </ns0:is>
      </ns0:c>
    </ns0:row>
    <ns0:row r="15" ht="43" customHeight="1">
      <ns0:c r="A15" s="68" t="inlineStr">
        <ns0:is>
          <ns0:t>Sep</ns0:t>
        </ns0:is>
      </ns0:c>
      <ns0:c r="B15" s="69" t="n">
        <ns0:f>ABS('DIAN raw'!C15)</ns0:f>
        <ns0:v>67.39</ns0:v>
      </ns0:c>
      <ns0:c r="C15" s="69" t="n">
        <ns0:f>ABS('DIAN raw'!D15)</ns0:f>
        <ns0:v>338.57</ns0:v>
      </ns0:c>
      <ns0:c r="D15" s="70" t="n">
        <ns0:f>IFERROR(C15/B15-1,"")</ns0:f>
        <ns0:v>4.024039174951773</ns0:v>
      </ns0:c>
      <ns0:c r="E15" s="71" t="n">
        <ns0:f>C15-B15</ns0:f>
        <ns0:v>271.18</ns0:v>
      </ns0:c>
      <ns0:c r="F15" s="69" t="n">
        <ns0:f>ABS('DIAN raw'!F15)</ns0:f>
        <ns0:v>142.9</ns0:v>
      </ns0:c>
      <ns0:c r="G15" s="69" t="n">
        <ns0:f>ABS('DIAN raw'!G15)</ns0:f>
        <ns0:v>320.91</ns0:v>
      </ns0:c>
      <ns0:c r="H15" s="70" t="n">
        <ns0:f>IFERROR(G15/F15-1,"")</ns0:f>
        <ns0:v>1.245696291112666</ns0:v>
      </ns0:c>
      <ns0:c r="I15" s="72" t="n">
        <ns0:f>IFERROR(B15/F15,"")</ns0:f>
        <ns0:v>0.4715885234429671</ns0:v>
      </ns0:c>
      <ns0:c r="J15" s="72" t="n">
        <ns0:f>IFERROR(C15/G15,"")</ns0:f>
        <ns0:v>1.0550310055778878</ns0:v>
      </ns0:c>
      <ns0:c r="K15" s="70" t="n">
        <ns0:f>IFERROR(J15/I15-1,"")</ns0:f>
        <ns0:v>1.2371854978050179</ns0:v>
      </ns0:c>
      <ns0:c r="L15" s="71" t="n">
        <ns0:f>SUM(B$7:B15)</ns0:f>
        <ns0:v>648.3399999999999</ns0:v>
      </ns0:c>
      <ns0:c r="M15" s="71" t="n">
        <ns0:f>SUM(C$7:C15)</ns0:f>
        <ns0:v>1363.08</ns0:v>
      </ns0:c>
      <ns0:c r="N15" s="71" t="n">
        <ns0:f>M15-L15</ns0:f>
        <ns0:v>714.74</ns0:v>
      </ns0:c>
      <ns0:c r="O15" s="73" t="str">
        <ns0:f>'DIAN raw'!I15</ns0:f>
        <ns0:v>O</ns0:v>
      </ns0:c>
      <ns0:c r="P15" s="68" t="inlineStr">
        <ns0:is>
          <ns0:t>Filter unverified; O row</ns0:t>
        </ns0:is>
      </ns0:c>
      <ns0:c r="Q15" s="68" t="inlineStr">
        <ns0:is>
          <ns0:t>https://www.dian.gov.co/dian/cifras/Paginas/EstadisticasComEx.aspx</ns0:t>
        </ns0:is>
      </ns0:c>
    </ns0:row>
    <ns0:row r="16" ht="43" customHeight="1">
      <ns0:c r="A16" s="68" t="inlineStr">
        <ns0:is>
          <ns0:t>Oct</ns0:t>
        </ns0:is>
      </ns0:c>
      <ns0:c r="B16" s="69" t="n">
        <ns0:f>ABS('DIAN raw'!C16)</ns0:f>
        <ns0:v>28.43</ns0:v>
      </ns0:c>
      <ns0:c r="C16" s="69" t="n">
        <ns0:f>ABS('DIAN raw'!D16)</ns0:f>
        <ns0:v>190.17</ns0:v>
      </ns0:c>
      <ns0:c r="D16" s="70" t="n">
        <ns0:f>IFERROR(C16/B16-1,"")</ns0:f>
        <ns0:v>5.689060851213506</ns0:v>
      </ns0:c>
      <ns0:c r="E16" s="71" t="n">
        <ns0:f>C16-B16</ns0:f>
        <ns0:v>161.73999999999998</ns0:v>
      </ns0:c>
      <ns0:c r="F16" s="69" t="n">
        <ns0:f>ABS('DIAN raw'!F16)</ns0:f>
        <ns0:v>61.35</ns0:v>
      </ns0:c>
      <ns0:c r="G16" s="69" t="n">
        <ns0:f>ABS('DIAN raw'!G16)</ns0:f>
        <ns0:v>173.95</ns0:v>
      </ns0:c>
      <ns0:c r="H16" s="70" t="n">
        <ns0:f>IFERROR(G16/F16-1,"")</ns0:f>
        <ns0:v>1.835370823145884</ns0:v>
      </ns0:c>
      <ns0:c r="I16" s="72" t="n">
        <ns0:f>IFERROR(B16/F16,"")</ns0:f>
        <ns0:v>0.46340668296658516</ns0:v>
      </ns0:c>
      <ns0:c r="J16" s="72" t="n">
        <ns0:f>IFERROR(C16/G16,"")</ns0:f>
        <ns0:v>1.093245185398103</ns0:v>
      </ns0:c>
      <ns0:c r="K16" s="70" t="n">
        <ns0:f>IFERROR(J16/I16-1,"")</ns0:f>
        <ns0:v>1.3591485094679427</ns0:v>
      </ns0:c>
      <ns0:c r="L16" s="71" t="n">
        <ns0:f>SUM(B$7:B16)</ns0:f>
        <ns0:v>676.7699999999999</ns0:v>
      </ns0:c>
      <ns0:c r="M16" s="71" t="n">
        <ns0:f>SUM(C$7:C16)</ns0:f>
        <ns0:v>1553.25</ns0:v>
      </ns0:c>
      <ns0:c r="N16" s="71" t="n">
        <ns0:f>M16-L16</ns0:f>
        <ns0:v>876.4800000000001</ns0:v>
      </ns0:c>
      <ns0:c r="O16" s="73" t="str">
        <ns0:f>'DIAN raw'!I16</ns0:f>
        <ns0:v>O</ns0:v>
      </ns0:c>
      <ns0:c r="P16" s="68" t="inlineStr">
        <ns0:is>
          <ns0:t>Filter unverified; O row; October partial/cutoff unknown</ns0:t>
        </ns0:is>
      </ns0:c>
      <ns0:c r="Q16" s="68" t="inlineStr">
        <ns0:is>
          <ns0:t>https://www.dian.gov.co/dian/cifras/Paginas/EstadisticasComEx.aspx</ns0:t>
        </ns0:is>
      </ns0:c>
    </ns0:row>
    <ns0:row r="19" ht="34" customHeight="1">
      <ns0:c r="A19" s="55" t="inlineStr">
        <ns0:is>
          <ns0:t>No rolling-12-month series is calculated: November and December 2025 are not supplied. October 2026 is incomplete; do not annualize its displayed value.</ns0:t>
        </ns0:is>
      </ns0:c>
    </ns0:row>
  </ns0:sheetData>
  <ns0:mergeCells count="3">
    <ns0:mergeCell ref="A19:Q19"/>
    <ns0:mergeCell ref="A1:Q1"/>
    <ns0:mergeCell ref="A2:Q3"/>
  </ns0:mergeCells>
  <ns0:pageMargins left="0.75" right="0.75" top="1" bottom="1" header="0.5" footer="0.5"/>
  <ns0:pageSetup orientation="landscape" paperSize="8" fitToHeight="0" fitToWidth="1"/>
  <ns0:tableParts count="1">
    <ns0:tablePart ns1:id="rId1"/>
  </ns0:tableParts>
</ns0:worksheet>
</file>

<file path=xl/worksheets/sheet5.xml><?xml version="1.0" encoding="utf-8"?>
<ns0:worksheet xmlns:ns0="http://schemas.openxmlformats.org/spreadsheetml/2006/main" xmlns:ns1="http://schemas.openxmlformats.org/officeDocument/2006/relationships">
  <ns0:sheetPr>
    <ns0:outlinePr summaryBelow="1" summaryRight="1"/>
    <ns0:pageSetUpPr fitToPage="1"/>
  </ns0:sheetPr>
  <ns0:dimension ref="A1:R26"/>
  <ns0:sheetViews>
    <ns0:sheetView showGridLines="0" workbookViewId="0">
      <ns0:pane xSplit="1" ySplit="6" topLeftCell="B7" activePane="bottomRight" state="frozen"/>
      <ns0:selection pane="topRight"/>
      <ns0:selection pane="bottomLeft"/>
      <ns0:selection pane="bottomRight" activeCell="A1" sqref="A1"/>
    </ns0:sheetView>
  </ns0:sheetViews>
  <ns0:sheetFormatPr baseColWidth="8" defaultRowHeight="15"/>
  <ns0:cols>
    <ns0:col width="14" customWidth="1" min="1" max="1"/>
    <ns0:col width="10" customWidth="1" min="2" max="2"/>
    <ns0:col width="10" customWidth="1" min="3" max="3"/>
    <ns0:col width="18" customWidth="1" min="4" max="4"/>
    <ns0:col width="19" customWidth="1" min="5" max="5"/>
    <ns0:col width="17" customWidth="1" min="6" max="6"/>
    <ns0:col width="18" customWidth="1" min="7" max="7"/>
    <ns0:col width="19" customWidth="1" min="8" max="8"/>
    <ns0:col width="19" customWidth="1" min="9" max="9"/>
    <ns0:col width="18" customWidth="1" min="10" max="10"/>
    <ns0:col width="15" customWidth="1" min="11" max="11"/>
    <ns0:col width="13" customWidth="1" min="12" max="12"/>
    <ns0:col width="13" customWidth="1" min="13" max="13"/>
    <ns0:col width="38" customWidth="1" min="14" max="14"/>
    <ns0:col width="34" customWidth="1" min="15" max="15"/>
    <ns0:col width="17" customWidth="1" min="16" max="16"/>
    <ns0:col width="42" customWidth="1" min="17" max="17"/>
    <ns0:col width="40" customWidth="1" min="18" max="18"/>
  </ns0:cols>
  <ns0:sheetData>
    <ns0:row r="1" ht="39" customHeight="1">
      <ns0:c r="A1" s="50" t="inlineStr">
        <ns0:is>
          <ns0:t>MONTHLY LONG | ONE ROW PER YEAR-MONTH</ns0:t>
        </ns0:is>
      </ns0:c>
    </ns0:row>
    <ns0:row r="2" ht="23" customHeight="1">
      <ns0:c r="A2" s="51" t="inlineStr">
        <ns0:is>
          <ns0:t>20 screenshot observations for graphing and database work. HS6/HS10 remain blank because product filters are cropped. Original signs are preserved alongside absolute magnitudes.</ns0:t>
        </ns0:is>
      </ns0:c>
    </ns0:row>
    <ns0:row r="3" ht="23" customHeight="1"/>
    <ns0:row r="6" ht="42" customHeight="1">
      <ns0:c r="A6" s="56" t="inlineStr">
        <ns0:is>
          <ns0:t>Month</ns0:t>
        </ns0:is>
      </ns0:c>
      <ns0:c r="B6" s="57" t="inlineStr">
        <ns0:is>
          <ns0:t>Year</ns0:t>
        </ns0:is>
      </ns0:c>
      <ns0:c r="C6" s="57" t="inlineStr">
        <ns0:is>
          <ns0:t>Month no.</ns0:t>
        </ns0:is>
      </ns0:c>
      <ns0:c r="D6" s="57" t="inlineStr">
        <ns0:is>
          <ns0:t>FOB signed (USD m)</ns0:t>
        </ns0:is>
      </ns0:c>
      <ns0:c r="E6" s="57" t="inlineStr">
        <ns0:is>
          <ns0:t>Weight signed (m kg)</ns0:t>
        </ns0:is>
      </ns0:c>
      <ns0:c r="F6" s="57" t="inlineStr">
        <ns0:is>
          <ns0:t>FOB magnitude (USD m)</ns0:t>
        </ns0:is>
      </ns0:c>
      <ns0:c r="G6" s="57" t="inlineStr">
        <ns0:is>
          <ns0:t>Weight magnitude (m kg)</ns0:t>
        </ns0:is>
      </ns0:c>
      <ns0:c r="H6" s="57" t="inlineStr">
        <ns0:is>
          <ns0:t>FOB magnitude (USD)</ns0:t>
        </ns0:is>
      </ns0:c>
      <ns0:c r="I6" s="57" t="inlineStr">
        <ns0:is>
          <ns0:t>Weight magnitude (kg)</ns0:t>
        </ns0:is>
      </ns0:c>
      <ns0:c r="J6" s="57" t="inlineStr">
        <ns0:is>
          <ns0:t>FOB/weight (USD/kg)</ns0:t>
        </ns0:is>
      </ns0:c>
      <ns0:c r="K6" s="57" t="inlineStr">
        <ns0:is>
          <ns0:t>Row status shown</ns0:t>
        </ns0:is>
      </ns0:c>
      <ns0:c r="L6" s="57" t="inlineStr">
        <ns0:is>
          <ns0:t>Verified HS6</ns0:t>
        </ns0:is>
      </ns0:c>
      <ns0:c r="M6" s="57" t="inlineStr">
        <ns0:is>
          <ns0:t>Verified HS10</ns0:t>
        </ns0:is>
      </ns0:c>
      <ns0:c r="N6" s="57" t="inlineStr">
        <ns0:is>
          <ns0:t>Product context</ns0:t>
        </ns0:is>
      </ns0:c>
      <ns0:c r="O6" s="57" t="inlineStr">
        <ns0:is>
          <ns0:t>Flow context</ns0:t>
        </ns0:is>
      </ns0:c>
      <ns0:c r="P6" s="57" t="inlineStr">
        <ns0:is>
          <ns0:t>Snapshot date</ns0:t>
        </ns0:is>
      </ns0:c>
      <ns0:c r="Q6" s="57" t="inlineStr">
        <ns0:is>
          <ns0:t>Source URL</ns0:t>
        </ns0:is>
      </ns0:c>
      <ns0:c r="R6" s="57" t="inlineStr">
        <ns0:is>
          <ns0:t>Period / status note</ns0:t>
        </ns0:is>
      </ns0:c>
    </ns0:row>
    <ns0:row r="7" ht="44" customHeight="1">
      <ns0:c r="A7" s="74" t="n">
        <ns0:v>45658</ns0:v>
      </ns0:c>
      <ns0:c r="B7" s="75" t="n">
        <ns0:v>2025</ns0:v>
      </ns0:c>
      <ns0:c r="C7" s="75" t="n">
        <ns0:v>1</ns0:v>
      </ns0:c>
      <ns0:c r="D7" s="58" t="n">
        <ns0:f>'DIAN raw'!C7</ns0:f>
        <ns0:v>-78.16</ns0:v>
      </ns0:c>
      <ns0:c r="E7" s="58" t="n">
        <ns0:f>'DIAN raw'!F7</ns0:f>
        <ns0:v>-120.15</ns0:v>
      </ns0:c>
      <ns0:c r="F7" s="65" t="n">
        <ns0:f>ABS(D7)</ns0:f>
        <ns0:v>78.16</ns0:v>
      </ns0:c>
      <ns0:c r="G7" s="65" t="n">
        <ns0:f>ABS(E7)</ns0:f>
        <ns0:v>120.15</ns0:v>
      </ns0:c>
      <ns0:c r="H7" s="76" t="n">
        <ns0:f>F7*Settings!$B$8</ns0:f>
        <ns0:v>78160000</ns0:v>
      </ns0:c>
      <ns0:c r="I7" s="76" t="n">
        <ns0:f>G7*Settings!$B$8</ns0:f>
        <ns0:v>120150000</ns0:v>
      </ns0:c>
      <ns0:c r="J7" s="66" t="n">
        <ns0:f>IFERROR(F7/G7,"")</ns0:f>
        <ns0:v>0.6505201831044527</ns0:v>
      </ns0:c>
      <ns0:c r="K7" s="67" t="str">
        <ns0:f>'DIAN raw'!I7</ns0:f>
        <ns0:v>C</ns0:v>
      </ns0:c>
      <ns0:c r="L7" s="64" t="n"/>
      <ns0:c r="M7" s="64" t="n"/>
      <ns0:c r="N7" s="64" t="inlineStr">
        <ns0:is>
          <ns0:t>User gas/LNG discussion; exact selection unverified</ns0:t>
        </ns0:is>
      </ns0:c>
      <ns0:c r="O7" s="64" t="inlineStr">
        <ns0:is>
          <ns0:t>Negative display; imports vs net balance unverified</ns0:t>
        </ns0:is>
      </ns0:c>
      <ns0:c r="P7" s="64" t="inlineStr">
        <ns0:is>
          <ns0:t>2026-10-27</ns0:t>
        </ns0:is>
      </ns0:c>
      <ns0:c r="Q7" s="64" t="inlineStr">
        <ns0:is>
          <ns0:t>https://www.dian.gov.co/dian/cifras/Paginas/EstadisticasComEx.aspx</ns0:t>
        </ns0:is>
      </ns0:c>
      <ns0:c r="R7" s="64" t="inlineStr">
        <ns0:is>
          <ns0:t>Shared comparison-row status; not independently assigned by year.</ns0:t>
        </ns0:is>
      </ns0:c>
    </ns0:row>
    <ns0:row r="8" ht="44" customHeight="1">
      <ns0:c r="A8" s="74" t="n">
        <ns0:v>45689</ns0:v>
      </ns0:c>
      <ns0:c r="B8" s="75" t="n">
        <ns0:v>2025</ns0:v>
      </ns0:c>
      <ns0:c r="C8" s="75" t="n">
        <ns0:v>2</ns0:v>
      </ns0:c>
      <ns0:c r="D8" s="58" t="n">
        <ns0:f>'DIAN raw'!C8</ns0:f>
        <ns0:v>-61.47</ns0:v>
      </ns0:c>
      <ns0:c r="E8" s="58" t="n">
        <ns0:f>'DIAN raw'!F8</ns0:f>
        <ns0:v>-86.44</ns0:v>
      </ns0:c>
      <ns0:c r="F8" s="65" t="n">
        <ns0:f>ABS(D8)</ns0:f>
        <ns0:v>61.47</ns0:v>
      </ns0:c>
      <ns0:c r="G8" s="65" t="n">
        <ns0:f>ABS(E8)</ns0:f>
        <ns0:v>86.44</ns0:v>
      </ns0:c>
      <ns0:c r="H8" s="76" t="n">
        <ns0:f>F8*Settings!$B$8</ns0:f>
        <ns0:v>61470000</ns0:v>
      </ns0:c>
      <ns0:c r="I8" s="76" t="n">
        <ns0:f>G8*Settings!$B$8</ns0:f>
        <ns0:v>86440000</ns0:v>
      </ns0:c>
      <ns0:c r="J8" s="66" t="n">
        <ns0:f>IFERROR(F8/G8,"")</ns0:f>
        <ns0:v>0.711129106894956</ns0:v>
      </ns0:c>
      <ns0:c r="K8" s="67" t="str">
        <ns0:f>'DIAN raw'!I8</ns0:f>
        <ns0:v>C</ns0:v>
      </ns0:c>
      <ns0:c r="L8" s="64" t="n"/>
      <ns0:c r="M8" s="64" t="n"/>
      <ns0:c r="N8" s="64" t="inlineStr">
        <ns0:is>
          <ns0:t>User gas/LNG discussion; exact selection unverified</ns0:t>
        </ns0:is>
      </ns0:c>
      <ns0:c r="O8" s="64" t="inlineStr">
        <ns0:is>
          <ns0:t>Negative display; imports vs net balance unverified</ns0:t>
        </ns0:is>
      </ns0:c>
      <ns0:c r="P8" s="64" t="inlineStr">
        <ns0:is>
          <ns0:t>2026-10-27</ns0:t>
        </ns0:is>
      </ns0:c>
      <ns0:c r="Q8" s="64" t="inlineStr">
        <ns0:is>
          <ns0:t>https://www.dian.gov.co/dian/cifras/Paginas/EstadisticasComEx.aspx</ns0:t>
        </ns0:is>
      </ns0:c>
      <ns0:c r="R8" s="64" t="inlineStr">
        <ns0:is>
          <ns0:t>Shared comparison-row status; not independently assigned by year.</ns0:t>
        </ns0:is>
      </ns0:c>
    </ns0:row>
    <ns0:row r="9" ht="44" customHeight="1">
      <ns0:c r="A9" s="74" t="n">
        <ns0:v>45717</ns0:v>
      </ns0:c>
      <ns0:c r="B9" s="75" t="n">
        <ns0:v>2025</ns0:v>
      </ns0:c>
      <ns0:c r="C9" s="75" t="n">
        <ns0:v>3</ns0:v>
      </ns0:c>
      <ns0:c r="D9" s="58" t="n">
        <ns0:f>'DIAN raw'!C9</ns0:f>
        <ns0:v>-64.28</ns0:v>
      </ns0:c>
      <ns0:c r="E9" s="58" t="n">
        <ns0:f>'DIAN raw'!F9</ns0:f>
        <ns0:v>-97.89</ns0:v>
      </ns0:c>
      <ns0:c r="F9" s="65" t="n">
        <ns0:f>ABS(D9)</ns0:f>
        <ns0:v>64.28</ns0:v>
      </ns0:c>
      <ns0:c r="G9" s="65" t="n">
        <ns0:f>ABS(E9)</ns0:f>
        <ns0:v>97.89</ns0:v>
      </ns0:c>
      <ns0:c r="H9" s="76" t="n">
        <ns0:f>F9*Settings!$B$8</ns0:f>
        <ns0:v>64280000</ns0:v>
      </ns0:c>
      <ns0:c r="I9" s="76" t="n">
        <ns0:f>G9*Settings!$B$8</ns0:f>
        <ns0:v>97890000</ns0:v>
      </ns0:c>
      <ns0:c r="J9" s="66" t="n">
        <ns0:f>IFERROR(F9/G9,"")</ns0:f>
        <ns0:v>0.6566554295637961</ns0:v>
      </ns0:c>
      <ns0:c r="K9" s="67" t="str">
        <ns0:f>'DIAN raw'!I9</ns0:f>
        <ns0:v>C</ns0:v>
      </ns0:c>
      <ns0:c r="L9" s="64" t="n"/>
      <ns0:c r="M9" s="64" t="n"/>
      <ns0:c r="N9" s="64" t="inlineStr">
        <ns0:is>
          <ns0:t>User gas/LNG discussion; exact selection unverified</ns0:t>
        </ns0:is>
      </ns0:c>
      <ns0:c r="O9" s="64" t="inlineStr">
        <ns0:is>
          <ns0:t>Negative display; imports vs net balance unverified</ns0:t>
        </ns0:is>
      </ns0:c>
      <ns0:c r="P9" s="64" t="inlineStr">
        <ns0:is>
          <ns0:t>2026-10-27</ns0:t>
        </ns0:is>
      </ns0:c>
      <ns0:c r="Q9" s="64" t="inlineStr">
        <ns0:is>
          <ns0:t>https://www.dian.gov.co/dian/cifras/Paginas/EstadisticasComEx.aspx</ns0:t>
        </ns0:is>
      </ns0:c>
      <ns0:c r="R9" s="64" t="inlineStr">
        <ns0:is>
          <ns0:t>Shared comparison-row status; not independently assigned by year.</ns0:t>
        </ns0:is>
      </ns0:c>
    </ns0:row>
    <ns0:row r="10" ht="44" customHeight="1">
      <ns0:c r="A10" s="74" t="n">
        <ns0:v>45748</ns0:v>
      </ns0:c>
      <ns0:c r="B10" s="75" t="n">
        <ns0:v>2025</ns0:v>
      </ns0:c>
      <ns0:c r="C10" s="75" t="n">
        <ns0:v>4</ns0:v>
      </ns0:c>
      <ns0:c r="D10" s="58" t="n">
        <ns0:f>'DIAN raw'!C10</ns0:f>
        <ns0:v>-108.5</ns0:v>
      </ns0:c>
      <ns0:c r="E10" s="58" t="n">
        <ns0:f>'DIAN raw'!F10</ns0:f>
        <ns0:v>-203.86</ns0:v>
      </ns0:c>
      <ns0:c r="F10" s="65" t="n">
        <ns0:f>ABS(D10)</ns0:f>
        <ns0:v>108.5</ns0:v>
      </ns0:c>
      <ns0:c r="G10" s="65" t="n">
        <ns0:f>ABS(E10)</ns0:f>
        <ns0:v>203.86</ns0:v>
      </ns0:c>
      <ns0:c r="H10" s="76" t="n">
        <ns0:f>F10*Settings!$B$8</ns0:f>
        <ns0:v>108500000</ns0:v>
      </ns0:c>
      <ns0:c r="I10" s="76" t="n">
        <ns0:f>G10*Settings!$B$8</ns0:f>
        <ns0:v>203860000</ns0:v>
      </ns0:c>
      <ns0:c r="J10" s="66" t="n">
        <ns0:f>IFERROR(F10/G10,"")</ns0:f>
        <ns0:v>0.5322279996075738</ns0:v>
      </ns0:c>
      <ns0:c r="K10" s="67" t="str">
        <ns0:f>'DIAN raw'!I10</ns0:f>
        <ns0:v>C</ns0:v>
      </ns0:c>
      <ns0:c r="L10" s="64" t="n"/>
      <ns0:c r="M10" s="64" t="n"/>
      <ns0:c r="N10" s="64" t="inlineStr">
        <ns0:is>
          <ns0:t>User gas/LNG discussion; exact selection unverified</ns0:t>
        </ns0:is>
      </ns0:c>
      <ns0:c r="O10" s="64" t="inlineStr">
        <ns0:is>
          <ns0:t>Negative display; imports vs net balance unverified</ns0:t>
        </ns0:is>
      </ns0:c>
      <ns0:c r="P10" s="64" t="inlineStr">
        <ns0:is>
          <ns0:t>2026-10-27</ns0:t>
        </ns0:is>
      </ns0:c>
      <ns0:c r="Q10" s="64" t="inlineStr">
        <ns0:is>
          <ns0:t>https://www.dian.gov.co/dian/cifras/Paginas/EstadisticasComEx.aspx</ns0:t>
        </ns0:is>
      </ns0:c>
      <ns0:c r="R10" s="64" t="inlineStr">
        <ns0:is>
          <ns0:t>Shared comparison-row status; not independently assigned by year.</ns0:t>
        </ns0:is>
      </ns0:c>
    </ns0:row>
    <ns0:row r="11" ht="44" customHeight="1">
      <ns0:c r="A11" s="74" t="n">
        <ns0:v>45778</ns0:v>
      </ns0:c>
      <ns0:c r="B11" s="75" t="n">
        <ns0:v>2025</ns0:v>
      </ns0:c>
      <ns0:c r="C11" s="75" t="n">
        <ns0:v>5</ns0:v>
      </ns0:c>
      <ns0:c r="D11" s="58" t="n">
        <ns0:f>'DIAN raw'!C11</ns0:f>
        <ns0:v>-55.22</ns0:v>
      </ns0:c>
      <ns0:c r="E11" s="58" t="n">
        <ns0:f>'DIAN raw'!F11</ns0:f>
        <ns0:v>-105.23</ns0:v>
      </ns0:c>
      <ns0:c r="F11" s="65" t="n">
        <ns0:f>ABS(D11)</ns0:f>
        <ns0:v>55.22</ns0:v>
      </ns0:c>
      <ns0:c r="G11" s="65" t="n">
        <ns0:f>ABS(E11)</ns0:f>
        <ns0:v>105.23</ns0:v>
      </ns0:c>
      <ns0:c r="H11" s="76" t="n">
        <ns0:f>F11*Settings!$B$8</ns0:f>
        <ns0:v>55220000</ns0:v>
      </ns0:c>
      <ns0:c r="I11" s="76" t="n">
        <ns0:f>G11*Settings!$B$8</ns0:f>
        <ns0:v>105230000</ns0:v>
      </ns0:c>
      <ns0:c r="J11" s="66" t="n">
        <ns0:f>IFERROR(F11/G11,"")</ns0:f>
        <ns0:v>0.5247552979188445</ns0:v>
      </ns0:c>
      <ns0:c r="K11" s="67" t="str">
        <ns0:f>'DIAN raw'!I11</ns0:f>
        <ns0:v>C</ns0:v>
      </ns0:c>
      <ns0:c r="L11" s="64" t="n"/>
      <ns0:c r="M11" s="64" t="n"/>
      <ns0:c r="N11" s="64" t="inlineStr">
        <ns0:is>
          <ns0:t>User gas/LNG discussion; exact selection unverified</ns0:t>
        </ns0:is>
      </ns0:c>
      <ns0:c r="O11" s="64" t="inlineStr">
        <ns0:is>
          <ns0:t>Negative display; imports vs net balance unverified</ns0:t>
        </ns0:is>
      </ns0:c>
      <ns0:c r="P11" s="64" t="inlineStr">
        <ns0:is>
          <ns0:t>2026-10-27</ns0:t>
        </ns0:is>
      </ns0:c>
      <ns0:c r="Q11" s="64" t="inlineStr">
        <ns0:is>
          <ns0:t>https://www.dian.gov.co/dian/cifras/Paginas/EstadisticasComEx.aspx</ns0:t>
        </ns0:is>
      </ns0:c>
      <ns0:c r="R11" s="64" t="inlineStr">
        <ns0:is>
          <ns0:t>Shared comparison-row status; not independently assigned by year.</ns0:t>
        </ns0:is>
      </ns0:c>
    </ns0:row>
    <ns0:row r="12" ht="44" customHeight="1">
      <ns0:c r="A12" s="74" t="n">
        <ns0:v>45809</ns0:v>
      </ns0:c>
      <ns0:c r="B12" s="75" t="n">
        <ns0:v>2025</ns0:v>
      </ns0:c>
      <ns0:c r="C12" s="75" t="n">
        <ns0:v>6</ns0:v>
      </ns0:c>
      <ns0:c r="D12" s="58" t="n">
        <ns0:f>'DIAN raw'!C12</ns0:f>
        <ns0:v>-64.75</ns0:v>
      </ns0:c>
      <ns0:c r="E12" s="58" t="n">
        <ns0:f>'DIAN raw'!F12</ns0:f>
        <ns0:v>-118.74</ns0:v>
      </ns0:c>
      <ns0:c r="F12" s="65" t="n">
        <ns0:f>ABS(D12)</ns0:f>
        <ns0:v>64.75</ns0:v>
      </ns0:c>
      <ns0:c r="G12" s="65" t="n">
        <ns0:f>ABS(E12)</ns0:f>
        <ns0:v>118.74</ns0:v>
      </ns0:c>
      <ns0:c r="H12" s="76" t="n">
        <ns0:f>F12*Settings!$B$8</ns0:f>
        <ns0:v>64750000</ns0:v>
      </ns0:c>
      <ns0:c r="I12" s="76" t="n">
        <ns0:f>G12*Settings!$B$8</ns0:f>
        <ns0:v>118740000</ns0:v>
      </ns0:c>
      <ns0:c r="J12" s="66" t="n">
        <ns0:f>IFERROR(F12/G12,"")</ns0:f>
        <ns0:v>0.5453090786592555</ns0:v>
      </ns0:c>
      <ns0:c r="K12" s="67" t="str">
        <ns0:f>'DIAN raw'!I12</ns0:f>
        <ns0:v>C</ns0:v>
      </ns0:c>
      <ns0:c r="L12" s="64" t="n"/>
      <ns0:c r="M12" s="64" t="n"/>
      <ns0:c r="N12" s="64" t="inlineStr">
        <ns0:is>
          <ns0:t>User gas/LNG discussion; exact selection unverified</ns0:t>
        </ns0:is>
      </ns0:c>
      <ns0:c r="O12" s="64" t="inlineStr">
        <ns0:is>
          <ns0:t>Negative display; imports vs net balance unverified</ns0:t>
        </ns0:is>
      </ns0:c>
      <ns0:c r="P12" s="64" t="inlineStr">
        <ns0:is>
          <ns0:t>2026-10-27</ns0:t>
        </ns0:is>
      </ns0:c>
      <ns0:c r="Q12" s="64" t="inlineStr">
        <ns0:is>
          <ns0:t>https://www.dian.gov.co/dian/cifras/Paginas/EstadisticasComEx.aspx</ns0:t>
        </ns0:is>
      </ns0:c>
      <ns0:c r="R12" s="64" t="inlineStr">
        <ns0:is>
          <ns0:t>Shared comparison-row status; not independently assigned by year.</ns0:t>
        </ns0:is>
      </ns0:c>
    </ns0:row>
    <ns0:row r="13" ht="44" customHeight="1">
      <ns0:c r="A13" s="74" t="n">
        <ns0:v>45839</ns0:v>
      </ns0:c>
      <ns0:c r="B13" s="75" t="n">
        <ns0:v>2025</ns0:v>
      </ns0:c>
      <ns0:c r="C13" s="75" t="n">
        <ns0:v>7</ns0:v>
      </ns0:c>
      <ns0:c r="D13" s="58" t="n">
        <ns0:f>'DIAN raw'!C13</ns0:f>
        <ns0:v>-91.17</ns0:v>
      </ns0:c>
      <ns0:c r="E13" s="58" t="n">
        <ns0:f>'DIAN raw'!F13</ns0:f>
        <ns0:v>-172.57</ns0:v>
      </ns0:c>
      <ns0:c r="F13" s="65" t="n">
        <ns0:f>ABS(D13)</ns0:f>
        <ns0:v>91.17</ns0:v>
      </ns0:c>
      <ns0:c r="G13" s="65" t="n">
        <ns0:f>ABS(E13)</ns0:f>
        <ns0:v>172.57</ns0:v>
      </ns0:c>
      <ns0:c r="H13" s="76" t="n">
        <ns0:f>F13*Settings!$B$8</ns0:f>
        <ns0:v>91170000</ns0:v>
      </ns0:c>
      <ns0:c r="I13" s="76" t="n">
        <ns0:f>G13*Settings!$B$8</ns0:f>
        <ns0:v>172570000</ns0:v>
      </ns0:c>
      <ns0:c r="J13" s="66" t="n">
        <ns0:f>IFERROR(F13/G13,"")</ns0:f>
        <ns0:v>0.5283073535376949</ns0:v>
      </ns0:c>
      <ns0:c r="K13" s="67" t="str">
        <ns0:f>'DIAN raw'!I13</ns0:f>
        <ns0:v>C</ns0:v>
      </ns0:c>
      <ns0:c r="L13" s="64" t="n"/>
      <ns0:c r="M13" s="64" t="n"/>
      <ns0:c r="N13" s="64" t="inlineStr">
        <ns0:is>
          <ns0:t>User gas/LNG discussion; exact selection unverified</ns0:t>
        </ns0:is>
      </ns0:c>
      <ns0:c r="O13" s="64" t="inlineStr">
        <ns0:is>
          <ns0:t>Negative display; imports vs net balance unverified</ns0:t>
        </ns0:is>
      </ns0:c>
      <ns0:c r="P13" s="64" t="inlineStr">
        <ns0:is>
          <ns0:t>2026-10-27</ns0:t>
        </ns0:is>
      </ns0:c>
      <ns0:c r="Q13" s="64" t="inlineStr">
        <ns0:is>
          <ns0:t>https://www.dian.gov.co/dian/cifras/Paginas/EstadisticasComEx.aspx</ns0:t>
        </ns0:is>
      </ns0:c>
      <ns0:c r="R13" s="64" t="inlineStr">
        <ns0:is>
          <ns0:t>Shared comparison-row status; not independently assigned by year.</ns0:t>
        </ns0:is>
      </ns0:c>
    </ns0:row>
    <ns0:row r="14" ht="44" customHeight="1">
      <ns0:c r="A14" s="74" t="n">
        <ns0:v>45870</ns0:v>
      </ns0:c>
      <ns0:c r="B14" s="75" t="n">
        <ns0:v>2025</ns0:v>
      </ns0:c>
      <ns0:c r="C14" s="75" t="n">
        <ns0:v>8</ns0:v>
      </ns0:c>
      <ns0:c r="D14" s="58" t="n">
        <ns0:f>'DIAN raw'!C14</ns0:f>
        <ns0:v>-57.4</ns0:v>
      </ns0:c>
      <ns0:c r="E14" s="58" t="n">
        <ns0:f>'DIAN raw'!F14</ns0:f>
        <ns0:v>-114.32</ns0:v>
      </ns0:c>
      <ns0:c r="F14" s="65" t="n">
        <ns0:f>ABS(D14)</ns0:f>
        <ns0:v>57.4</ns0:v>
      </ns0:c>
      <ns0:c r="G14" s="65" t="n">
        <ns0:f>ABS(E14)</ns0:f>
        <ns0:v>114.32</ns0:v>
      </ns0:c>
      <ns0:c r="H14" s="76" t="n">
        <ns0:f>F14*Settings!$B$8</ns0:f>
        <ns0:v>57400000</ns0:v>
      </ns0:c>
      <ns0:c r="I14" s="76" t="n">
        <ns0:f>G14*Settings!$B$8</ns0:f>
        <ns0:v>114320000</ns0:v>
      </ns0:c>
      <ns0:c r="J14" s="66" t="n">
        <ns0:f>IFERROR(F14/G14,"")</ns0:f>
        <ns0:v>0.5020993701889434</ns0:v>
      </ns0:c>
      <ns0:c r="K14" s="67" t="str">
        <ns0:f>'DIAN raw'!I14</ns0:f>
        <ns0:v>C</ns0:v>
      </ns0:c>
      <ns0:c r="L14" s="64" t="n"/>
      <ns0:c r="M14" s="64" t="n"/>
      <ns0:c r="N14" s="64" t="inlineStr">
        <ns0:is>
          <ns0:t>User gas/LNG discussion; exact selection unverified</ns0:t>
        </ns0:is>
      </ns0:c>
      <ns0:c r="O14" s="64" t="inlineStr">
        <ns0:is>
          <ns0:t>Negative display; imports vs net balance unverified</ns0:t>
        </ns0:is>
      </ns0:c>
      <ns0:c r="P14" s="64" t="inlineStr">
        <ns0:is>
          <ns0:t>2026-10-27</ns0:t>
        </ns0:is>
      </ns0:c>
      <ns0:c r="Q14" s="64" t="inlineStr">
        <ns0:is>
          <ns0:t>https://www.dian.gov.co/dian/cifras/Paginas/EstadisticasComEx.aspx</ns0:t>
        </ns0:is>
      </ns0:c>
      <ns0:c r="R14" s="64" t="inlineStr">
        <ns0:is>
          <ns0:t>Shared comparison-row status; not independently assigned by year.</ns0:t>
        </ns0:is>
      </ns0:c>
    </ns0:row>
    <ns0:row r="15" ht="44" customHeight="1">
      <ns0:c r="A15" s="74" t="n">
        <ns0:v>45901</ns0:v>
      </ns0:c>
      <ns0:c r="B15" s="75" t="n">
        <ns0:v>2025</ns0:v>
      </ns0:c>
      <ns0:c r="C15" s="75" t="n">
        <ns0:v>9</ns0:v>
      </ns0:c>
      <ns0:c r="D15" s="58" t="n">
        <ns0:f>'DIAN raw'!C15</ns0:f>
        <ns0:v>-67.39</ns0:v>
      </ns0:c>
      <ns0:c r="E15" s="58" t="n">
        <ns0:f>'DIAN raw'!F15</ns0:f>
        <ns0:v>-142.9</ns0:v>
      </ns0:c>
      <ns0:c r="F15" s="65" t="n">
        <ns0:f>ABS(D15)</ns0:f>
        <ns0:v>67.39</ns0:v>
      </ns0:c>
      <ns0:c r="G15" s="65" t="n">
        <ns0:f>ABS(E15)</ns0:f>
        <ns0:v>142.9</ns0:v>
      </ns0:c>
      <ns0:c r="H15" s="76" t="n">
        <ns0:f>F15*Settings!$B$8</ns0:f>
        <ns0:v>67390000</ns0:v>
      </ns0:c>
      <ns0:c r="I15" s="76" t="n">
        <ns0:f>G15*Settings!$B$8</ns0:f>
        <ns0:v>142900000</ns0:v>
      </ns0:c>
      <ns0:c r="J15" s="66" t="n">
        <ns0:f>IFERROR(F15/G15,"")</ns0:f>
        <ns0:v>0.4715885234429671</ns0:v>
      </ns0:c>
      <ns0:c r="K15" s="67" t="str">
        <ns0:f>'DIAN raw'!I15</ns0:f>
        <ns0:v>O</ns0:v>
      </ns0:c>
      <ns0:c r="L15" s="64" t="n"/>
      <ns0:c r="M15" s="64" t="n"/>
      <ns0:c r="N15" s="64" t="inlineStr">
        <ns0:is>
          <ns0:t>User gas/LNG discussion; exact selection unverified</ns0:t>
        </ns0:is>
      </ns0:c>
      <ns0:c r="O15" s="64" t="inlineStr">
        <ns0:is>
          <ns0:t>Negative display; imports vs net balance unverified</ns0:t>
        </ns0:is>
      </ns0:c>
      <ns0:c r="P15" s="64" t="inlineStr">
        <ns0:is>
          <ns0:t>2026-10-27</ns0:t>
        </ns0:is>
      </ns0:c>
      <ns0:c r="Q15" s="64" t="inlineStr">
        <ns0:is>
          <ns0:t>https://www.dian.gov.co/dian/cifras/Paginas/EstadisticasComEx.aspx</ns0:t>
        </ns0:is>
      </ns0:c>
      <ns0:c r="R15" s="64" t="inlineStr">
        <ns0:is>
          <ns0:t>Shared comparison-row status; not independently assigned by year.</ns0:t>
        </ns0:is>
      </ns0:c>
    </ns0:row>
    <ns0:row r="16" ht="44" customHeight="1">
      <ns0:c r="A16" s="74" t="n">
        <ns0:v>45931</ns0:v>
      </ns0:c>
      <ns0:c r="B16" s="75" t="n">
        <ns0:v>2025</ns0:v>
      </ns0:c>
      <ns0:c r="C16" s="75" t="n">
        <ns0:v>10</ns0:v>
      </ns0:c>
      <ns0:c r="D16" s="58" t="n">
        <ns0:f>'DIAN raw'!C16</ns0:f>
        <ns0:v>-28.43</ns0:v>
      </ns0:c>
      <ns0:c r="E16" s="58" t="n">
        <ns0:f>'DIAN raw'!F16</ns0:f>
        <ns0:v>-61.35</ns0:v>
      </ns0:c>
      <ns0:c r="F16" s="65" t="n">
        <ns0:f>ABS(D16)</ns0:f>
        <ns0:v>28.43</ns0:v>
      </ns0:c>
      <ns0:c r="G16" s="65" t="n">
        <ns0:f>ABS(E16)</ns0:f>
        <ns0:v>61.35</ns0:v>
      </ns0:c>
      <ns0:c r="H16" s="76" t="n">
        <ns0:f>F16*Settings!$B$8</ns0:f>
        <ns0:v>28430000</ns0:v>
      </ns0:c>
      <ns0:c r="I16" s="76" t="n">
        <ns0:f>G16*Settings!$B$8</ns0:f>
        <ns0:v>61350000</ns0:v>
      </ns0:c>
      <ns0:c r="J16" s="66" t="n">
        <ns0:f>IFERROR(F16/G16,"")</ns0:f>
        <ns0:v>0.46340668296658516</ns0:v>
      </ns0:c>
      <ns0:c r="K16" s="67" t="str">
        <ns0:f>'DIAN raw'!I16</ns0:f>
        <ns0:v>O</ns0:v>
      </ns0:c>
      <ns0:c r="L16" s="64" t="n"/>
      <ns0:c r="M16" s="64" t="n"/>
      <ns0:c r="N16" s="64" t="inlineStr">
        <ns0:is>
          <ns0:t>User gas/LNG discussion; exact selection unverified</ns0:t>
        </ns0:is>
      </ns0:c>
      <ns0:c r="O16" s="64" t="inlineStr">
        <ns0:is>
          <ns0:t>Negative display; imports vs net balance unverified</ns0:t>
        </ns0:is>
      </ns0:c>
      <ns0:c r="P16" s="64" t="inlineStr">
        <ns0:is>
          <ns0:t>2026-10-27</ns0:t>
        </ns0:is>
      </ns0:c>
      <ns0:c r="Q16" s="64" t="inlineStr">
        <ns0:is>
          <ns0:t>https://www.dian.gov.co/dian/cifras/Paginas/EstadisticasComEx.aspx</ns0:t>
        </ns0:is>
      </ns0:c>
      <ns0:c r="R16" s="64" t="inlineStr">
        <ns0:is>
          <ns0:t>Shared comparison-row status; not independently assigned by year.</ns0:t>
        </ns0:is>
      </ns0:c>
    </ns0:row>
    <ns0:row r="17" ht="44" customHeight="1">
      <ns0:c r="A17" s="74" t="n">
        <ns0:v>46023</ns0:v>
      </ns0:c>
      <ns0:c r="B17" s="75" t="n">
        <ns0:v>2026</ns0:v>
      </ns0:c>
      <ns0:c r="C17" s="75" t="n">
        <ns0:v>1</ns0:v>
      </ns0:c>
      <ns0:c r="D17" s="58" t="n">
        <ns0:f>'DIAN raw'!D7</ns0:f>
        <ns0:v>-68.84</ns0:v>
      </ns0:c>
      <ns0:c r="E17" s="58" t="n">
        <ns0:f>'DIAN raw'!G7</ns0:f>
        <ns0:v>-149.79</ns0:v>
      </ns0:c>
      <ns0:c r="F17" s="65" t="n">
        <ns0:f>ABS(D17)</ns0:f>
        <ns0:v>68.84</ns0:v>
      </ns0:c>
      <ns0:c r="G17" s="65" t="n">
        <ns0:f>ABS(E17)</ns0:f>
        <ns0:v>149.79</ns0:v>
      </ns0:c>
      <ns0:c r="H17" s="76" t="n">
        <ns0:f>F17*Settings!$B$8</ns0:f>
        <ns0:v>68840000</ns0:v>
      </ns0:c>
      <ns0:c r="I17" s="76" t="n">
        <ns0:f>G17*Settings!$B$8</ns0:f>
        <ns0:v>149790000</ns0:v>
      </ns0:c>
      <ns0:c r="J17" s="66" t="n">
        <ns0:f>IFERROR(F17/G17,"")</ns0:f>
        <ns0:v>0.45957674077041194</ns0:v>
      </ns0:c>
      <ns0:c r="K17" s="67" t="str">
        <ns0:f>'DIAN raw'!I7</ns0:f>
        <ns0:v>C</ns0:v>
      </ns0:c>
      <ns0:c r="L17" s="64" t="n"/>
      <ns0:c r="M17" s="64" t="n"/>
      <ns0:c r="N17" s="64" t="inlineStr">
        <ns0:is>
          <ns0:t>User gas/LNG discussion; exact selection unverified</ns0:t>
        </ns0:is>
      </ns0:c>
      <ns0:c r="O17" s="64" t="inlineStr">
        <ns0:is>
          <ns0:t>Negative display; imports vs net balance unverified</ns0:t>
        </ns0:is>
      </ns0:c>
      <ns0:c r="P17" s="64" t="inlineStr">
        <ns0:is>
          <ns0:t>2026-10-27</ns0:t>
        </ns0:is>
      </ns0:c>
      <ns0:c r="Q17" s="64" t="inlineStr">
        <ns0:is>
          <ns0:t>https://www.dian.gov.co/dian/cifras/Paginas/EstadisticasComEx.aspx</ns0:t>
        </ns0:is>
      </ns0:c>
      <ns0:c r="R17" s="64" t="inlineStr">
        <ns0:is>
          <ns0:t>Shared comparison-row status; not independently assigned by year.</ns0:t>
        </ns0:is>
      </ns0:c>
    </ns0:row>
    <ns0:row r="18" ht="44" customHeight="1">
      <ns0:c r="A18" s="74" t="n">
        <ns0:v>46054</ns0:v>
      </ns0:c>
      <ns0:c r="B18" s="75" t="n">
        <ns0:v>2026</ns0:v>
      </ns0:c>
      <ns0:c r="C18" s="75" t="n">
        <ns0:v>2</ns0:v>
      </ns0:c>
      <ns0:c r="D18" s="58" t="n">
        <ns0:f>'DIAN raw'!D8</ns0:f>
        <ns0:v>-79.94</ns0:v>
      </ns0:c>
      <ns0:c r="E18" s="58" t="n">
        <ns0:f>'DIAN raw'!G8</ns0:f>
        <ns0:v>-167.11</ns0:v>
      </ns0:c>
      <ns0:c r="F18" s="65" t="n">
        <ns0:f>ABS(D18)</ns0:f>
        <ns0:v>79.94</ns0:v>
      </ns0:c>
      <ns0:c r="G18" s="65" t="n">
        <ns0:f>ABS(E18)</ns0:f>
        <ns0:v>167.11</ns0:v>
      </ns0:c>
      <ns0:c r="H18" s="76" t="n">
        <ns0:f>F18*Settings!$B$8</ns0:f>
        <ns0:v>79940000</ns0:v>
      </ns0:c>
      <ns0:c r="I18" s="76" t="n">
        <ns0:f>G18*Settings!$B$8</ns0:f>
        <ns0:v>167110000</ns0:v>
      </ns0:c>
      <ns0:c r="J18" s="66" t="n">
        <ns0:f>IFERROR(F18/G18,"")</ns0:f>
        <ns0:v>0.4783675423373825</ns0:v>
      </ns0:c>
      <ns0:c r="K18" s="67" t="str">
        <ns0:f>'DIAN raw'!I8</ns0:f>
        <ns0:v>C</ns0:v>
      </ns0:c>
      <ns0:c r="L18" s="64" t="n"/>
      <ns0:c r="M18" s="64" t="n"/>
      <ns0:c r="N18" s="64" t="inlineStr">
        <ns0:is>
          <ns0:t>User gas/LNG discussion; exact selection unverified</ns0:t>
        </ns0:is>
      </ns0:c>
      <ns0:c r="O18" s="64" t="inlineStr">
        <ns0:is>
          <ns0:t>Negative display; imports vs net balance unverified</ns0:t>
        </ns0:is>
      </ns0:c>
      <ns0:c r="P18" s="64" t="inlineStr">
        <ns0:is>
          <ns0:t>2026-10-27</ns0:t>
        </ns0:is>
      </ns0:c>
      <ns0:c r="Q18" s="64" t="inlineStr">
        <ns0:is>
          <ns0:t>https://www.dian.gov.co/dian/cifras/Paginas/EstadisticasComEx.aspx</ns0:t>
        </ns0:is>
      </ns0:c>
      <ns0:c r="R18" s="64" t="inlineStr">
        <ns0:is>
          <ns0:t>Shared comparison-row status; not independently assigned by year.</ns0:t>
        </ns0:is>
      </ns0:c>
    </ns0:row>
    <ns0:row r="19" ht="44" customHeight="1">
      <ns0:c r="A19" s="74" t="n">
        <ns0:v>46082</ns0:v>
      </ns0:c>
      <ns0:c r="B19" s="75" t="n">
        <ns0:v>2026</ns0:v>
      </ns0:c>
      <ns0:c r="C19" s="75" t="n">
        <ns0:v>3</ns0:v>
      </ns0:c>
      <ns0:c r="D19" s="58" t="n">
        <ns0:f>'DIAN raw'!D9</ns0:f>
        <ns0:v>-77.95</ns0:v>
      </ns0:c>
      <ns0:c r="E19" s="58" t="n">
        <ns0:f>'DIAN raw'!G9</ns0:f>
        <ns0:v>-155.46</ns0:v>
      </ns0:c>
      <ns0:c r="F19" s="65" t="n">
        <ns0:f>ABS(D19)</ns0:f>
        <ns0:v>77.95</ns0:v>
      </ns0:c>
      <ns0:c r="G19" s="65" t="n">
        <ns0:f>ABS(E19)</ns0:f>
        <ns0:v>155.46</ns0:v>
      </ns0:c>
      <ns0:c r="H19" s="76" t="n">
        <ns0:f>F19*Settings!$B$8</ns0:f>
        <ns0:v>77950000</ns0:v>
      </ns0:c>
      <ns0:c r="I19" s="76" t="n">
        <ns0:f>G19*Settings!$B$8</ns0:f>
        <ns0:v>155460000</ns0:v>
      </ns0:c>
      <ns0:c r="J19" s="66" t="n">
        <ns0:f>IFERROR(F19/G19,"")</ns0:f>
        <ns0:v>0.5014151550238003</ns0:v>
      </ns0:c>
      <ns0:c r="K19" s="67" t="str">
        <ns0:f>'DIAN raw'!I9</ns0:f>
        <ns0:v>C</ns0:v>
      </ns0:c>
      <ns0:c r="L19" s="64" t="n"/>
      <ns0:c r="M19" s="64" t="n"/>
      <ns0:c r="N19" s="64" t="inlineStr">
        <ns0:is>
          <ns0:t>User gas/LNG discussion; exact selection unverified</ns0:t>
        </ns0:is>
      </ns0:c>
      <ns0:c r="O19" s="64" t="inlineStr">
        <ns0:is>
          <ns0:t>Negative display; imports vs net balance unverified</ns0:t>
        </ns0:is>
      </ns0:c>
      <ns0:c r="P19" s="64" t="inlineStr">
        <ns0:is>
          <ns0:t>2026-10-27</ns0:t>
        </ns0:is>
      </ns0:c>
      <ns0:c r="Q19" s="64" t="inlineStr">
        <ns0:is>
          <ns0:t>https://www.dian.gov.co/dian/cifras/Paginas/EstadisticasComEx.aspx</ns0:t>
        </ns0:is>
      </ns0:c>
      <ns0:c r="R19" s="64" t="inlineStr">
        <ns0:is>
          <ns0:t>Shared comparison-row status; not independently assigned by year.</ns0:t>
        </ns0:is>
      </ns0:c>
    </ns0:row>
    <ns0:row r="20" ht="44" customHeight="1">
      <ns0:c r="A20" s="74" t="n">
        <ns0:v>46113</ns0:v>
      </ns0:c>
      <ns0:c r="B20" s="75" t="n">
        <ns0:v>2026</ns0:v>
      </ns0:c>
      <ns0:c r="C20" s="75" t="n">
        <ns0:v>4</ns0:v>
      </ns0:c>
      <ns0:c r="D20" s="58" t="n">
        <ns0:f>'DIAN raw'!D10</ns0:f>
        <ns0:v>-120.08</ns0:v>
      </ns0:c>
      <ns0:c r="E20" s="58" t="n">
        <ns0:f>'DIAN raw'!G10</ns0:f>
        <ns0:v>-184.91</ns0:v>
      </ns0:c>
      <ns0:c r="F20" s="65" t="n">
        <ns0:f>ABS(D20)</ns0:f>
        <ns0:v>120.08</ns0:v>
      </ns0:c>
      <ns0:c r="G20" s="65" t="n">
        <ns0:f>ABS(E20)</ns0:f>
        <ns0:v>184.91</ns0:v>
      </ns0:c>
      <ns0:c r="H20" s="76" t="n">
        <ns0:f>F20*Settings!$B$8</ns0:f>
        <ns0:v>120080000</ns0:v>
      </ns0:c>
      <ns0:c r="I20" s="76" t="n">
        <ns0:f>G20*Settings!$B$8</ns0:f>
        <ns0:v>184910000</ns0:v>
      </ns0:c>
      <ns0:c r="J20" s="66" t="n">
        <ns0:f>IFERROR(F20/G20,"")</ns0:f>
        <ns0:v>0.6493970039478665</ns0:v>
      </ns0:c>
      <ns0:c r="K20" s="67" t="str">
        <ns0:f>'DIAN raw'!I10</ns0:f>
        <ns0:v>C</ns0:v>
      </ns0:c>
      <ns0:c r="L20" s="64" t="n"/>
      <ns0:c r="M20" s="64" t="n"/>
      <ns0:c r="N20" s="64" t="inlineStr">
        <ns0:is>
          <ns0:t>User gas/LNG discussion; exact selection unverified</ns0:t>
        </ns0:is>
      </ns0:c>
      <ns0:c r="O20" s="64" t="inlineStr">
        <ns0:is>
          <ns0:t>Negative display; imports vs net balance unverified</ns0:t>
        </ns0:is>
      </ns0:c>
      <ns0:c r="P20" s="64" t="inlineStr">
        <ns0:is>
          <ns0:t>2026-10-27</ns0:t>
        </ns0:is>
      </ns0:c>
      <ns0:c r="Q20" s="64" t="inlineStr">
        <ns0:is>
          <ns0:t>https://www.dian.gov.co/dian/cifras/Paginas/EstadisticasComEx.aspx</ns0:t>
        </ns0:is>
      </ns0:c>
      <ns0:c r="R20" s="64" t="inlineStr">
        <ns0:is>
          <ns0:t>Shared comparison-row status; not independently assigned by year.</ns0:t>
        </ns0:is>
      </ns0:c>
    </ns0:row>
    <ns0:row r="21" ht="44" customHeight="1">
      <ns0:c r="A21" s="74" t="n">
        <ns0:v>46143</ns0:v>
      </ns0:c>
      <ns0:c r="B21" s="75" t="n">
        <ns0:v>2026</ns0:v>
      </ns0:c>
      <ns0:c r="C21" s="75" t="n">
        <ns0:v>5</ns0:v>
      </ns0:c>
      <ns0:c r="D21" s="58" t="n">
        <ns0:f>'DIAN raw'!D11</ns0:f>
        <ns0:v>-144.8</ns0:v>
      </ns0:c>
      <ns0:c r="E21" s="58" t="n">
        <ns0:f>'DIAN raw'!G11</ns0:f>
        <ns0:v>-224.59</ns0:v>
      </ns0:c>
      <ns0:c r="F21" s="65" t="n">
        <ns0:f>ABS(D21)</ns0:f>
        <ns0:v>144.8</ns0:v>
      </ns0:c>
      <ns0:c r="G21" s="65" t="n">
        <ns0:f>ABS(E21)</ns0:f>
        <ns0:v>224.59</ns0:v>
      </ns0:c>
      <ns0:c r="H21" s="76" t="n">
        <ns0:f>F21*Settings!$B$8</ns0:f>
        <ns0:v>144800000</ns0:v>
      </ns0:c>
      <ns0:c r="I21" s="76" t="n">
        <ns0:f>G21*Settings!$B$8</ns0:f>
        <ns0:v>224590000</ns0:v>
      </ns0:c>
      <ns0:c r="J21" s="66" t="n">
        <ns0:f>IFERROR(F21/G21,"")</ns0:f>
        <ns0:v>0.644730397613429</ns0:v>
      </ns0:c>
      <ns0:c r="K21" s="67" t="str">
        <ns0:f>'DIAN raw'!I11</ns0:f>
        <ns0:v>C</ns0:v>
      </ns0:c>
      <ns0:c r="L21" s="64" t="n"/>
      <ns0:c r="M21" s="64" t="n"/>
      <ns0:c r="N21" s="64" t="inlineStr">
        <ns0:is>
          <ns0:t>User gas/LNG discussion; exact selection unverified</ns0:t>
        </ns0:is>
      </ns0:c>
      <ns0:c r="O21" s="64" t="inlineStr">
        <ns0:is>
          <ns0:t>Negative display; imports vs net balance unverified</ns0:t>
        </ns0:is>
      </ns0:c>
      <ns0:c r="P21" s="64" t="inlineStr">
        <ns0:is>
          <ns0:t>2026-10-27</ns0:t>
        </ns0:is>
      </ns0:c>
      <ns0:c r="Q21" s="64" t="inlineStr">
        <ns0:is>
          <ns0:t>https://www.dian.gov.co/dian/cifras/Paginas/EstadisticasComEx.aspx</ns0:t>
        </ns0:is>
      </ns0:c>
      <ns0:c r="R21" s="64" t="inlineStr">
        <ns0:is>
          <ns0:t>Shared comparison-row status; not independently assigned by year.</ns0:t>
        </ns0:is>
      </ns0:c>
    </ns0:row>
    <ns0:row r="22" ht="44" customHeight="1">
      <ns0:c r="A22" s="74" t="n">
        <ns0:v>46174</ns0:v>
      </ns0:c>
      <ns0:c r="B22" s="75" t="n">
        <ns0:v>2026</ns0:v>
      </ns0:c>
      <ns0:c r="C22" s="75" t="n">
        <ns0:v>6</ns0:v>
      </ns0:c>
      <ns0:c r="D22" s="58" t="n">
        <ns0:f>'DIAN raw'!D12</ns0:f>
        <ns0:v>-126.88</ns0:v>
      </ns0:c>
      <ns0:c r="E22" s="58" t="n">
        <ns0:f>'DIAN raw'!G12</ns0:f>
        <ns0:v>-172.54</ns0:v>
      </ns0:c>
      <ns0:c r="F22" s="65" t="n">
        <ns0:f>ABS(D22)</ns0:f>
        <ns0:v>126.88</ns0:v>
      </ns0:c>
      <ns0:c r="G22" s="65" t="n">
        <ns0:f>ABS(E22)</ns0:f>
        <ns0:v>172.54</ns0:v>
      </ns0:c>
      <ns0:c r="H22" s="76" t="n">
        <ns0:f>F22*Settings!$B$8</ns0:f>
        <ns0:v>126880000</ns0:v>
      </ns0:c>
      <ns0:c r="I22" s="76" t="n">
        <ns0:f>G22*Settings!$B$8</ns0:f>
        <ns0:v>172540000</ns0:v>
      </ns0:c>
      <ns0:c r="J22" s="66" t="n">
        <ns0:f>IFERROR(F22/G22,"")</ns0:f>
        <ns0:v>0.7353657122985975</ns0:v>
      </ns0:c>
      <ns0:c r="K22" s="67" t="str">
        <ns0:f>'DIAN raw'!I12</ns0:f>
        <ns0:v>C</ns0:v>
      </ns0:c>
      <ns0:c r="L22" s="64" t="n"/>
      <ns0:c r="M22" s="64" t="n"/>
      <ns0:c r="N22" s="64" t="inlineStr">
        <ns0:is>
          <ns0:t>User gas/LNG discussion; exact selection unverified</ns0:t>
        </ns0:is>
      </ns0:c>
      <ns0:c r="O22" s="64" t="inlineStr">
        <ns0:is>
          <ns0:t>Negative display; imports vs net balance unverified</ns0:t>
        </ns0:is>
      </ns0:c>
      <ns0:c r="P22" s="64" t="inlineStr">
        <ns0:is>
          <ns0:t>2026-10-27</ns0:t>
        </ns0:is>
      </ns0:c>
      <ns0:c r="Q22" s="64" t="inlineStr">
        <ns0:is>
          <ns0:t>https://www.dian.gov.co/dian/cifras/Paginas/EstadisticasComEx.aspx</ns0:t>
        </ns0:is>
      </ns0:c>
      <ns0:c r="R22" s="64" t="inlineStr">
        <ns0:is>
          <ns0:t>Shared comparison-row status; not independently assigned by year.</ns0:t>
        </ns0:is>
      </ns0:c>
    </ns0:row>
    <ns0:row r="23" ht="44" customHeight="1">
      <ns0:c r="A23" s="74" t="n">
        <ns0:v>46204</ns0:v>
      </ns0:c>
      <ns0:c r="B23" s="75" t="n">
        <ns0:v>2026</ns0:v>
      </ns0:c>
      <ns0:c r="C23" s="75" t="n">
        <ns0:v>7</ns0:v>
      </ns0:c>
      <ns0:c r="D23" s="58" t="n">
        <ns0:f>'DIAN raw'!D13</ns0:f>
        <ns0:v>-203.21</ns0:v>
      </ns0:c>
      <ns0:c r="E23" s="58" t="n">
        <ns0:f>'DIAN raw'!G13</ns0:f>
        <ns0:v>-294.84</ns0:v>
      </ns0:c>
      <ns0:c r="F23" s="65" t="n">
        <ns0:f>ABS(D23)</ns0:f>
        <ns0:v>203.21</ns0:v>
      </ns0:c>
      <ns0:c r="G23" s="65" t="n">
        <ns0:f>ABS(E23)</ns0:f>
        <ns0:v>294.84</ns0:v>
      </ns0:c>
      <ns0:c r="H23" s="76" t="n">
        <ns0:f>F23*Settings!$B$8</ns0:f>
        <ns0:v>203210000</ns0:v>
      </ns0:c>
      <ns0:c r="I23" s="76" t="n">
        <ns0:f>G23*Settings!$B$8</ns0:f>
        <ns0:v>294840000</ns0:v>
      </ns0:c>
      <ns0:c r="J23" s="66" t="n">
        <ns0:f>IFERROR(F23/G23,"")</ns0:f>
        <ns0:v>0.689221272554606</ns0:v>
      </ns0:c>
      <ns0:c r="K23" s="67" t="str">
        <ns0:f>'DIAN raw'!I13</ns0:f>
        <ns0:v>C</ns0:v>
      </ns0:c>
      <ns0:c r="L23" s="64" t="n"/>
      <ns0:c r="M23" s="64" t="n"/>
      <ns0:c r="N23" s="64" t="inlineStr">
        <ns0:is>
          <ns0:t>User gas/LNG discussion; exact selection unverified</ns0:t>
        </ns0:is>
      </ns0:c>
      <ns0:c r="O23" s="64" t="inlineStr">
        <ns0:is>
          <ns0:t>Negative display; imports vs net balance unverified</ns0:t>
        </ns0:is>
      </ns0:c>
      <ns0:c r="P23" s="64" t="inlineStr">
        <ns0:is>
          <ns0:t>2026-10-27</ns0:t>
        </ns0:is>
      </ns0:c>
      <ns0:c r="Q23" s="64" t="inlineStr">
        <ns0:is>
          <ns0:t>https://www.dian.gov.co/dian/cifras/Paginas/EstadisticasComEx.aspx</ns0:t>
        </ns0:is>
      </ns0:c>
      <ns0:c r="R23" s="64" t="inlineStr">
        <ns0:is>
          <ns0:t>Shared comparison-row status; not independently assigned by year.</ns0:t>
        </ns0:is>
      </ns0:c>
    </ns0:row>
    <ns0:row r="24" ht="44" customHeight="1">
      <ns0:c r="A24" s="74" t="n">
        <ns0:v>46235</ns0:v>
      </ns0:c>
      <ns0:c r="B24" s="75" t="n">
        <ns0:v>2026</ns0:v>
      </ns0:c>
      <ns0:c r="C24" s="75" t="n">
        <ns0:v>8</ns0:v>
      </ns0:c>
      <ns0:c r="D24" s="58" t="n">
        <ns0:f>'DIAN raw'!D14</ns0:f>
        <ns0:v>-202.81</ns0:v>
      </ns0:c>
      <ns0:c r="E24" s="58" t="n">
        <ns0:f>'DIAN raw'!G14</ns0:f>
        <ns0:v>-230.35</ns0:v>
      </ns0:c>
      <ns0:c r="F24" s="65" t="n">
        <ns0:f>ABS(D24)</ns0:f>
        <ns0:v>202.81</ns0:v>
      </ns0:c>
      <ns0:c r="G24" s="65" t="n">
        <ns0:f>ABS(E24)</ns0:f>
        <ns0:v>230.35</ns0:v>
      </ns0:c>
      <ns0:c r="H24" s="76" t="n">
        <ns0:f>F24*Settings!$B$8</ns0:f>
        <ns0:v>202810000</ns0:v>
      </ns0:c>
      <ns0:c r="I24" s="76" t="n">
        <ns0:f>G24*Settings!$B$8</ns0:f>
        <ns0:v>230350000</ns0:v>
      </ns0:c>
      <ns0:c r="J24" s="66" t="n">
        <ns0:f>IFERROR(F24/G24,"")</ns0:f>
        <ns0:v>0.8804428044280443</ns0:v>
      </ns0:c>
      <ns0:c r="K24" s="67" t="str">
        <ns0:f>'DIAN raw'!I14</ns0:f>
        <ns0:v>C</ns0:v>
      </ns0:c>
      <ns0:c r="L24" s="64" t="n"/>
      <ns0:c r="M24" s="64" t="n"/>
      <ns0:c r="N24" s="64" t="inlineStr">
        <ns0:is>
          <ns0:t>User gas/LNG discussion; exact selection unverified</ns0:t>
        </ns0:is>
      </ns0:c>
      <ns0:c r="O24" s="64" t="inlineStr">
        <ns0:is>
          <ns0:t>Negative display; imports vs net balance unverified</ns0:t>
        </ns0:is>
      </ns0:c>
      <ns0:c r="P24" s="64" t="inlineStr">
        <ns0:is>
          <ns0:t>2026-10-27</ns0:t>
        </ns0:is>
      </ns0:c>
      <ns0:c r="Q24" s="64" t="inlineStr">
        <ns0:is>
          <ns0:t>https://www.dian.gov.co/dian/cifras/Paginas/EstadisticasComEx.aspx</ns0:t>
        </ns0:is>
      </ns0:c>
      <ns0:c r="R24" s="64" t="inlineStr">
        <ns0:is>
          <ns0:t>Shared comparison-row status; not independently assigned by year.</ns0:t>
        </ns0:is>
      </ns0:c>
    </ns0:row>
    <ns0:row r="25" ht="44" customHeight="1">
      <ns0:c r="A25" s="74" t="n">
        <ns0:v>46266</ns0:v>
      </ns0:c>
      <ns0:c r="B25" s="75" t="n">
        <ns0:v>2026</ns0:v>
      </ns0:c>
      <ns0:c r="C25" s="75" t="n">
        <ns0:v>9</ns0:v>
      </ns0:c>
      <ns0:c r="D25" s="58" t="n">
        <ns0:f>'DIAN raw'!D15</ns0:f>
        <ns0:v>-338.57</ns0:v>
      </ns0:c>
      <ns0:c r="E25" s="58" t="n">
        <ns0:f>'DIAN raw'!G15</ns0:f>
        <ns0:v>-320.91</ns0:v>
      </ns0:c>
      <ns0:c r="F25" s="65" t="n">
        <ns0:f>ABS(D25)</ns0:f>
        <ns0:v>338.57</ns0:v>
      </ns0:c>
      <ns0:c r="G25" s="65" t="n">
        <ns0:f>ABS(E25)</ns0:f>
        <ns0:v>320.91</ns0:v>
      </ns0:c>
      <ns0:c r="H25" s="76" t="n">
        <ns0:f>F25*Settings!$B$8</ns0:f>
        <ns0:v>338570000</ns0:v>
      </ns0:c>
      <ns0:c r="I25" s="76" t="n">
        <ns0:f>G25*Settings!$B$8</ns0:f>
        <ns0:v>320910000</ns0:v>
      </ns0:c>
      <ns0:c r="J25" s="66" t="n">
        <ns0:f>IFERROR(F25/G25,"")</ns0:f>
        <ns0:v>1.0550310055778878</ns0:v>
      </ns0:c>
      <ns0:c r="K25" s="67" t="str">
        <ns0:f>'DIAN raw'!I15</ns0:f>
        <ns0:v>O</ns0:v>
      </ns0:c>
      <ns0:c r="L25" s="64" t="n"/>
      <ns0:c r="M25" s="64" t="n"/>
      <ns0:c r="N25" s="64" t="inlineStr">
        <ns0:is>
          <ns0:t>User gas/LNG discussion; exact selection unverified</ns0:t>
        </ns0:is>
      </ns0:c>
      <ns0:c r="O25" s="64" t="inlineStr">
        <ns0:is>
          <ns0:t>Negative display; imports vs net balance unverified</ns0:t>
        </ns0:is>
      </ns0:c>
      <ns0:c r="P25" s="64" t="inlineStr">
        <ns0:is>
          <ns0:t>2026-10-27</ns0:t>
        </ns0:is>
      </ns0:c>
      <ns0:c r="Q25" s="64" t="inlineStr">
        <ns0:is>
          <ns0:t>https://www.dian.gov.co/dian/cifras/Paginas/EstadisticasComEx.aspx</ns0:t>
        </ns0:is>
      </ns0:c>
      <ns0:c r="R25" s="64" t="inlineStr">
        <ns0:is>
          <ns0:t>Shared comparison-row status; not independently assigned by year.</ns0:t>
        </ns0:is>
      </ns0:c>
    </ns0:row>
    <ns0:row r="26" ht="44" customHeight="1">
      <ns0:c r="A26" s="74" t="n">
        <ns0:v>46296</ns0:v>
      </ns0:c>
      <ns0:c r="B26" s="75" t="n">
        <ns0:v>2026</ns0:v>
      </ns0:c>
      <ns0:c r="C26" s="75" t="n">
        <ns0:v>10</ns0:v>
      </ns0:c>
      <ns0:c r="D26" s="58" t="n">
        <ns0:f>'DIAN raw'!D16</ns0:f>
        <ns0:v>-190.17</ns0:v>
      </ns0:c>
      <ns0:c r="E26" s="58" t="n">
        <ns0:f>'DIAN raw'!G16</ns0:f>
        <ns0:v>-173.95</ns0:v>
      </ns0:c>
      <ns0:c r="F26" s="65" t="n">
        <ns0:f>ABS(D26)</ns0:f>
        <ns0:v>190.17</ns0:v>
      </ns0:c>
      <ns0:c r="G26" s="65" t="n">
        <ns0:f>ABS(E26)</ns0:f>
        <ns0:v>173.95</ns0:v>
      </ns0:c>
      <ns0:c r="H26" s="76" t="n">
        <ns0:f>F26*Settings!$B$8</ns0:f>
        <ns0:v>190170000</ns0:v>
      </ns0:c>
      <ns0:c r="I26" s="76" t="n">
        <ns0:f>G26*Settings!$B$8</ns0:f>
        <ns0:v>173950000</ns0:v>
      </ns0:c>
      <ns0:c r="J26" s="66" t="n">
        <ns0:f>IFERROR(F26/G26,"")</ns0:f>
        <ns0:v>1.093245185398103</ns0:v>
      </ns0:c>
      <ns0:c r="K26" s="67" t="str">
        <ns0:f>'DIAN raw'!I16</ns0:f>
        <ns0:v>O</ns0:v>
      </ns0:c>
      <ns0:c r="L26" s="64" t="n"/>
      <ns0:c r="M26" s="64" t="n"/>
      <ns0:c r="N26" s="64" t="inlineStr">
        <ns0:is>
          <ns0:t>User gas/LNG discussion; exact selection unverified</ns0:t>
        </ns0:is>
      </ns0:c>
      <ns0:c r="O26" s="64" t="inlineStr">
        <ns0:is>
          <ns0:t>Negative display; imports vs net balance unverified</ns0:t>
        </ns0:is>
      </ns0:c>
      <ns0:c r="P26" s="64" t="inlineStr">
        <ns0:is>
          <ns0:t>2026-10-27</ns0:t>
        </ns0:is>
      </ns0:c>
      <ns0:c r="Q26" s="64" t="inlineStr">
        <ns0:is>
          <ns0:t>https://www.dian.gov.co/dian/cifras/Paginas/EstadisticasComEx.aspx</ns0:t>
        </ns0:is>
      </ns0:c>
      <ns0:c r="R26" s="64" t="inlineStr">
        <ns0:is>
          <ns0:t>Shared comparison-row status; not independently assigned by year. Current-month partial; cutoff unknown.</ns0:t>
        </ns0:is>
      </ns0:c>
    </ns0:row>
  </ns0:sheetData>
  <ns0:mergeCells count="2">
    <ns0:mergeCell ref="A1:R1"/>
    <ns0:mergeCell ref="A2:R3"/>
  </ns0:mergeCells>
  <ns0:pageMargins left="0.75" right="0.75" top="1" bottom="1" header="0.5" footer="0.5"/>
  <ns0:pageSetup orientation="landscape" paperSize="8" fitToHeight="0" fitToWidth="1"/>
  <ns0:tableParts count="1">
    <ns0:tablePart ns1:id="rId1"/>
  </ns0:tableParts>
</ns0:worksheet>
</file>

<file path=xl/worksheets/sheet6.xml><?xml version="1.0" encoding="utf-8"?>
<ns0:worksheet xmlns:ns0="http://schemas.openxmlformats.org/spreadsheetml/2006/main" xmlns:ns1="http://schemas.openxmlformats.org/officeDocument/2006/relationships">
  <ns0:sheetPr>
    <ns0:outlinePr summaryBelow="1" summaryRight="1"/>
    <ns0:pageSetUpPr fitToPage="1"/>
  </ns0:sheetPr>
  <ns0:dimension ref="A1:P29"/>
  <ns0:sheetViews>
    <ns0:sheetView showGridLines="0" workbookViewId="0">
      <ns0:pane xSplit="1" ySplit="6" topLeftCell="B7" activePane="bottomRight" state="frozen"/>
      <ns0:selection pane="topRight"/>
      <ns0:selection pane="bottomLeft"/>
      <ns0:selection pane="bottomRight" activeCell="A1" sqref="A1"/>
    </ns0:sheetView>
  </ns0:sheetViews>
  <ns0:sheetFormatPr baseColWidth="8" defaultRowHeight="15"/>
  <ns0:cols>
    <ns0:col width="25" customWidth="1" min="1" max="1"/>
    <ns0:col width="17" customWidth="1" min="2" max="2"/>
    <ns0:col width="17" customWidth="1" min="3" max="3"/>
    <ns0:col width="16" customWidth="1" min="4" max="4"/>
    <ns0:col width="14" customWidth="1" min="5" max="5"/>
    <ns0:col width="18" customWidth="1" min="6" max="6"/>
    <ns0:col width="18" customWidth="1" min="7" max="7"/>
    <ns0:col width="14" customWidth="1" min="8" max="8"/>
    <ns0:col width="18" customWidth="1" min="9" max="9"/>
    <ns0:col width="18" customWidth="1" min="10" max="10"/>
    <ns0:col width="14" customWidth="1" min="11" max="11"/>
    <ns0:col width="20" customWidth="1" min="12" max="12"/>
    <ns0:col width="20" customWidth="1" min="13" max="13"/>
    <ns0:col width="17" customWidth="1" min="14" max="14"/>
    <ns0:col width="18" customWidth="1" min="15" max="15"/>
    <ns0:col width="40" customWidth="1" min="16" max="16"/>
  </ns0:cols>
  <ns0:sheetData>
    <ns0:row r="1" ht="39" customHeight="1">
      <ns0:c r="A1" s="50" t="inlineStr">
        <ns0:is>
          <ns0:t>PERIOD ANALYSIS | MATCHED MONTHS</ns0:t>
        </ns0:is>
      </ns0:c>
    </ns0:row>
    <ns0:row r="2" ht="23" customHeight="1">
      <ns0:c r="A2" s="51" t="inlineStr">
        <ns0:is>
          <ns0:t>January-August is the C-labelled core. Later periods include O-labelled rows and October is incomplete. Arithmetic decompositions are conditional on the series representing comparable gross imports.</ns0:t>
        </ns0:is>
      </ns0:c>
    </ns0:row>
    <ns0:row r="3" ht="23" customHeight="1"/>
    <ns0:row r="6" ht="42" customHeight="1">
      <ns0:c r="A6" s="56" t="inlineStr">
        <ns0:is>
          <ns0:t>Period</ns0:t>
        </ns0:is>
      </ns0:c>
      <ns0:c r="B6" s="57" t="inlineStr">
        <ns0:is>
          <ns0:t>FOB 2025 (USD m)</ns0:t>
        </ns0:is>
      </ns0:c>
      <ns0:c r="C6" s="57" t="inlineStr">
        <ns0:is>
          <ns0:t>FOB 2026 (USD m)</ns0:t>
        </ns0:is>
      </ns0:c>
      <ns0:c r="D6" s="57" t="inlineStr">
        <ns0:is>
          <ns0:t>Increase (USD m)</ns0:t>
        </ns0:is>
      </ns0:c>
      <ns0:c r="E6" s="57" t="inlineStr">
        <ns0:is>
          <ns0:t>FOB YoY</ns0:t>
        </ns0:is>
      </ns0:c>
      <ns0:c r="F6" s="57" t="inlineStr">
        <ns0:is>
          <ns0:t>Weight 2025 (m kg)</ns0:t>
        </ns0:is>
      </ns0:c>
      <ns0:c r="G6" s="57" t="inlineStr">
        <ns0:is>
          <ns0:t>Weight 2026 (m kg)</ns0:t>
        </ns0:is>
      </ns0:c>
      <ns0:c r="H6" s="57" t="inlineStr">
        <ns0:is>
          <ns0:t>Weight YoY</ns0:t>
        </ns0:is>
      </ns0:c>
      <ns0:c r="I6" s="57" t="inlineStr">
        <ns0:is>
          <ns0:t>FOB/weight 2025 (USD/kg)</ns0:t>
        </ns0:is>
      </ns0:c>
      <ns0:c r="J6" s="57" t="inlineStr">
        <ns0:is>
          <ns0:t>FOB/weight 2026 (USD/kg)</ns0:t>
        </ns0:is>
      </ns0:c>
      <ns0:c r="K6" s="57" t="inlineStr">
        <ns0:is>
          <ns0:t>Ratio YoY</ns0:t>
        </ns0:is>
      </ns0:c>
      <ns0:c r="L6" s="57" t="inlineStr">
        <ns0:is>
          <ns0:t>Weight effect at 2025 ratio (USD m)</ns0:t>
        </ns0:is>
      </ns0:c>
      <ns0:c r="M6" s="57" t="inlineStr">
        <ns0:is>
          <ns0:t>Ratio effect at 2026 weight (USD m)</ns0:t>
        </ns0:is>
      </ns0:c>
      <ns0:c r="N6" s="57" t="inlineStr">
        <ns0:is>
          <ns0:t>Effect sum check</ns0:t>
        </ns0:is>
      </ns0:c>
      <ns0:c r="O6" s="57" t="inlineStr">
        <ns0:is>
          <ns0:t>Weight share of increase</ns0:t>
        </ns0:is>
      </ns0:c>
      <ns0:c r="P6" s="57" t="inlineStr">
        <ns0:is>
          <ns0:t>Coverage / interpretation</ns0:t>
        </ns0:is>
      </ns0:c>
    </ns0:row>
    <ns0:row r="7" ht="52" customHeight="1">
      <ns0:c r="A7" s="64" t="inlineStr">
        <ns0:is>
          <ns0:t>Jan-Aug (C core)</ns0:t>
        </ns0:is>
      </ns0:c>
      <ns0:c r="B7" s="58" t="n">
        <ns0:f>SUM('Monthly comparison'!B7:B14)</ns0:f>
        <ns0:v>580.9499999999999</ns0:v>
      </ns0:c>
      <ns0:c r="C7" s="58" t="n">
        <ns0:f>SUM('Monthly comparison'!C7:C14)</ns0:f>
        <ns0:v>1024.51</ns0:v>
      </ns0:c>
      <ns0:c r="D7" s="65" t="n">
        <ns0:f>C7-B7</ns0:f>
        <ns0:v>443.56000000000006</ns0:v>
      </ns0:c>
      <ns0:c r="E7" s="25" t="n">
        <ns0:f>IFERROR(C7/B7-1,"")</ns0:f>
        <ns0:v>0.763508047164128</ns0:v>
      </ns0:c>
      <ns0:c r="F7" s="58" t="n">
        <ns0:f>SUM('Monthly comparison'!F7:F14)</ns0:f>
        <ns0:v>1019.2</ns0:v>
      </ns0:c>
      <ns0:c r="G7" s="58" t="n">
        <ns0:f>SUM('Monthly comparison'!G7:G14)</ns0:f>
        <ns0:v>1579.59</ns0:v>
      </ns0:c>
      <ns0:c r="H7" s="25" t="n">
        <ns0:f>IFERROR(G7/F7-1,"")</ns0:f>
        <ns0:v>0.5498332025117738</ns0:v>
      </ns0:c>
      <ns0:c r="I7" s="66" t="n">
        <ns0:f>IFERROR(B7/F7,"")</ns0:f>
        <ns0:v>0.5700058869701726</ns0:v>
      </ns0:c>
      <ns0:c r="J7" s="66" t="n">
        <ns0:f>IFERROR(C7/G7,"")</ns0:f>
        <ns0:v>0.6485923562443419</ns0:v>
      </ns0:c>
      <ns0:c r="K7" s="25" t="n">
        <ns0:f>IFERROR(J7/I7-1,"")</ns0:f>
        <ns0:v>0.13786957480718365</ns0:v>
      </ns0:c>
      <ns0:c r="L7" s="65" t="n">
        <ns0:f>(G7-F7)*I7</ns0:f>
        <ns0:v>319.42559899921497</ns0:v>
      </ns0:c>
      <ns0:c r="M7" s="65" t="n">
        <ns0:f>(J7-I7)*G7</ns0:f>
        <ns0:v>124.13440100078498</ns0:v>
      </ns0:c>
      <ns0:c r="N7" s="65" t="n">
        <ns0:f>SUM(L7:M7)-D7</ns0:f>
        <ns0:v>-1.1368683772161603e-13</ns0:v>
      </ns0:c>
      <ns0:c r="O7" s="25" t="n">
        <ns0:f>IFERROR(L7/D7,"")</ns0:f>
        <ns0:v>0.7201406776968503</ns0:v>
      </ns0:c>
      <ns0:c r="P7" s="64" t="inlineStr">
        <ns0:is>
          <ns0:t>Eight C-labelled rows; main comparison.</ns0:t>
        </ns0:is>
      </ns0:c>
    </ns0:row>
    <ns0:row r="8" ht="52" customHeight="1">
      <ns0:c r="A8" s="64" t="inlineStr">
        <ns0:is>
          <ns0:t>Jan-Jun (C)</ns0:t>
        </ns0:is>
      </ns0:c>
      <ns0:c r="B8" s="58" t="n">
        <ns0:f>SUM('Monthly comparison'!B7:B12)</ns0:f>
        <ns0:v>432.38</ns0:v>
      </ns0:c>
      <ns0:c r="C8" s="58" t="n">
        <ns0:f>SUM('Monthly comparison'!C7:C12)</ns0:f>
        <ns0:v>618.49</ns0:v>
      </ns0:c>
      <ns0:c r="D8" s="65" t="n">
        <ns0:f>C8-B8</ns0:f>
        <ns0:v>186.11</ns0:v>
      </ns0:c>
      <ns0:c r="E8" s="25" t="n">
        <ns0:f>IFERROR(C8/B8-1,"")</ns0:f>
        <ns0:v>0.43043156482723544</ns0:v>
      </ns0:c>
      <ns0:c r="F8" s="58" t="n">
        <ns0:f>SUM('Monthly comparison'!F7:F12)</ns0:f>
        <ns0:v>732.3100000000001</ns0:v>
      </ns0:c>
      <ns0:c r="G8" s="58" t="n">
        <ns0:f>SUM('Monthly comparison'!G7:G12)</ns0:f>
        <ns0:v>1054.4</ns0:v>
      </ns0:c>
      <ns0:c r="H8" s="25" t="n">
        <ns0:f>IFERROR(G8/F8-1,"")</ns0:f>
        <ns0:v>0.43982739550190497</ns0:v>
      </ns0:c>
      <ns0:c r="I8" s="66" t="n">
        <ns0:f>IFERROR(B8/F8,"")</ns0:f>
        <ns0:v>0.5904330133413445</ns0:v>
      </ns0:c>
      <ns0:c r="J8" s="66" t="n">
        <ns0:f>IFERROR(C8/G8,"")</ns0:f>
        <ns0:v>0.5865800455235205</ns0:v>
      </ns0:c>
      <ns0:c r="K8" s="25" t="n">
        <ns0:f>IFERROR(J8/I8-1,"")</ns0:f>
        <ns0:v>-0.006525664606759518</ns0:v>
      </ns0:c>
      <ns0:c r="L8" s="65" t="n">
        <ns0:f>(G8-F8)*I8</ns0:f>
        <ns0:v>190.17256926711366</ns0:v>
      </ns0:c>
      <ns0:c r="M8" s="65" t="n">
        <ns0:f>(J8-I8)*G8</ns0:f>
        <ns0:v>-4.062569267113584</ns0:v>
      </ns0:c>
      <ns0:c r="N8" s="65" t="n">
        <ns0:f>SUM(L8:M8)-D8</ns0:f>
        <ns0:v>5.684341886080802e-14</ns0:v>
      </ns0:c>
      <ns0:c r="O8" s="25" t="n">
        <ns0:f>IFERROR(L8/D8,"")</ns0:f>
        <ns0:v>1.0218288607120178</ns0:v>
      </ns0:c>
      <ns0:c r="P8" s="64" t="inlineStr">
        <ns0:is>
          <ns0:t>Six C-labelled rows.</ns0:t>
        </ns0:is>
      </ns0:c>
    </ns0:row>
    <ns0:row r="9" ht="52" customHeight="1">
      <ns0:c r="A9" s="64" t="inlineStr">
        <ns0:is>
          <ns0:t>Jul-Aug (C)</ns0:t>
        </ns0:is>
      </ns0:c>
      <ns0:c r="B9" s="58" t="n">
        <ns0:f>SUM('Monthly comparison'!B13:B14)</ns0:f>
        <ns0:v>148.57</ns0:v>
      </ns0:c>
      <ns0:c r="C9" s="58" t="n">
        <ns0:f>SUM('Monthly comparison'!C13:C14)</ns0:f>
        <ns0:v>406.02</ns0:v>
      </ns0:c>
      <ns0:c r="D9" s="65" t="n">
        <ns0:f>C9-B9</ns0:f>
        <ns0:v>257.45</ns0:v>
      </ns0:c>
      <ns0:c r="E9" s="25" t="n">
        <ns0:f>IFERROR(C9/B9-1,"")</ns0:f>
        <ns0:v>1.7328532005115433</ns0:v>
      </ns0:c>
      <ns0:c r="F9" s="58" t="n">
        <ns0:f>SUM('Monthly comparison'!F13:F14)</ns0:f>
        <ns0:v>286.89</ns0:v>
      </ns0:c>
      <ns0:c r="G9" s="58" t="n">
        <ns0:f>SUM('Monthly comparison'!G13:G14)</ns0:f>
        <ns0:v>525.1899999999999</ns0:v>
      </ns0:c>
      <ns0:c r="H9" s="25" t="n">
        <ns0:f>IFERROR(G9/F9-1,"")</ns0:f>
        <ns0:v>0.8306319495276935</ns0:v>
      </ns0:c>
      <ns0:c r="I9" s="66" t="n">
        <ns0:f>IFERROR(B9/F9,"")</ns0:f>
        <ns0:v>0.5178639896824567</ns0:v>
      </ns0:c>
      <ns0:c r="J9" s="66" t="n">
        <ns0:f>IFERROR(C9/G9,"")</ns0:f>
        <ns0:v>0.7730916430244293</ns0:v>
      </ns0:c>
      <ns0:c r="K9" s="25" t="n">
        <ns0:f>IFERROR(J9/I9-1,"")</ns0:f>
        <ns0:v>0.49284688340363814</ns0:v>
      </ns0:c>
      <ns0:c r="L9" s="65" t="n">
        <ns0:f>(G9-F9)*I9</ns0:f>
        <ns0:v>123.40698874132941</ns0:v>
      </ns0:c>
      <ns0:c r="M9" s="65" t="n">
        <ns0:f>(J9-I9)*G9</ns0:f>
        <ns0:v>134.0430112586706</ns0:v>
      </ns0:c>
      <ns0:c r="N9" s="65" t="n">
        <ns0:f>SUM(L9:M9)-D9</ns0:f>
        <ns0:v>0</ns0:v>
      </ns0:c>
      <ns0:c r="O9" s="25" t="n">
        <ns0:f>IFERROR(L9/D9,"")</ns0:f>
        <ns0:v>0.4793435181251871</ns0:v>
      </ns0:c>
      <ns0:c r="P9" s="64" t="inlineStr">
        <ns0:is>
          <ns0:t>Two C-labelled rows; not a full quarter.</ns0:t>
        </ns0:is>
      </ns0:c>
    </ns0:row>
    <ns0:row r="10" ht="52" customHeight="1">
      <ns0:c r="A10" s="68" t="inlineStr">
        <ns0:is>
          <ns0:t>Jan-Sep (C + O)</ns0:t>
        </ns0:is>
      </ns0:c>
      <ns0:c r="B10" s="69" t="n">
        <ns0:f>SUM('Monthly comparison'!B7:B15)</ns0:f>
        <ns0:v>648.3399999999999</ns0:v>
      </ns0:c>
      <ns0:c r="C10" s="69" t="n">
        <ns0:f>SUM('Monthly comparison'!C7:C15)</ns0:f>
        <ns0:v>1363.08</ns0:v>
      </ns0:c>
      <ns0:c r="D10" s="71" t="n">
        <ns0:f>C10-B10</ns0:f>
        <ns0:v>714.74</ns0:v>
      </ns0:c>
      <ns0:c r="E10" s="70" t="n">
        <ns0:f>IFERROR(C10/B10-1,"")</ns0:f>
        <ns0:v>1.1024153993275134</ns0:v>
      </ns0:c>
      <ns0:c r="F10" s="69" t="n">
        <ns0:f>SUM('Monthly comparison'!F7:F15)</ns0:f>
        <ns0:v>1162.1000000000001</ns0:v>
      </ns0:c>
      <ns0:c r="G10" s="69" t="n">
        <ns0:f>SUM('Monthly comparison'!G7:G15)</ns0:f>
        <ns0:v>1900.5</ns0:v>
      </ns0:c>
      <ns0:c r="H10" s="70" t="n">
        <ns0:f>IFERROR(G10/F10-1,"")</ns0:f>
        <ns0:v>0.6354014284484981</ns0:v>
      </ns0:c>
      <ns0:c r="I10" s="72" t="n">
        <ns0:f>IFERROR(B10/F10,"")</ns0:f>
        <ns0:v>0.5579037948541432</ns0:v>
      </ns0:c>
      <ns0:c r="J10" s="72" t="n">
        <ns0:f>IFERROR(C10/G10,"")</ns0:f>
        <ns0:v>0.7172217837411207</ns0:v>
      </ns0:c>
      <ns0:c r="K10" s="70" t="n">
        <ns0:f>IFERROR(J10/I10-1,"")</ns0:f>
        <ns0:v>0.2855653436245744</ns0:v>
      </ns0:c>
      <ns0:c r="L10" s="71" t="n">
        <ns0:f>(G10-F10)*I10</ns0:f>
        <ns0:v>411.95616212029927</ns0:v>
      </ns0:c>
      <ns0:c r="M10" s="71" t="n">
        <ns0:f>(J10-I10)*G10</ns0:f>
        <ns0:v>302.7838378797007</ns0:v>
      </ns0:c>
      <ns0:c r="N10" s="71" t="n">
        <ns0:f>SUM(L10:M10)-D10</ns0:f>
        <ns0:v>0</ns0:v>
      </ns0:c>
      <ns0:c r="O10" s="70" t="n">
        <ns0:f>IFERROR(L10/D10,"")</ns0:f>
        <ns0:v>0.5763720543418576</ns0:v>
      </ns0:c>
      <ns0:c r="P10" s="68" t="inlineStr">
        <ns0:is>
          <ns0:t>September is observed; may be revised.</ns0:t>
        </ns0:is>
      </ns0:c>
    </ns0:row>
    <ns0:row r="11" ht="52" customHeight="1">
      <ns0:c r="A11" s="68" t="inlineStr">
        <ns0:is>
          <ns0:t>Jan-Oct visible rows</ns0:t>
        </ns0:is>
      </ns0:c>
      <ns0:c r="B11" s="69" t="n">
        <ns0:f>SUM('Monthly comparison'!B7:B16)</ns0:f>
        <ns0:v>676.7699999999999</ns0:v>
      </ns0:c>
      <ns0:c r="C11" s="69" t="n">
        <ns0:f>SUM('Monthly comparison'!C7:C16)</ns0:f>
        <ns0:v>1553.25</ns0:v>
      </ns0:c>
      <ns0:c r="D11" s="71" t="n">
        <ns0:f>C11-B11</ns0:f>
        <ns0:v>876.4800000000001</ns0:v>
      </ns0:c>
      <ns0:c r="E11" s="70" t="n">
        <ns0:f>IFERROR(C11/B11-1,"")</ns0:f>
        <ns0:v>1.295092867591649</ns0:v>
      </ns0:c>
      <ns0:c r="F11" s="69" t="n">
        <ns0:f>SUM('Monthly comparison'!F7:F16)</ns0:f>
        <ns0:v>1223.45</ns0:v>
      </ns0:c>
      <ns0:c r="G11" s="69" t="n">
        <ns0:f>SUM('Monthly comparison'!G7:G16)</ns0:f>
        <ns0:v>2074.45</ns0:v>
      </ns0:c>
      <ns0:c r="H11" s="70" t="n">
        <ns0:f>IFERROR(G11/F11-1,"")</ns0:f>
        <ns0:v>0.695573991581184</ns0:v>
      </ns0:c>
      <ns0:c r="I11" s="72" t="n">
        <ns0:f>IFERROR(B11/F11,"")</ns0:f>
        <ns0:v>0.5531652294740282</ns0:v>
      </ns0:c>
      <ns0:c r="J11" s="72" t="n">
        <ns0:f>IFERROR(C11/G11,"")</ns0:f>
        <ns0:v>0.748752681433633</ns0:v>
      </ns0:c>
      <ns0:c r="K11" s="70" t="n">
        <ns0:f>IFERROR(J11/I11-1,"")</ns0:f>
        <ns0:v>0.35357871669840346</ns0:v>
      </ns0:c>
      <ns0:c r="L11" s="71" t="n">
        <ns0:f>(G11-F11)*I11</ns0:f>
        <ns0:v>470.7436102823979</ns0:v>
      </ns0:c>
      <ns0:c r="M11" s="71" t="n">
        <ns0:f>(J11-I11)*G11</ns0:f>
        <ns0:v>405.73638971760215</ns0:v>
      </ns0:c>
      <ns0:c r="N11" s="71" t="n">
        <ns0:f>SUM(L11:M11)-D11</ns0:f>
        <ns0:v>-1.1368683772161603e-13</ns0:v>
      </ns0:c>
      <ns0:c r="O11" s="70" t="n">
        <ns0:f>IFERROR(L11/D11,"")</ns0:f>
        <ns0:v>0.5370842578066788</ns0:v>
      </ns0:c>
      <ns0:c r="P11" s="68" t="inlineStr">
        <ns0:is>
          <ns0:t>October incomplete; 2025 displayed total does not reconcile.</ns0:t>
        </ns0:is>
      </ns0:c>
    </ns0:row>
    <ns0:row r="12" ht="52" customHeight="1">
      <ns0:c r="A12" s="68" t="inlineStr">
        <ns0:is>
          <ns0:t>Displayed totals</ns0:t>
        </ns0:is>
      </ns0:c>
      <ns0:c r="B12" s="69" t="n">
        <ns0:f>ABS('DIAN raw'!C20)</ns0:f>
        <ns0:v>710.14</ns0:v>
      </ns0:c>
      <ns0:c r="C12" s="69" t="n">
        <ns0:f>ABS('DIAN raw'!D20)</ns0:f>
        <ns0:v>1553.25</ns0:v>
      </ns0:c>
      <ns0:c r="D12" s="71" t="n">
        <ns0:f>C12-B12</ns0:f>
        <ns0:v>843.11</ns0:v>
      </ns0:c>
      <ns0:c r="E12" s="70" t="n">
        <ns0:f>IFERROR(C12/B12-1,"")</ns0:f>
        <ns0:v>1.18724476863717</ns0:v>
      </ns0:c>
      <ns0:c r="F12" s="69" t="n">
        <ns0:f>ABS('DIAN raw'!F20)</ns0:f>
        <ns0:v>1293.11</ns0:v>
      </ns0:c>
      <ns0:c r="G12" s="69" t="n">
        <ns0:f>ABS('DIAN raw'!G20)</ns0:f>
        <ns0:v>2074.45</ns0:v>
      </ns0:c>
      <ns0:c r="H12" s="70" t="n">
        <ns0:f>IFERROR(G12/F12-1,"")</ns0:f>
        <ns0:v>0.6042332052184269</ns0:v>
      </ns0:c>
      <ns0:c r="I12" s="72" t="n">
        <ns0:f>IFERROR(B12/F12,"")</ns0:f>
        <ns0:v>0.5491721508611024</ns0:v>
      </ns0:c>
      <ns0:c r="J12" s="72" t="n">
        <ns0:f>IFERROR(C12/G12,"")</ns0:f>
        <ns0:v>0.748752681433633</ns0:v>
      </ns0:c>
      <ns0:c r="K12" s="70" t="n">
        <ns0:f>IFERROR(J12/I12-1,"")</ns0:f>
        <ns0:v>0.3634207056195189</ns0:v>
      </ns0:c>
      <ns0:c r="L12" s="71" t="n">
        <ns0:f>(G12-F12)*I12</ns0:f>
        <ns0:v>429.0901683538137</ns0:v>
      </ns0:c>
      <ns0:c r="M12" s="71" t="n">
        <ns0:f>(J12-I12)*G12</ns0:f>
        <ns0:v>414.0198316461862</ns0:v>
      </ns0:c>
      <ns0:c r="N12" s="71" t="n">
        <ns0:f>SUM(L12:M12)-D12</ns0:f>
        <ns0:v>-1.1368683772161603e-13</ns0:v>
      </ns0:c>
      <ns0:c r="O12" s="70" t="n">
        <ns0:f>IFERROR(L12/D12,"")</ns0:f>
        <ns0:v>0.5089373490455738</ns0:v>
      </ns0:c>
      <ns0:c r="P12" s="68" t="inlineStr">
        <ns0:is>
          <ns0:t>Not matched-month validated; 2025 totals disagree with visible rows.</ns0:t>
        </ns0:is>
      </ns0:c>
    </ns0:row>
    <ns0:row r="15" ht="39" customHeight="1">
      <ns0:c r="A15" s="51" t="inlineStr">
        <ns0:is>
          <ns0:t>Exact decomposition: increase = (weight26 - weight25) x ratio25 + (ratio26 - ratio25) x weight26. The interaction term is allocated to the ratio effect. This is accounting, not proof of causality.</ns0:t>
        </ns0:is>
      </ns0:c>
    </ns0:row>
    <ns0:row r="17" ht="39" customHeight="1">
      <ns0:c r="A17" s="55" t="inlineStr">
        <ns0:is>
          <ns0:t>The ratio can reflect contracts, product mix and timing. It is not a spot LNG price or a landed cost. If the series is net exports rather than imports, it is not a valid gross-import unit price.</ns0:t>
        </ns0:is>
      </ns0:c>
    </ns0:row>
    <ns0:row r="20">
      <ns0:c r="A20" s="77" t="inlineStr">
        <ns0:is>
          <ns0:t>MACRO SCALE | JANUARY-AUGUST, FOB</ns0:t>
        </ns0:is>
      </ns0:c>
    </ns0:row>
    <ns0:row r="21" ht="25" customHeight="1">
      <ns0:c r="A21" s="78" t="inlineStr">
        <ns0:is>
          <ns0:t>National goods deficit 2025 (USD m)</ns0:t>
        </ns0:is>
      </ns0:c>
      <ns0:c r="F21" s="58" t="n">
        <ns0:v>10604.5</ns0:v>
      </ns0:c>
    </ns0:row>
    <ns0:row r="22" ht="25" customHeight="1">
      <ns0:c r="A22" s="78" t="inlineStr">
        <ns0:is>
          <ns0:t>National goods deficit 2026 (USD m)</ns0:t>
        </ns0:is>
      </ns0:c>
      <ns0:c r="F22" s="58" t="n">
        <ns0:v>13877.1</ns0:v>
      </ns0:c>
    </ns0:row>
    <ns0:row r="23" ht="25" customHeight="1">
      <ns0:c r="A23" s="78" t="inlineStr">
        <ns0:is>
          <ns0:t>National deficit widening (USD m)</ns0:t>
        </ns0:is>
      </ns0:c>
      <ns0:c r="F23" s="65" t="n">
        <ns0:f>F22-F21</ns0:f>
        <ns0:v>3272.6000000000004</ns0:v>
      </ns0:c>
    </ns0:row>
    <ns0:row r="24" ht="25" customHeight="1">
      <ns0:c r="A24" s="78" t="inlineStr">
        <ns0:is>
          <ns0:t>Selected series FOB magnitude increase (USD m)</ns0:t>
        </ns0:is>
      </ns0:c>
      <ns0:c r="F24" s="65" t="n">
        <ns0:f>D7</ns0:f>
        <ns0:v>443.56000000000006</ns0:v>
      </ns0:c>
    </ns0:row>
    <ns0:row r="25" ht="25" customHeight="1">
      <ns0:c r="A25" s="78" t="inlineStr">
        <ns0:is>
          <ns0:t>Increase / national deficit widening</ns0:t>
        </ns0:is>
      </ns0:c>
      <ns0:c r="F25" s="25" t="n">
        <ns0:f>F24/F23</ns0:f>
        <ns0:v>0.13553749312473262</ns0:v>
      </ns0:c>
    </ns0:row>
    <ns0:row r="27" ht="38" customHeight="1">
      <ns0:c r="A27" s="55" t="inlineStr">
        <ns0:is>
          <ns0:t>Conditional scale comparison, not a fully reconciled contribution: tariff/flow selection is not visible, exports may matter, and publication vintages can differ. DANE bulletin, 21 Oct 2026, p.13.</ns0:t>
        </ns0:is>
      </ns0:c>
    </ns0:row>
    <ns0:row r="29" ht="28" customHeight="1">
      <ns0:c r="A29" s="51" t="inlineStr">
        <ns0:is>
          <ns0:t>https://www.dane.gov.co/files/operaciones/IMP/bol-IMP-ago2026.pdf</ns0:t>
        </ns0:is>
      </ns0:c>
    </ns0:row>
  </ns0:sheetData>
  <ns0:mergeCells count="12">
    <ns0:mergeCell ref="A21:E21"/>
    <ns0:mergeCell ref="A2:P3"/>
    <ns0:mergeCell ref="A24:E24"/>
    <ns0:mergeCell ref="A1:P1"/>
    <ns0:mergeCell ref="A17:P17"/>
    <ns0:mergeCell ref="A25:E25"/>
    <ns0:mergeCell ref="A27:P27"/>
    <ns0:mergeCell ref="A23:E23"/>
    <ns0:mergeCell ref="A20:F20"/>
    <ns0:mergeCell ref="A15:P15"/>
    <ns0:mergeCell ref="A22:E22"/>
    <ns0:mergeCell ref="A29:P29"/>
  </ns0:mergeCells>
  <ns0:pageMargins left="0.75" right="0.75" top="1" bottom="1" header="0.5" footer="0.5"/>
  <ns0:pageSetup orientation="landscape" paperSize="8" fitToHeight="0" fitToWidth="1"/>
  <ns0:legacyDrawing ns1:id="anysvml"/>
  <ns0:tableParts count="1">
    <ns0:tablePart ns1:id="rId1"/>
  </ns0:tableParts>
</ns0:worksheet>
</file>

<file path=xl/worksheets/sheet7.xml><?xml version="1.0" encoding="utf-8"?>
<ns0:worksheet xmlns:ns0="http://schemas.openxmlformats.org/spreadsheetml/2006/main">
  <ns0:sheetPr>
    <ns0:outlinePr summaryBelow="1" summaryRight="1"/>
    <ns0:pageSetUpPr fitToPage="1"/>
  </ns0:sheetPr>
  <ns0:dimension ref="A1:H37"/>
  <ns0:sheetViews>
    <ns0:sheetView showGridLines="0" workbookViewId="0">
      <ns0:pane xSplit="1" ySplit="6" topLeftCell="B7" activePane="bottomRight" state="frozen"/>
      <ns0:selection pane="topRight"/>
      <ns0:selection pane="bottomLeft"/>
      <ns0:selection pane="bottomRight" activeCell="A1" sqref="A1"/>
    </ns0:sheetView>
  </ns0:sheetViews>
  <ns0:sheetFormatPr baseColWidth="8" defaultRowHeight="15"/>
  <ns0:cols>
    <ns0:col width="31" customWidth="1" min="1" max="1"/>
    <ns0:col width="16" customWidth="1" min="2" max="2"/>
    <ns0:col width="17" customWidth="1" min="3" max="3"/>
    <ns0:col width="17" customWidth="1" min="4" max="4"/>
    <ns0:col width="17" customWidth="1" min="5" max="5"/>
    <ns0:col width="15" customWidth="1" min="6" max="6"/>
    <ns0:col width="16" customWidth="1" min="7" max="7"/>
    <ns0:col width="49" customWidth="1" min="8" max="8"/>
  </ns0:cols>
  <ns0:sheetData>
    <ns0:row r="1" ht="39" customHeight="1">
      <ns0:c r="A1" s="50" t="inlineStr">
        <ns0:is>
          <ns0:t>MONTHLY VALIDATION | DO NOT FORCE TOTALS</ns0:t>
        </ns0:is>
      </ns0:c>
    </ns0:row>
    <ns0:row r="2" ht="23" customHeight="1">
      <ns0:c r="A2" s="51" t="inlineStr">
        <ns0:is>
          <ns0:t>Raw screenshot totals are separately stored. Monthly percent differences are tested against display rounding; large aggregate gaps are flagged, not silently corrected.</ns0:t>
        </ns0:is>
      </ns0:c>
    </ns0:row>
    <ns0:row r="3" ht="23" customHeight="1"/>
    <ns0:row r="6" ht="42" customHeight="1">
      <ns0:c r="A6" s="56" t="inlineStr">
        <ns0:is>
          <ns0:t>Check</ns0:t>
        </ns0:is>
      </ns0:c>
      <ns0:c r="B6" s="57" t="inlineStr">
        <ns0:is>
          <ns0:t>Unit</ns0:t>
        </ns0:is>
      </ns0:c>
      <ns0:c r="C6" s="57" t="inlineStr">
        <ns0:is>
          <ns0:t>Visible-row sum / calculated</ns0:t>
        </ns0:is>
      </ns0:c>
      <ns0:c r="D6" s="57" t="inlineStr">
        <ns0:is>
          <ns0:t>Displayed total / benchmark</ns0:t>
        </ns0:is>
      </ns0:c>
      <ns0:c r="E6" s="57" t="inlineStr">
        <ns0:is>
          <ns0:t>Difference</ns0:t>
        </ns0:is>
      </ns0:c>
      <ns0:c r="F6" s="57" t="inlineStr">
        <ns0:is>
          <ns0:t>Tolerance</ns0:t>
        </ns0:is>
      </ns0:c>
      <ns0:c r="G6" s="57" t="inlineStr">
        <ns0:is>
          <ns0:t>Result</ns0:t>
        </ns0:is>
      </ns0:c>
      <ns0:c r="H6" s="57" t="inlineStr">
        <ns0:is>
          <ns0:t>Interpretation</ns0:t>
        </ns0:is>
      </ns0:c>
    </ns0:row>
    <ns0:row r="7" ht="44" customHeight="1">
      <ns0:c r="A7" s="79" t="inlineStr">
        <ns0:is>
          <ns0:t>2025 FOB reconciliation</ns0:t>
        </ns0:is>
      </ns0:c>
      <ns0:c r="B7" s="79" t="inlineStr">
        <ns0:is>
          <ns0:t>USD m</ns0:t>
        </ns0:is>
      </ns0:c>
      <ns0:c r="C7" s="80" t="n">
        <ns0:f>ABS('DIAN raw'!C18)</ns0:f>
        <ns0:v>676.7699999999999</ns0:v>
      </ns0:c>
      <ns0:c r="D7" s="80" t="n">
        <ns0:f>ABS('DIAN raw'!C20)</ns0:f>
        <ns0:v>710.14</ns0:v>
      </ns0:c>
      <ns0:c r="E7" s="81" t="n">
        <ns0:f>D7-C7</ns0:f>
        <ns0:v>33.37000000000012</ns0:v>
      </ns0:c>
      <ns0:c r="F7" s="82" t="n">
        <ns0:v>0.055</ns0:v>
      </ns0:c>
      <ns0:c r="G7" s="83" t="str">
        <ns0:f>IF(ABS(E7)&lt;=F7,"PASS","REVIEW")</ns0:f>
        <ns0:v>REVIEW</ns0:v>
      </ns0:c>
      <ns0:c r="H7" s="79" t="inlineStr">
        <ns0:is>
          <ns0:t>Tolerance = ten monthly rounding bounds plus one total rounding bound.</ns0:t>
        </ns0:is>
      </ns0:c>
    </ns0:row>
    <ns0:row r="8" ht="44" customHeight="1">
      <ns0:c r="A8" s="64" t="inlineStr">
        <ns0:is>
          <ns0:t>2026 FOB reconciliation</ns0:t>
        </ns0:is>
      </ns0:c>
      <ns0:c r="B8" s="64" t="inlineStr">
        <ns0:is>
          <ns0:t>USD m</ns0:t>
        </ns0:is>
      </ns0:c>
      <ns0:c r="C8" s="58" t="n">
        <ns0:f>ABS('DIAN raw'!D18)</ns0:f>
        <ns0:v>1553.25</ns0:v>
      </ns0:c>
      <ns0:c r="D8" s="58" t="n">
        <ns0:f>ABS('DIAN raw'!D20)</ns0:f>
        <ns0:v>1553.25</ns0:v>
      </ns0:c>
      <ns0:c r="E8" s="65" t="n">
        <ns0:f>D8-C8</ns0:f>
        <ns0:v>0</ns0:v>
      </ns0:c>
      <ns0:c r="F8" s="84" t="n">
        <ns0:v>0.055</ns0:v>
      </ns0:c>
      <ns0:c r="G8" s="28" t="str">
        <ns0:f>IF(ABS(E8)&lt;=F8,"PASS","REVIEW")</ns0:f>
        <ns0:v>PASS</ns0:v>
      </ns0:c>
      <ns0:c r="H8" s="64" t="inlineStr">
        <ns0:is>
          <ns0:t>Tolerance = ten monthly rounding bounds plus one total rounding bound.</ns0:t>
        </ns0:is>
      </ns0:c>
    </ns0:row>
    <ns0:row r="9" ht="44" customHeight="1">
      <ns0:c r="A9" s="79" t="inlineStr">
        <ns0:is>
          <ns0:t>2025 weight reconciliation</ns0:t>
        </ns0:is>
      </ns0:c>
      <ns0:c r="B9" s="79" t="inlineStr">
        <ns0:is>
          <ns0:t>million kg</ns0:t>
        </ns0:is>
      </ns0:c>
      <ns0:c r="C9" s="80" t="n">
        <ns0:f>ABS('DIAN raw'!F18)</ns0:f>
        <ns0:v>1223.45</ns0:v>
      </ns0:c>
      <ns0:c r="D9" s="80" t="n">
        <ns0:f>ABS('DIAN raw'!F20)</ns0:f>
        <ns0:v>1293.11</ns0:v>
      </ns0:c>
      <ns0:c r="E9" s="81" t="n">
        <ns0:f>D9-C9</ns0:f>
        <ns0:v>69.65999999999985</ns0:v>
      </ns0:c>
      <ns0:c r="F9" s="82" t="n">
        <ns0:v>0.055</ns0:v>
      </ns0:c>
      <ns0:c r="G9" s="83" t="str">
        <ns0:f>IF(ABS(E9)&lt;=F9,"PASS","REVIEW")</ns0:f>
        <ns0:v>REVIEW</ns0:v>
      </ns0:c>
      <ns0:c r="H9" s="79" t="inlineStr">
        <ns0:is>
          <ns0:t>Tolerance = ten monthly rounding bounds plus one total rounding bound.</ns0:t>
        </ns0:is>
      </ns0:c>
    </ns0:row>
    <ns0:row r="10" ht="44" customHeight="1">
      <ns0:c r="A10" s="64" t="inlineStr">
        <ns0:is>
          <ns0:t>2026 weight reconciliation</ns0:t>
        </ns0:is>
      </ns0:c>
      <ns0:c r="B10" s="64" t="inlineStr">
        <ns0:is>
          <ns0:t>million kg</ns0:t>
        </ns0:is>
      </ns0:c>
      <ns0:c r="C10" s="58" t="n">
        <ns0:f>ABS('DIAN raw'!G18)</ns0:f>
        <ns0:v>2074.45</ns0:v>
      </ns0:c>
      <ns0:c r="D10" s="58" t="n">
        <ns0:f>ABS('DIAN raw'!G20)</ns0:f>
        <ns0:v>2074.45</ns0:v>
      </ns0:c>
      <ns0:c r="E10" s="65" t="n">
        <ns0:f>D10-C10</ns0:f>
        <ns0:v>0</ns0:v>
      </ns0:c>
      <ns0:c r="F10" s="84" t="n">
        <ns0:v>0.055</ns0:v>
      </ns0:c>
      <ns0:c r="G10" s="28" t="str">
        <ns0:f>IF(ABS(E10)&lt;=F10,"PASS","REVIEW")</ns0:f>
        <ns0:v>PASS</ns0:v>
      </ns0:c>
      <ns0:c r="H10" s="64" t="inlineStr">
        <ns0:is>
          <ns0:t>Tolerance = ten monthly rounding bounds plus one total rounding bound.</ns0:t>
        </ns0:is>
      </ns0:c>
    </ns0:row>
    <ns0:row r="13" ht="32" customHeight="1">
      <ns0:c r="A13" s="64" t="inlineStr">
        <ns0:is>
          <ns0:t>Jan FOB percentage</ns0:t>
        </ns0:is>
      </ns0:c>
      <ns0:c r="B13" s="64" t="inlineStr">
        <ns0:is>
          <ns0:t>fraction</ns0:t>
        </ns0:is>
      </ns0:c>
      <ns0:c r="C13" s="59" t="n">
        <ns0:f>'Monthly comparison'!D7</ns0:f>
        <ns0:v>-0.11924257932446258</ns0:v>
      </ns0:c>
      <ns0:c r="D13" s="59" t="n">
        <ns0:f>'DIAN raw'!E7</ns0:f>
        <ns0:v>-0.1192</ns0:v>
      </ns0:c>
      <ns0:c r="E13" s="25" t="n">
        <ns0:f>C13-D13</ns0:f>
        <ns0:v>-0.000042579324462582724</ns0:v>
      </ns0:c>
      <ns0:c r="F13" s="85" t="n">
        <ns0:v>0.001</ns0:v>
      </ns0:c>
      <ns0:c r="G13" s="28" t="str">
        <ns0:f>IF(ABS(E13)&lt;=F13,"PASS","REVIEW")</ns0:f>
        <ns0:v>PASS</ns0:v>
      </ns0:c>
      <ns0:c r="H13" s="64" t="inlineStr">
        <ns0:is>
          <ns0:t>0.1 percentage-point tolerance for values displayed to USD 0.01 million.</ns0:t>
        </ns0:is>
      </ns0:c>
    </ns0:row>
    <ns0:row r="14" ht="32" customHeight="1">
      <ns0:c r="A14" s="64" t="inlineStr">
        <ns0:is>
          <ns0:t>Feb FOB percentage</ns0:t>
        </ns0:is>
      </ns0:c>
      <ns0:c r="B14" s="64" t="inlineStr">
        <ns0:is>
          <ns0:t>fraction</ns0:t>
        </ns0:is>
      </ns0:c>
      <ns0:c r="C14" s="59" t="n">
        <ns0:f>'Monthly comparison'!D8</ns0:f>
        <ns0:v>0.30047177484952003</ns0:v>
      </ns0:c>
      <ns0:c r="D14" s="59" t="n">
        <ns0:f>'DIAN raw'!E8</ns0:f>
        <ns0:v>0.3004</ns0:v>
      </ns0:c>
      <ns0:c r="E14" s="25" t="n">
        <ns0:f>C14-D14</ns0:f>
        <ns0:v>0.00007177484952003432</ns0:v>
      </ns0:c>
      <ns0:c r="F14" s="85" t="n">
        <ns0:v>0.001</ns0:v>
      </ns0:c>
      <ns0:c r="G14" s="28" t="str">
        <ns0:f>IF(ABS(E14)&lt;=F14,"PASS","REVIEW")</ns0:f>
        <ns0:v>PASS</ns0:v>
      </ns0:c>
      <ns0:c r="H14" s="64" t="inlineStr">
        <ns0:is>
          <ns0:t>0.1 percentage-point tolerance for values displayed to USD 0.01 million.</ns0:t>
        </ns0:is>
      </ns0:c>
    </ns0:row>
    <ns0:row r="15" ht="32" customHeight="1">
      <ns0:c r="A15" s="64" t="inlineStr">
        <ns0:is>
          <ns0:t>Mar FOB percentage</ns0:t>
        </ns0:is>
      </ns0:c>
      <ns0:c r="B15" s="64" t="inlineStr">
        <ns0:is>
          <ns0:t>fraction</ns0:t>
        </ns0:is>
      </ns0:c>
      <ns0:c r="C15" s="59" t="n">
        <ns0:f>'Monthly comparison'!D9</ns0:f>
        <ns0:v>0.21266334785314256</ns0:v>
      </ns0:c>
      <ns0:c r="D15" s="59" t="n">
        <ns0:f>'DIAN raw'!E9</ns0:f>
        <ns0:v>0.2127</ns0:v>
      </ns0:c>
      <ns0:c r="E15" s="25" t="n">
        <ns0:f>C15-D15</ns0:f>
        <ns0:v>-0.000036652146857441004</ns0:v>
      </ns0:c>
      <ns0:c r="F15" s="85" t="n">
        <ns0:v>0.001</ns0:v>
      </ns0:c>
      <ns0:c r="G15" s="28" t="str">
        <ns0:f>IF(ABS(E15)&lt;=F15,"PASS","REVIEW")</ns0:f>
        <ns0:v>PASS</ns0:v>
      </ns0:c>
      <ns0:c r="H15" s="64" t="inlineStr">
        <ns0:is>
          <ns0:t>0.1 percentage-point tolerance for values displayed to USD 0.01 million.</ns0:t>
        </ns0:is>
      </ns0:c>
    </ns0:row>
    <ns0:row r="16" ht="32" customHeight="1">
      <ns0:c r="A16" s="64" t="inlineStr">
        <ns0:is>
          <ns0:t>Apr FOB percentage</ns0:t>
        </ns0:is>
      </ns0:c>
      <ns0:c r="B16" s="64" t="inlineStr">
        <ns0:is>
          <ns0:t>fraction</ns0:t>
        </ns0:is>
      </ns0:c>
      <ns0:c r="C16" s="59" t="n">
        <ns0:f>'Monthly comparison'!D10</ns0:f>
        <ns0:v>0.10672811059907827</ns0:v>
      </ns0:c>
      <ns0:c r="D16" s="59" t="n">
        <ns0:f>'DIAN raw'!E10</ns0:f>
        <ns0:v>0.1067</ns0:v>
      </ns0:c>
      <ns0:c r="E16" s="25" t="n">
        <ns0:f>C16-D16</ns0:f>
        <ns0:v>0.00002811059907827096</ns0:v>
      </ns0:c>
      <ns0:c r="F16" s="85" t="n">
        <ns0:v>0.001</ns0:v>
      </ns0:c>
      <ns0:c r="G16" s="28" t="str">
        <ns0:f>IF(ABS(E16)&lt;=F16,"PASS","REVIEW")</ns0:f>
        <ns0:v>PASS</ns0:v>
      </ns0:c>
      <ns0:c r="H16" s="64" t="inlineStr">
        <ns0:is>
          <ns0:t>0.1 percentage-point tolerance for values displayed to USD 0.01 million.</ns0:t>
        </ns0:is>
      </ns0:c>
    </ns0:row>
    <ns0:row r="17" ht="32" customHeight="1">
      <ns0:c r="A17" s="64" t="inlineStr">
        <ns0:is>
          <ns0:t>May FOB percentage</ns0:t>
        </ns0:is>
      </ns0:c>
      <ns0:c r="B17" s="64" t="inlineStr">
        <ns0:is>
          <ns0:t>fraction</ns0:t>
        </ns0:is>
      </ns0:c>
      <ns0:c r="C17" s="59" t="n">
        <ns0:f>'Monthly comparison'!D11</ns0:f>
        <ns0:v>1.6222383194494752</ns0:v>
      </ns0:c>
      <ns0:c r="D17" s="59" t="n">
        <ns0:f>'DIAN raw'!E11</ns0:f>
        <ns0:v>1.6221</ns0:v>
      </ns0:c>
      <ns0:c r="E17" s="25" t="n">
        <ns0:f>C17-D17</ns0:f>
        <ns0:v>0.00013831944947506614</ns0:v>
      </ns0:c>
      <ns0:c r="F17" s="85" t="n">
        <ns0:v>0.001</ns0:v>
      </ns0:c>
      <ns0:c r="G17" s="28" t="str">
        <ns0:f>IF(ABS(E17)&lt;=F17,"PASS","REVIEW")</ns0:f>
        <ns0:v>PASS</ns0:v>
      </ns0:c>
      <ns0:c r="H17" s="64" t="inlineStr">
        <ns0:is>
          <ns0:t>0.1 percentage-point tolerance for values displayed to USD 0.01 million.</ns0:t>
        </ns0:is>
      </ns0:c>
    </ns0:row>
    <ns0:row r="18" ht="32" customHeight="1">
      <ns0:c r="A18" s="64" t="inlineStr">
        <ns0:is>
          <ns0:t>Jun FOB percentage</ns0:t>
        </ns0:is>
      </ns0:c>
      <ns0:c r="B18" s="64" t="inlineStr">
        <ns0:is>
          <ns0:t>fraction</ns0:t>
        </ns0:is>
      </ns0:c>
      <ns0:c r="C18" s="59" t="n">
        <ns0:f>'Monthly comparison'!D12</ns0:f>
        <ns0:v>0.9595366795366795</ns0:v>
      </ns0:c>
      <ns0:c r="D18" s="59" t="n">
        <ns0:f>'DIAN raw'!E12</ns0:f>
        <ns0:v>0.9595</ns0:v>
      </ns0:c>
      <ns0:c r="E18" s="25" t="n">
        <ns0:f>C18-D18</ns0:f>
        <ns0:v>0.000036679536679518066</ns0:v>
      </ns0:c>
      <ns0:c r="F18" s="85" t="n">
        <ns0:v>0.001</ns0:v>
      </ns0:c>
      <ns0:c r="G18" s="28" t="str">
        <ns0:f>IF(ABS(E18)&lt;=F18,"PASS","REVIEW")</ns0:f>
        <ns0:v>PASS</ns0:v>
      </ns0:c>
      <ns0:c r="H18" s="64" t="inlineStr">
        <ns0:is>
          <ns0:t>0.1 percentage-point tolerance for values displayed to USD 0.01 million.</ns0:t>
        </ns0:is>
      </ns0:c>
    </ns0:row>
    <ns0:row r="19" ht="32" customHeight="1">
      <ns0:c r="A19" s="64" t="inlineStr">
        <ns0:is>
          <ns0:t>Jul FOB percentage</ns0:t>
        </ns0:is>
      </ns0:c>
      <ns0:c r="B19" s="64" t="inlineStr">
        <ns0:is>
          <ns0:t>fraction</ns0:t>
        </ns0:is>
      </ns0:c>
      <ns0:c r="C19" s="59" t="n">
        <ns0:f>'Monthly comparison'!D13</ns0:f>
        <ns0:v>1.2289130196336515</ns0:v>
      </ns0:c>
      <ns0:c r="D19" s="59" t="n">
        <ns0:f>'DIAN raw'!E13</ns0:f>
        <ns0:v>1.229</ns0:v>
      </ns0:c>
      <ns0:c r="E19" s="25" t="n">
        <ns0:f>C19-D19</ns0:f>
        <ns0:v>-0.00008698036634857687</ns0:v>
      </ns0:c>
      <ns0:c r="F19" s="85" t="n">
        <ns0:v>0.001</ns0:v>
      </ns0:c>
      <ns0:c r="G19" s="28" t="str">
        <ns0:f>IF(ABS(E19)&lt;=F19,"PASS","REVIEW")</ns0:f>
        <ns0:v>PASS</ns0:v>
      </ns0:c>
      <ns0:c r="H19" s="64" t="inlineStr">
        <ns0:is>
          <ns0:t>0.1 percentage-point tolerance for values displayed to USD 0.01 million.</ns0:t>
        </ns0:is>
      </ns0:c>
    </ns0:row>
    <ns0:row r="20" ht="32" customHeight="1">
      <ns0:c r="A20" s="64" t="inlineStr">
        <ns0:is>
          <ns0:t>Aug FOB percentage</ns0:t>
        </ns0:is>
      </ns0:c>
      <ns0:c r="B20" s="64" t="inlineStr">
        <ns0:is>
          <ns0:t>fraction</ns0:t>
        </ns0:is>
      </ns0:c>
      <ns0:c r="C20" s="59" t="n">
        <ns0:f>'Monthly comparison'!D14</ns0:f>
        <ns0:v>2.533275261324042</ns0:v>
      </ns0:c>
      <ns0:c r="D20" s="59" t="n">
        <ns0:f>'DIAN raw'!E14</ns0:f>
        <ns0:v>2.5331</ns0:v>
      </ns0:c>
      <ns0:c r="E20" s="25" t="n">
        <ns0:f>C20-D20</ns0:f>
        <ns0:v>0.00017526132404199757</ns0:v>
      </ns0:c>
      <ns0:c r="F20" s="85" t="n">
        <ns0:v>0.001</ns0:v>
      </ns0:c>
      <ns0:c r="G20" s="28" t="str">
        <ns0:f>IF(ABS(E20)&lt;=F20,"PASS","REVIEW")</ns0:f>
        <ns0:v>PASS</ns0:v>
      </ns0:c>
      <ns0:c r="H20" s="64" t="inlineStr">
        <ns0:is>
          <ns0:t>0.1 percentage-point tolerance for values displayed to USD 0.01 million.</ns0:t>
        </ns0:is>
      </ns0:c>
    </ns0:row>
    <ns0:row r="21" ht="32" customHeight="1">
      <ns0:c r="A21" s="64" t="inlineStr">
        <ns0:is>
          <ns0:t>Sep FOB percentage</ns0:t>
        </ns0:is>
      </ns0:c>
      <ns0:c r="B21" s="64" t="inlineStr">
        <ns0:is>
          <ns0:t>fraction</ns0:t>
        </ns0:is>
      </ns0:c>
      <ns0:c r="C21" s="59" t="n">
        <ns0:f>'Monthly comparison'!D15</ns0:f>
        <ns0:v>4.024039174951773</ns0:v>
      </ns0:c>
      <ns0:c r="D21" s="59" t="n">
        <ns0:f>'DIAN raw'!E15</ns0:f>
        <ns0:v>4.0244</ns0:v>
      </ns0:c>
      <ns0:c r="E21" s="25" t="n">
        <ns0:f>C21-D21</ns0:f>
        <ns0:v>-0.000360825048226765</ns0:v>
      </ns0:c>
      <ns0:c r="F21" s="85" t="n">
        <ns0:v>0.001</ns0:v>
      </ns0:c>
      <ns0:c r="G21" s="28" t="str">
        <ns0:f>IF(ABS(E21)&lt;=F21,"PASS","REVIEW")</ns0:f>
        <ns0:v>PASS</ns0:v>
      </ns0:c>
      <ns0:c r="H21" s="64" t="inlineStr">
        <ns0:is>
          <ns0:t>0.1 percentage-point tolerance for values displayed to USD 0.01 million.</ns0:t>
        </ns0:is>
      </ns0:c>
    </ns0:row>
    <ns0:row r="22" ht="32" customHeight="1">
      <ns0:c r="A22" s="64" t="inlineStr">
        <ns0:is>
          <ns0:t>Oct FOB percentage</ns0:t>
        </ns0:is>
      </ns0:c>
      <ns0:c r="B22" s="64" t="inlineStr">
        <ns0:is>
          <ns0:t>fraction</ns0:t>
        </ns0:is>
      </ns0:c>
      <ns0:c r="C22" s="59" t="n">
        <ns0:f>'Monthly comparison'!D16</ns0:f>
        <ns0:v>5.689060851213506</ns0:v>
      </ns0:c>
      <ns0:c r="D22" s="59" t="n">
        <ns0:f>'DIAN raw'!E16</ns0:f>
        <ns0:v>5.688300000000001</ns0:v>
      </ns0:c>
      <ns0:c r="E22" s="25" t="n">
        <ns0:f>C22-D22</ns0:f>
        <ns0:v>0.0007608512135055534</ns0:v>
      </ns0:c>
      <ns0:c r="F22" s="85" t="n">
        <ns0:v>0.001</ns0:v>
      </ns0:c>
      <ns0:c r="G22" s="28" t="str">
        <ns0:f>IF(ABS(E22)&lt;=F22,"PASS","REVIEW")</ns0:f>
        <ns0:v>PASS</ns0:v>
      </ns0:c>
      <ns0:c r="H22" s="64" t="inlineStr">
        <ns0:is>
          <ns0:t>0.1 percentage-point tolerance for values displayed to USD 0.01 million.</ns0:t>
        </ns0:is>
      </ns0:c>
    </ns0:row>
    <ns0:row r="25" ht="32" customHeight="1">
      <ns0:c r="A25" s="64" t="inlineStr">
        <ns0:is>
          <ns0:t>Jan weight percentage</ns0:t>
        </ns0:is>
      </ns0:c>
      <ns0:c r="B25" s="64" t="inlineStr">
        <ns0:is>
          <ns0:t>fraction</ns0:t>
        </ns0:is>
      </ns0:c>
      <ns0:c r="C25" s="59" t="n">
        <ns0:f>'Monthly comparison'!H7</ns0:f>
        <ns0:v>0.2466916354556803</ns0:v>
      </ns0:c>
      <ns0:c r="D25" s="59" t="n">
        <ns0:f>'DIAN raw'!H7</ns0:f>
        <ns0:v>0.247</ns0:v>
      </ns0:c>
      <ns0:c r="E25" s="25" t="n">
        <ns0:f>C25-D25</ns0:f>
        <ns0:v>-0.00030836454431970584</ns0:v>
      </ns0:c>
      <ns0:c r="F25" s="85" t="n">
        <ns0:v>0.001</ns0:v>
      </ns0:c>
      <ns0:c r="G25" s="28" t="str">
        <ns0:f>IF(ABS(E25)&lt;=F25,"PASS","REVIEW")</ns0:f>
        <ns0:v>PASS</ns0:v>
      </ns0:c>
      <ns0:c r="H25" s="64" t="inlineStr">
        <ns0:is>
          <ns0:t>0.1 percentage-point tolerance for rounded published weights and growth.</ns0:t>
        </ns0:is>
      </ns0:c>
    </ns0:row>
    <ns0:row r="26" ht="32" customHeight="1">
      <ns0:c r="A26" s="64" t="inlineStr">
        <ns0:is>
          <ns0:t>Feb weight percentage</ns0:t>
        </ns0:is>
      </ns0:c>
      <ns0:c r="B26" s="64" t="inlineStr">
        <ns0:is>
          <ns0:t>fraction</ns0:t>
        </ns0:is>
      </ns0:c>
      <ns0:c r="C26" s="59" t="n">
        <ns0:f>'Monthly comparison'!H8</ns0:f>
        <ns0:v>0.9332484960666361</ns0:v>
      </ns0:c>
      <ns0:c r="D26" s="59" t="n">
        <ns0:f>'DIAN raw'!H8</ns0:f>
        <ns0:v>0.9329999999999999</ns0:v>
      </ns0:c>
      <ns0:c r="E26" s="25" t="n">
        <ns0:f>C26-D26</ns0:f>
        <ns0:v>0.000248496066636128</ns0:v>
      </ns0:c>
      <ns0:c r="F26" s="85" t="n">
        <ns0:v>0.001</ns0:v>
      </ns0:c>
      <ns0:c r="G26" s="28" t="str">
        <ns0:f>IF(ABS(E26)&lt;=F26,"PASS","REVIEW")</ns0:f>
        <ns0:v>PASS</ns0:v>
      </ns0:c>
      <ns0:c r="H26" s="64" t="inlineStr">
        <ns0:is>
          <ns0:t>0.1 percentage-point tolerance for rounded published weights and growth.</ns0:t>
        </ns0:is>
      </ns0:c>
    </ns0:row>
    <ns0:row r="27" ht="32" customHeight="1">
      <ns0:c r="A27" s="64" t="inlineStr">
        <ns0:is>
          <ns0:t>Mar weight percentage</ns0:t>
        </ns0:is>
      </ns0:c>
      <ns0:c r="B27" s="64" t="inlineStr">
        <ns0:is>
          <ns0:t>fraction</ns0:t>
        </ns0:is>
      </ns0:c>
      <ns0:c r="C27" s="59" t="n">
        <ns0:f>'Monthly comparison'!H9</ns0:f>
        <ns0:v>0.5881091020533253</ns0:v>
      </ns0:c>
      <ns0:c r="D27" s="59" t="n">
        <ns0:f>'DIAN raw'!H9</ns0:f>
        <ns0:v>0.588</ns0:v>
      </ns0:c>
      <ns0:c r="E27" s="25" t="n">
        <ns0:f>C27-D27</ns0:f>
        <ns0:v>0.0001091020533253717</ns0:v>
      </ns0:c>
      <ns0:c r="F27" s="85" t="n">
        <ns0:v>0.001</ns0:v>
      </ns0:c>
      <ns0:c r="G27" s="28" t="str">
        <ns0:f>IF(ABS(E27)&lt;=F27,"PASS","REVIEW")</ns0:f>
        <ns0:v>PASS</ns0:v>
      </ns0:c>
      <ns0:c r="H27" s="64" t="inlineStr">
        <ns0:is>
          <ns0:t>0.1 percentage-point tolerance for rounded published weights and growth.</ns0:t>
        </ns0:is>
      </ns0:c>
    </ns0:row>
    <ns0:row r="28" ht="32" customHeight="1">
      <ns0:c r="A28" s="64" t="inlineStr">
        <ns0:is>
          <ns0:t>Apr weight percentage</ns0:t>
        </ns0:is>
      </ns0:c>
      <ns0:c r="B28" s="64" t="inlineStr">
        <ns0:is>
          <ns0:t>fraction</ns0:t>
        </ns0:is>
      </ns0:c>
      <ns0:c r="C28" s="59" t="n">
        <ns0:f>'Monthly comparison'!H10</ns0:f>
        <ns0:v>-0.09295595016187586</ns0:v>
      </ns0:c>
      <ns0:c r="D28" s="59" t="n">
        <ns0:f>'DIAN raw'!H10</ns0:f>
        <ns0:v>-0.09300000000000001</ns0:v>
      </ns0:c>
      <ns0:c r="E28" s="25" t="n">
        <ns0:f>C28-D28</ns0:f>
        <ns0:v>0.00004404983812415775</ns0:v>
      </ns0:c>
      <ns0:c r="F28" s="85" t="n">
        <ns0:v>0.001</ns0:v>
      </ns0:c>
      <ns0:c r="G28" s="28" t="str">
        <ns0:f>IF(ABS(E28)&lt;=F28,"PASS","REVIEW")</ns0:f>
        <ns0:v>PASS</ns0:v>
      </ns0:c>
      <ns0:c r="H28" s="64" t="inlineStr">
        <ns0:is>
          <ns0:t>0.1 percentage-point tolerance for rounded published weights and growth.</ns0:t>
        </ns0:is>
      </ns0:c>
    </ns0:row>
    <ns0:row r="29" ht="32" customHeight="1">
      <ns0:c r="A29" s="64" t="inlineStr">
        <ns0:is>
          <ns0:t>May weight percentage</ns0:t>
        </ns0:is>
      </ns0:c>
      <ns0:c r="B29" s="64" t="inlineStr">
        <ns0:is>
          <ns0:t>fraction</ns0:t>
        </ns0:is>
      </ns0:c>
      <ns0:c r="C29" s="59" t="n">
        <ns0:f>'Monthly comparison'!H11</ns0:f>
        <ns0:v>1.1342772973486648</ns0:v>
      </ns0:c>
      <ns0:c r="D29" s="59" t="n">
        <ns0:f>'DIAN raw'!H11</ns0:f>
        <ns0:v>1.134</ns0:v>
      </ns0:c>
      <ns0:c r="E29" s="25" t="n">
        <ns0:f>C29-D29</ns0:f>
        <ns0:v>0.0002772973486648844</ns0:v>
      </ns0:c>
      <ns0:c r="F29" s="85" t="n">
        <ns0:v>0.001</ns0:v>
      </ns0:c>
      <ns0:c r="G29" s="28" t="str">
        <ns0:f>IF(ABS(E29)&lt;=F29,"PASS","REVIEW")</ns0:f>
        <ns0:v>PASS</ns0:v>
      </ns0:c>
      <ns0:c r="H29" s="64" t="inlineStr">
        <ns0:is>
          <ns0:t>0.1 percentage-point tolerance for rounded published weights and growth.</ns0:t>
        </ns0:is>
      </ns0:c>
    </ns0:row>
    <ns0:row r="30" ht="32" customHeight="1">
      <ns0:c r="A30" s="64" t="inlineStr">
        <ns0:is>
          <ns0:t>Jun weight percentage</ns0:t>
        </ns0:is>
      </ns0:c>
      <ns0:c r="B30" s="64" t="inlineStr">
        <ns0:is>
          <ns0:t>fraction</ns0:t>
        </ns0:is>
      </ns0:c>
      <ns0:c r="C30" s="59" t="n">
        <ns0:f>'Monthly comparison'!H12</ns0:f>
        <ns0:v>0.4530907865925551</ns0:v>
      </ns0:c>
      <ns0:c r="D30" s="59" t="n">
        <ns0:f>'DIAN raw'!H12</ns0:f>
        <ns0:v>0.453</ns0:v>
      </ns0:c>
      <ns0:c r="E30" s="25" t="n">
        <ns0:f>C30-D30</ns0:f>
        <ns0:v>0.00009078659255506993</ns0:v>
      </ns0:c>
      <ns0:c r="F30" s="85" t="n">
        <ns0:v>0.001</ns0:v>
      </ns0:c>
      <ns0:c r="G30" s="28" t="str">
        <ns0:f>IF(ABS(E30)&lt;=F30,"PASS","REVIEW")</ns0:f>
        <ns0:v>PASS</ns0:v>
      </ns0:c>
      <ns0:c r="H30" s="64" t="inlineStr">
        <ns0:is>
          <ns0:t>0.1 percentage-point tolerance for rounded published weights and growth.</ns0:t>
        </ns0:is>
      </ns0:c>
    </ns0:row>
    <ns0:row r="31" ht="32" customHeight="1">
      <ns0:c r="A31" s="64" t="inlineStr">
        <ns0:is>
          <ns0:t>Jul weight percentage</ns0:t>
        </ns0:is>
      </ns0:c>
      <ns0:c r="B31" s="64" t="inlineStr">
        <ns0:is>
          <ns0:t>fraction</ns0:t>
        </ns0:is>
      </ns0:c>
      <ns0:c r="C31" s="59" t="n">
        <ns0:f>'Monthly comparison'!H13</ns0:f>
        <ns0:v>0.7085240771860692</ns0:v>
      </ns0:c>
      <ns0:c r="D31" s="59" t="n">
        <ns0:f>'DIAN raw'!H13</ns0:f>
        <ns0:v>0.708</ns0:v>
      </ns0:c>
      <ns0:c r="E31" s="25" t="n">
        <ns0:f>C31-D31</ns0:f>
        <ns0:v>0.0005240771860692828</ns0:v>
      </ns0:c>
      <ns0:c r="F31" s="85" t="n">
        <ns0:v>0.001</ns0:v>
      </ns0:c>
      <ns0:c r="G31" s="28" t="str">
        <ns0:f>IF(ABS(E31)&lt;=F31,"PASS","REVIEW")</ns0:f>
        <ns0:v>PASS</ns0:v>
      </ns0:c>
      <ns0:c r="H31" s="64" t="inlineStr">
        <ns0:is>
          <ns0:t>0.1 percentage-point tolerance for rounded published weights and growth.</ns0:t>
        </ns0:is>
      </ns0:c>
    </ns0:row>
    <ns0:row r="32" ht="32" customHeight="1">
      <ns0:c r="A32" s="64" t="inlineStr">
        <ns0:is>
          <ns0:t>Aug weight percentage</ns0:t>
        </ns0:is>
      </ns0:c>
      <ns0:c r="B32" s="64" t="inlineStr">
        <ns0:is>
          <ns0:t>fraction</ns0:t>
        </ns0:is>
      </ns0:c>
      <ns0:c r="C32" s="59" t="n">
        <ns0:f>'Monthly comparison'!H14</ns0:f>
        <ns0:v>1.0149580125962214</ns0:v>
      </ns0:c>
      <ns0:c r="D32" s="59" t="n">
        <ns0:f>'DIAN raw'!H14</ns0:f>
        <ns0:v>1.015</ns0:v>
      </ns0:c>
      <ns0:c r="E32" s="25" t="n">
        <ns0:f>C32-D32</ns0:f>
        <ns0:v>-0.00004198740377847621</ns0:v>
      </ns0:c>
      <ns0:c r="F32" s="85" t="n">
        <ns0:v>0.001</ns0:v>
      </ns0:c>
      <ns0:c r="G32" s="28" t="str">
        <ns0:f>IF(ABS(E32)&lt;=F32,"PASS","REVIEW")</ns0:f>
        <ns0:v>PASS</ns0:v>
      </ns0:c>
      <ns0:c r="H32" s="64" t="inlineStr">
        <ns0:is>
          <ns0:t>0.1 percentage-point tolerance for rounded published weights and growth.</ns0:t>
        </ns0:is>
      </ns0:c>
    </ns0:row>
    <ns0:row r="33" ht="32" customHeight="1">
      <ns0:c r="A33" s="64" t="inlineStr">
        <ns0:is>
          <ns0:t>Sep weight percentage</ns0:t>
        </ns0:is>
      </ns0:c>
      <ns0:c r="B33" s="64" t="inlineStr">
        <ns0:is>
          <ns0:t>fraction</ns0:t>
        </ns0:is>
      </ns0:c>
      <ns0:c r="C33" s="59" t="n">
        <ns0:f>'Monthly comparison'!H15</ns0:f>
        <ns0:v>1.245696291112666</ns0:v>
      </ns0:c>
      <ns0:c r="D33" s="59" t="n">
        <ns0:f>'DIAN raw'!H15</ns0:f>
        <ns0:v>1.246</ns0:v>
      </ns0:c>
      <ns0:c r="E33" s="25" t="n">
        <ns0:f>C33-D33</ns0:f>
        <ns0:v>-0.0003037088873338867</ns0:v>
      </ns0:c>
      <ns0:c r="F33" s="85" t="n">
        <ns0:v>0.001</ns0:v>
      </ns0:c>
      <ns0:c r="G33" s="28" t="str">
        <ns0:f>IF(ABS(E33)&lt;=F33,"PASS","REVIEW")</ns0:f>
        <ns0:v>PASS</ns0:v>
      </ns0:c>
      <ns0:c r="H33" s="64" t="inlineStr">
        <ns0:is>
          <ns0:t>0.1 percentage-point tolerance for rounded published weights and growth.</ns0:t>
        </ns0:is>
      </ns0:c>
    </ns0:row>
    <ns0:row r="34" ht="32" customHeight="1">
      <ns0:c r="A34" s="64" t="inlineStr">
        <ns0:is>
          <ns0:t>Oct weight percentage</ns0:t>
        </ns0:is>
      </ns0:c>
      <ns0:c r="B34" s="64" t="inlineStr">
        <ns0:is>
          <ns0:t>fraction</ns0:t>
        </ns0:is>
      </ns0:c>
      <ns0:c r="C34" s="59" t="n">
        <ns0:f>'Monthly comparison'!H16</ns0:f>
        <ns0:v>1.835370823145884</ns0:v>
      </ns0:c>
      <ns0:c r="D34" s="59" t="n">
        <ns0:f>'DIAN raw'!H16</ns0:f>
        <ns0:v>1.835</ns0:v>
      </ns0:c>
      <ns0:c r="E34" s="25" t="n">
        <ns0:f>C34-D34</ns0:f>
        <ns0:v>0.0003708231458841027</ns0:v>
      </ns0:c>
      <ns0:c r="F34" s="85" t="n">
        <ns0:v>0.001</ns0:v>
      </ns0:c>
      <ns0:c r="G34" s="28" t="str">
        <ns0:f>IF(ABS(E34)&lt;=F34,"PASS","REVIEW")</ns0:f>
        <ns0:v>PASS</ns0:v>
      </ns0:c>
      <ns0:c r="H34" s="64" t="inlineStr">
        <ns0:is>
          <ns0:t>0.1 percentage-point tolerance for rounded published weights and growth.</ns0:t>
        </ns0:is>
      </ns0:c>
    </ns0:row>
    <ns0:row r="37" ht="48" customHeight="1">
      <ns0:c r="A37" s="55" t="inlineStr">
        <ns0:is>
          <ns0:t>Unresolved metadata: product HS code; all-partner/national coverage; imports versus net trade; exact snapshot cutoff; reason for the non-reconciling 2025 totals. Signed data remain intact.</ns0:t>
        </ns0:is>
      </ns0:c>
    </ns0:row>
  </ns0:sheetData>
  <ns0:mergeCells count="3">
    <ns0:mergeCell ref="A37:H37"/>
    <ns0:mergeCell ref="A2:H3"/>
    <ns0:mergeCell ref="A1:H1"/>
  </ns0:mergeCells>
  <ns0:pageMargins left="0.75" right="0.75" top="1" bottom="1" header="0.5" footer="0.5"/>
  <ns0:pageSetup orientation="landscape" paperSize="8" fitToHeight="0" fitToWidth="1"/>
</ns0:worksheet>
</file>

<file path=xl/worksheets/sheet8.xml><?xml version="1.0" encoding="utf-8"?>
<ns0:worksheet xmlns:ns0="http://schemas.openxmlformats.org/spreadsheetml/2006/main" xmlns:ns1="http://schemas.openxmlformats.org/officeDocument/2006/relationships">
  <ns0:sheetPr>
    <ns0:outlinePr summaryBelow="1" summaryRight="1"/>
    <ns0:pageSetUpPr fitToPage="1"/>
  </ns0:sheetPr>
  <ns0:dimension ref="A1:I41"/>
  <ns0:sheetViews>
    <ns0:sheetView showGridLines="0" workbookViewId="0">
      <ns0:pane xSplit="1" ySplit="6" topLeftCell="B7" activePane="bottomRight" state="frozen"/>
      <ns0:selection pane="topRight"/>
      <ns0:selection pane="bottomLeft"/>
      <ns0:selection pane="bottomRight" activeCell="A1" sqref="A1"/>
    </ns0:sheetView>
  </ns0:sheetViews>
  <ns0:sheetFormatPr baseColWidth="8" defaultRowHeight="15"/>
  <ns0:cols>
    <ns0:col width="16" customWidth="1" min="1" max="1"/>
    <ns0:col width="16" customWidth="1" min="2" max="2"/>
    <ns0:col width="16" customWidth="1" min="3" max="3"/>
    <ns0:col width="16" customWidth="1" min="4" max="4"/>
    <ns0:col width="16" customWidth="1" min="5" max="5"/>
    <ns0:col width="16" customWidth="1" min="6" max="6"/>
    <ns0:col width="16" customWidth="1" min="7" max="7"/>
    <ns0:col width="16" customWidth="1" min="8" max="8"/>
    <ns0:col width="16" customWidth="1" min="9" max="9"/>
  </ns0:cols>
  <ns0:sheetData>
    <ns0:row r="1" ht="39" customHeight="1">
      <ns0:c r="A1" s="50" t="inlineStr">
        <ns0:is>
          <ns0:t>EVIDENCE | USER-SUPPLIED SCREENSHOTS</ns0:t>
        </ns0:is>
      </ns0:c>
    </ns0:row>
    <ns0:row r="2" ht="23" customHeight="1">
      <ns0:c r="A2" s="51" t="inlineStr">
        <ns0:is>
          <ns0:t>Original cropped tables. The underlying filter selections, dashboard page title and precise refresh/cutoff date are not visible.</ns0:t>
        </ns0:is>
      </ns0:c>
    </ns0:row>
    <ns0:row r="3" ht="23" customHeight="1"/>
    <ns0:row r="5" ht="17" customHeight="1"/>
    <ns0:row r="6" ht="17" customHeight="1"/>
    <ns0:row r="7" ht="17" customHeight="1"/>
    <ns0:row r="8" ht="17" customHeight="1"/>
    <ns0:row r="9" ht="17" customHeight="1"/>
    <ns0:row r="10" ht="17" customHeight="1"/>
    <ns0:row r="11" ht="17" customHeight="1"/>
    <ns0:row r="12" ht="17" customHeight="1"/>
    <ns0:row r="13" ht="17" customHeight="1"/>
    <ns0:row r="14" ht="17" customHeight="1"/>
    <ns0:row r="15" ht="17" customHeight="1"/>
    <ns0:row r="16" ht="17" customHeight="1"/>
    <ns0:row r="17" ht="17" customHeight="1"/>
    <ns0:row r="18" ht="17" customHeight="1"/>
    <ns0:row r="19" ht="17" customHeight="1"/>
    <ns0:row r="20" ht="17" customHeight="1"/>
    <ns0:row r="21" ht="17" customHeight="1"/>
    <ns0:row r="22" ht="17" customHeight="1"/>
    <ns0:row r="23" ht="17" customHeight="1"/>
    <ns0:row r="24" ht="17" customHeight="1"/>
    <ns0:row r="25" ht="17" customHeight="1"/>
    <ns0:row r="26" ht="17" customHeight="1"/>
    <ns0:row r="27" ht="17" customHeight="1"/>
    <ns0:row r="28" ht="17" customHeight="1"/>
    <ns0:row r="29" ht="17" customHeight="1"/>
    <ns0:row r="30" ht="17" customHeight="1"/>
    <ns0:row r="31" ht="17" customHeight="1"/>
    <ns0:row r="32" ht="17" customHeight="1"/>
    <ns0:row r="33" ht="17" customHeight="1"/>
    <ns0:row r="34" ht="17" customHeight="1"/>
    <ns0:row r="35" ht="17" customHeight="1"/>
    <ns0:row r="36" ht="17" customHeight="1"/>
    <ns0:row r="37" ht="17" customHeight="1"/>
    <ns0:row r="39" ht="40" customHeight="1">
      <ns0:c r="A39" s="51" t="inlineStr">
        <ns0:is>
          <ns0:t>Image 1: FOB values. Image 2: net weights. Visual transcription; no OCR. Data snapshot labelled 2025/2026; captured during this conversation on 27 October 2026.</ns0:t>
        </ns0:is>
      </ns0:c>
    </ns0:row>
    <ns0:row r="41" ht="28" customHeight="1">
      <ns0:c r="A41" s="51" t="inlineStr">
        <ns0:is>
          <ns0:t>https://www.dian.gov.co/dian/cifras/Paginas/EstadisticasComEx.aspx</ns0:t>
        </ns0:is>
      </ns0:c>
    </ns0:row>
  </ns0:sheetData>
  <ns0:mergeCells count="4">
    <ns0:mergeCell ref="A1:I1"/>
    <ns0:mergeCell ref="A2:I3"/>
    <ns0:mergeCell ref="A41:I41"/>
    <ns0:mergeCell ref="A39:I39"/>
  </ns0:mergeCells>
  <ns0:pageMargins left="0.75" right="0.75" top="1" bottom="1" header="0.5" footer="0.5"/>
  <ns0:pageSetup orientation="landscape" paperSize="8" fitToHeight="0" fitToWidth="1"/>
  <ns0:drawing ns1:id="rId1"/>
</ns0:worksheet>
</file>

<file path=xl/worksheets/sheet9.xml><?xml version="1.0" encoding="utf-8"?>
<ns0:worksheet xmlns:ns0="http://schemas.openxmlformats.org/spreadsheetml/2006/main" xmlns:ns1="http://schemas.openxmlformats.org/officeDocument/2006/relationships">
  <ns0:sheetPr>
    <ns0:outlinePr summaryBelow="1" summaryRight="0"/>
    <ns0:pageSetUpPr fitToPage="1"/>
  </ns0:sheetPr>
  <ns0:dimension ref="A1:I75"/>
  <ns0:sheetViews>
    <ns0:sheetView showGridLines="0" workbookViewId="0">
      <ns0:selection activeCell="A1" sqref="A1"/>
    </ns0:sheetView>
  </ns0:sheetViews>
  <ns0:sheetFormatPr baseColWidth="8" defaultRowHeight="15"/>
  <ns0:cols>
    <ns0:col width="15" customWidth="1" min="1" max="1"/>
    <ns0:col width="15" customWidth="1" min="2" max="2"/>
    <ns0:col width="15" customWidth="1" min="3" max="3"/>
    <ns0:col width="15" customWidth="1" min="4" max="4"/>
    <ns0:col width="15" customWidth="1" min="5" max="5"/>
    <ns0:col width="15" customWidth="1" min="6" max="6"/>
    <ns0:col width="15" customWidth="1" min="7" max="7"/>
    <ns0:col width="15" customWidth="1" min="8" max="8"/>
    <ns0:col width="15" customWidth="1" min="9" max="9"/>
  </ns0:cols>
  <ns0:sheetData>
    <ns0:row r="1" ht="42" customHeight="1">
      <ns0:c r="A1" s="1" t="inlineStr">
        <ns0:is>
          <ns0:t>CHARTS | VERIFIED SERIES</ns0:t>
        </ns0:is>
      </ns0:c>
    </ns0:row>
    <ns0:row r="2" ht="26" customHeight="1">
      <ns0:c r="A2" s="3" t="inlineStr">
        <ns0:is>
          <ns0:t>Editable Excel charts. Annual customs values are CIF. BMC lines are a forward supply-demand scenario, not imports.</ns0:t>
        </ns0:is>
      </ns0:c>
    </ns0:row>
    <ns0:row r="3" ht="16" customHeight="1"/>
    <ns0:row r="5" ht="40" customHeight="1">
      <ns0:c r="A5" s="3" t="inlineStr">
        <ns0:is>
          <ns0:t>National customs series: only full calendar years are compared. Missing reported quantities are not filled.</ns0:t>
        </ns0:is>
      </ns0:c>
    </ns0:row>
    <ns0:row r="25" ht="40" customHeight="1">
      <ns0:c r="A25" s="8" t="inlineStr">
        <ns0:is>
          <ns0:t>Partner chart: the 2025 WITS label Tanzania is reconciled to Trinidad and Tobago using DANE. The unaltered source label is retained in Partners.</ns0:t>
        </ns0:is>
      </ns0:c>
    </ns0:row>
    <ns0:row r="45" ht="40" customHeight="1">
      <ns0:c r="A45" s="8" t="inlineStr">
        <ns0:is>
          <ns0:t>Forward scenario, not actual imports. Exact values come from the 14 rows visible in the supplied screenshot; no terminal-level bar values were inferred.</ns0:t>
        </ns0:is>
      </ns0:c>
    </ns0:row>
    <ns0:row r="66">
      <ns0:c r="A66" t="inlineStr">
        <ns0:is>
          <ns0:t>Year</ns0:t>
        </ns0:is>
      </ns0:c>
      <ns0:c r="B66" t="inlineStr">
        <ns0:is>
          <ns0:t>United States</ns0:t>
        </ns0:is>
      </ns0:c>
      <ns0:c r="C66" t="inlineStr">
        <ns0:is>
          <ns0:t>Trinidad and Tobago</ns0:t>
        </ns0:is>
      </ns0:c>
      <ns0:c r="D66" t="inlineStr">
        <ns0:is>
          <ns0:t>United Kingdom</ns0:t>
        </ns0:is>
      </ns0:c>
      <ns0:c r="E66" t="inlineStr">
        <ns0:is>
          <ns0:t>Other reported partners</ns0:t>
        </ns0:is>
      </ns0:c>
    </ns0:row>
    <ns0:row r="67">
      <ns0:c r="A67" t="n">
        <ns0:v>2017</ns0:v>
      </ns0:c>
      <ns0:c r="B67" s="86" t="n">
        <ns0:f>SUMIFS(Partners!$F$7:$F$43,Partners!$A$7:$A$43,A67,Partners!$B$7:$B$43,"271111",Partners!$D$7:$D$43,B$66)/Settings!$B$8</ns0:f>
        <ns0:v>0</ns0:v>
      </ns0:c>
      <ns0:c r="C67" s="86" t="n">
        <ns0:f>SUMIFS(Partners!$F$7:$F$43,Partners!$A$7:$A$43,A67,Partners!$B$7:$B$43,"271111",Partners!$D$7:$D$43,C$66)/Settings!$B$8</ns0:f>
        <ns0:v>0</ns0:v>
      </ns0:c>
      <ns0:c r="D67" s="86" t="n">
        <ns0:f>SUMIFS(Partners!$F$7:$F$43,Partners!$A$7:$A$43,A67,Partners!$B$7:$B$43,"271111",Partners!$D$7:$D$43,D$66)/Settings!$B$8</ns0:f>
        <ns0:v>0</ns0:v>
      </ns0:c>
      <ns0:c r="E67" s="86" t="n">
        <ns0:f>SUMIFS(Partners!$F$7:$F$43,Partners!$A$7:$A$43,A67,Partners!$B$7:$B$43,"271111")/Settings!$B$8-SUM(B67:D67)</ns0:f>
        <ns0:v>11.92593</ns0:v>
      </ns0:c>
    </ns0:row>
    <ns0:row r="68">
      <ns0:c r="A68" t="n">
        <ns0:v>2018</ns0:v>
      </ns0:c>
      <ns0:c r="B68" s="86" t="n">
        <ns0:f>SUMIFS(Partners!$F$7:$F$43,Partners!$A$7:$A$43,A68,Partners!$B$7:$B$43,"271111",Partners!$D$7:$D$43,B$66)/Settings!$B$8</ns0:f>
        <ns0:v>39.55393</ns0:v>
      </ns0:c>
      <ns0:c r="C68" s="86" t="n">
        <ns0:f>SUMIFS(Partners!$F$7:$F$43,Partners!$A$7:$A$43,A68,Partners!$B$7:$B$43,"271111",Partners!$D$7:$D$43,C$66)/Settings!$B$8</ns0:f>
        <ns0:v>36.71102</ns0:v>
      </ns0:c>
      <ns0:c r="D68" s="86" t="n">
        <ns0:f>SUMIFS(Partners!$F$7:$F$43,Partners!$A$7:$A$43,A68,Partners!$B$7:$B$43,"271111",Partners!$D$7:$D$43,D$66)/Settings!$B$8</ns0:f>
        <ns0:v>32.60278</ns0:v>
      </ns0:c>
      <ns0:c r="E68" s="86" t="n">
        <ns0:f>SUMIFS(Partners!$F$7:$F$43,Partners!$A$7:$A$43,A68,Partners!$B$7:$B$43,"271111")/Settings!$B$8-SUM(B68:D68)</ns0:f>
        <ns0:v>14.879640000000009</ns0:v>
      </ns0:c>
    </ns0:row>
    <ns0:row r="69">
      <ns0:c r="A69" t="n">
        <ns0:v>2019</ns0:v>
      </ns0:c>
      <ns0:c r="B69" s="86" t="n">
        <ns0:f>SUMIFS(Partners!$F$7:$F$43,Partners!$A$7:$A$43,A69,Partners!$B$7:$B$43,"271111",Partners!$D$7:$D$43,B$66)/Settings!$B$8</ns0:f>
        <ns0:v>21.90239</ns0:v>
      </ns0:c>
      <ns0:c r="C69" s="86" t="n">
        <ns0:f>SUMIFS(Partners!$F$7:$F$43,Partners!$A$7:$A$43,A69,Partners!$B$7:$B$43,"271111",Partners!$D$7:$D$43,C$66)/Settings!$B$8</ns0:f>
        <ns0:v>7.83293</ns0:v>
      </ns0:c>
      <ns0:c r="D69" s="86" t="n">
        <ns0:f>SUMIFS(Partners!$F$7:$F$43,Partners!$A$7:$A$43,A69,Partners!$B$7:$B$43,"271111",Partners!$D$7:$D$43,D$66)/Settings!$B$8</ns0:f>
        <ns0:v>0</ns0:v>
      </ns0:c>
      <ns0:c r="E69" s="86" t="n">
        <ns0:f>SUMIFS(Partners!$F$7:$F$43,Partners!$A$7:$A$43,A69,Partners!$B$7:$B$43,"271111")/Settings!$B$8-SUM(B69:D69)</ns0:f>
        <ns0:v>27.308729999999997</ns0:v>
      </ns0:c>
    </ns0:row>
    <ns0:row r="70">
      <ns0:c r="A70" t="n">
        <ns0:v>2020</ns0:v>
      </ns0:c>
      <ns0:c r="B70" s="86" t="n">
        <ns0:f>SUMIFS(Partners!$F$7:$F$43,Partners!$A$7:$A$43,A70,Partners!$B$7:$B$43,"271111",Partners!$D$7:$D$43,B$66)/Settings!$B$8</ns0:f>
        <ns0:v>2.97281</ns0:v>
      </ns0:c>
      <ns0:c r="C70" s="86" t="n">
        <ns0:f>SUMIFS(Partners!$F$7:$F$43,Partners!$A$7:$A$43,A70,Partners!$B$7:$B$43,"271111",Partners!$D$7:$D$43,C$66)/Settings!$B$8</ns0:f>
        <ns0:v>13.41035</ns0:v>
      </ns0:c>
      <ns0:c r="D70" s="86" t="n">
        <ns0:f>SUMIFS(Partners!$F$7:$F$43,Partners!$A$7:$A$43,A70,Partners!$B$7:$B$43,"271111",Partners!$D$7:$D$43,D$66)/Settings!$B$8</ns0:f>
        <ns0:v>20.3398</ns0:v>
      </ns0:c>
      <ns0:c r="E70" s="86" t="n">
        <ns0:f>SUMIFS(Partners!$F$7:$F$43,Partners!$A$7:$A$43,A70,Partners!$B$7:$B$43,"271111")/Settings!$B$8-SUM(B70:D70)</ns0:f>
        <ns0:v>23.187359999999998</ns0:v>
      </ns0:c>
    </ns0:row>
    <ns0:row r="71">
      <ns0:c r="A71" t="n">
        <ns0:v>2021</ns0:v>
      </ns0:c>
      <ns0:c r="B71" s="86" t="n">
        <ns0:f>SUMIFS(Partners!$F$7:$F$43,Partners!$A$7:$A$43,A71,Partners!$B$7:$B$43,"271111",Partners!$D$7:$D$43,B$66)/Settings!$B$8</ns0:f>
        <ns0:v>14.51052</ns0:v>
      </ns0:c>
      <ns0:c r="C71" s="86" t="n">
        <ns0:f>SUMIFS(Partners!$F$7:$F$43,Partners!$A$7:$A$43,A71,Partners!$B$7:$B$43,"271111",Partners!$D$7:$D$43,C$66)/Settings!$B$8</ns0:f>
        <ns0:v>0</ns0:v>
      </ns0:c>
      <ns0:c r="D71" s="86" t="n">
        <ns0:f>SUMIFS(Partners!$F$7:$F$43,Partners!$A$7:$A$43,A71,Partners!$B$7:$B$43,"271111",Partners!$D$7:$D$43,D$66)/Settings!$B$8</ns0:f>
        <ns0:v>13.42246</ns0:v>
      </ns0:c>
      <ns0:c r="E71" s="86" t="n">
        <ns0:f>SUMIFS(Partners!$F$7:$F$43,Partners!$A$7:$A$43,A71,Partners!$B$7:$B$43,"271111")/Settings!$B$8-SUM(B71:D71)</ns0:f>
        <ns0:v>0.008510000000001128</ns0:v>
      </ns0:c>
    </ns0:row>
    <ns0:row r="72">
      <ns0:c r="A72" t="n">
        <ns0:v>2022</ns0:v>
      </ns0:c>
      <ns0:c r="B72" s="86" t="n">
        <ns0:f>SUMIFS(Partners!$F$7:$F$43,Partners!$A$7:$A$43,A72,Partners!$B$7:$B$43,"271111",Partners!$D$7:$D$43,B$66)/Settings!$B$8</ns0:f>
        <ns0:v>87.55064</ns0:v>
      </ns0:c>
      <ns0:c r="C72" s="86" t="n">
        <ns0:f>SUMIFS(Partners!$F$7:$F$43,Partners!$A$7:$A$43,A72,Partners!$B$7:$B$43,"271111",Partners!$D$7:$D$43,C$66)/Settings!$B$8</ns0:f>
        <ns0:v>0</ns0:v>
      </ns0:c>
      <ns0:c r="D72" s="86" t="n">
        <ns0:f>SUMIFS(Partners!$F$7:$F$43,Partners!$A$7:$A$43,A72,Partners!$B$7:$B$43,"271111",Partners!$D$7:$D$43,D$66)/Settings!$B$8</ns0:f>
        <ns0:v>0</ns0:v>
      </ns0:c>
      <ns0:c r="E72" s="86" t="n">
        <ns0:f>SUMIFS(Partners!$F$7:$F$43,Partners!$A$7:$A$43,A72,Partners!$B$7:$B$43,"271111")/Settings!$B$8-SUM(B72:D72)</ns0:f>
        <ns0:v>0</ns0:v>
      </ns0:c>
    </ns0:row>
    <ns0:row r="73">
      <ns0:c r="A73" t="n">
        <ns0:v>2023</ns0:v>
      </ns0:c>
      <ns0:c r="B73" s="86" t="n">
        <ns0:f>SUMIFS(Partners!$F$7:$F$43,Partners!$A$7:$A$43,A73,Partners!$B$7:$B$43,"271111",Partners!$D$7:$D$43,B$66)/Settings!$B$8</ns0:f>
        <ns0:v>410.85209</ns0:v>
      </ns0:c>
      <ns0:c r="C73" s="86" t="n">
        <ns0:f>SUMIFS(Partners!$F$7:$F$43,Partners!$A$7:$A$43,A73,Partners!$B$7:$B$43,"271111",Partners!$D$7:$D$43,C$66)/Settings!$B$8</ns0:f>
        <ns0:v>30.60301</ns0:v>
      </ns0:c>
      <ns0:c r="D73" s="86" t="n">
        <ns0:f>SUMIFS(Partners!$F$7:$F$43,Partners!$A$7:$A$43,A73,Partners!$B$7:$B$43,"271111",Partners!$D$7:$D$43,D$66)/Settings!$B$8</ns0:f>
        <ns0:v>0.00087</ns0:v>
      </ns0:c>
      <ns0:c r="E73" s="86" t="n">
        <ns0:f>SUMIFS(Partners!$F$7:$F$43,Partners!$A$7:$A$43,A73,Partners!$B$7:$B$43,"271111")/Settings!$B$8-SUM(B73:D73)</ns0:f>
        <ns0:v>0</ns0:v>
      </ns0:c>
    </ns0:row>
    <ns0:row r="74">
      <ns0:c r="A74" t="n">
        <ns0:v>2024</ns0:v>
      </ns0:c>
      <ns0:c r="B74" s="86" t="n">
        <ns0:f>SUMIFS(Partners!$F$7:$F$43,Partners!$A$7:$A$43,A74,Partners!$B$7:$B$43,"271111",Partners!$D$7:$D$43,B$66)/Settings!$B$8</ns0:f>
        <ns0:v>771.97825</ns0:v>
      </ns0:c>
      <ns0:c r="C74" s="86" t="n">
        <ns0:f>SUMIFS(Partners!$F$7:$F$43,Partners!$A$7:$A$43,A74,Partners!$B$7:$B$43,"271111",Partners!$D$7:$D$43,C$66)/Settings!$B$8</ns0:f>
        <ns0:v>134.54294</ns0:v>
      </ns0:c>
      <ns0:c r="D74" s="86" t="n">
        <ns0:f>SUMIFS(Partners!$F$7:$F$43,Partners!$A$7:$A$43,A74,Partners!$B$7:$B$43,"271111",Partners!$D$7:$D$43,D$66)/Settings!$B$8</ns0:f>
        <ns0:v>38.92535</ns0:v>
      </ns0:c>
      <ns0:c r="E74" s="86" t="n">
        <ns0:f>SUMIFS(Partners!$F$7:$F$43,Partners!$A$7:$A$43,A74,Partners!$B$7:$B$43,"271111")/Settings!$B$8-SUM(B74:D74)</ns0:f>
        <ns0:v>1.1368683772161603e-13</ns0:v>
      </ns0:c>
    </ns0:row>
    <ns0:row r="75">
      <ns0:c r="A75" t="n">
        <ns0:v>2025</ns0:v>
      </ns0:c>
      <ns0:c r="B75" s="86" t="n">
        <ns0:f>SUMIFS(Partners!$F$7:$F$43,Partners!$A$7:$A$43,A75,Partners!$B$7:$B$43,"271111",Partners!$D$7:$D$43,B$66)/Settings!$B$8</ns0:f>
        <ns0:v>388.39081</ns0:v>
      </ns0:c>
      <ns0:c r="C75" s="86" t="n">
        <ns0:f>SUMIFS(Partners!$F$7:$F$43,Partners!$A$7:$A$43,A75,Partners!$B$7:$B$43,"271111",Partners!$D$7:$D$43,C$66)/Settings!$B$8</ns0:f>
        <ns0:v>390.80822</ns0:v>
      </ns0:c>
      <ns0:c r="D75" s="86" t="n">
        <ns0:f>SUMIFS(Partners!$F$7:$F$43,Partners!$A$7:$A$43,A75,Partners!$B$7:$B$43,"271111",Partners!$D$7:$D$43,D$66)/Settings!$B$8</ns0:f>
        <ns0:v>0.00463</ns0:v>
      </ns0:c>
      <ns0:c r="E75" s="86" t="n">
        <ns0:f>SUMIFS(Partners!$F$7:$F$43,Partners!$A$7:$A$43,A75,Partners!$B$7:$B$43,"271111")/Settings!$B$8-SUM(B75:D75)</ns0:f>
        <ns0:v>0</ns0:v>
      </ns0:c>
    </ns0:row>
  </ns0:sheetData>
  <ns0:mergeCells count="5">
    <ns0:mergeCell ref="A2:I3"/>
    <ns0:mergeCell ref="A25:I25"/>
    <ns0:mergeCell ref="A5:I5"/>
    <ns0:mergeCell ref="A1:I1"/>
    <ns0:mergeCell ref="A45:I45"/>
  </ns0:mergeCells>
  <ns0:printOptions horizontalCentered="1"/>
  <ns0:pageMargins left="0.75" right="0.75" top="1" bottom="1" header="0.5" footer="0.5"/>
  <ns0:pageSetup orientation="landscape" paperSize="8" fitToHeight="0" fitToWidth="1"/>
  <ns0:headerFooter>
    <ns0:oddHeader/>
    <ns0:oddFooter>&amp;CColombia natural gas | Sources and limitations inside workbook&amp;RPage &amp;P</ns0:oddFooter>
    <ns0:evenHeader/>
    <ns0:evenFooter/>
    <ns0:firstHeader/>
    <ns0:firstFooter/>
  </ns0:headerFooter>
  <ns0:drawing ns1:id="rId1"/>
</ns0:worksheet>
</file>

<file path=xl/worksheets/sheet10.xml><?xml version="1.0" encoding="utf-8"?>
<ns0:worksheet xmlns:ns0="http://schemas.openxmlformats.org/spreadsheetml/2006/main" xmlns:ns1="http://schemas.openxmlformats.org/officeDocument/2006/relationships">
  <ns0:sheetPr>
    <ns0:outlinePr summaryBelow="1" summaryRight="0"/>
    <ns0:pageSetUpPr fitToPage="1"/>
  </ns0:sheetPr>
  <ns0:dimension ref="A1:K18"/>
  <ns0:sheetViews>
    <ns0:sheetView showGridLines="0" workbookViewId="0">
      <ns0:pane xSplit="2" ySplit="6" topLeftCell="C7" activePane="bottomRight" state="frozen"/>
      <ns0:selection pane="topRight" activeCell="A1" sqref="A1"/>
      <ns0:selection pane="bottomLeft" activeCell="A1" sqref="A1"/>
      <ns0:selection pane="bottomRight" activeCell="A1" sqref="A1"/>
    </ns0:sheetView>
  </ns0:sheetViews>
  <ns0:sheetFormatPr baseColWidth="8" defaultRowHeight="15"/>
  <ns0:cols>
    <ns0:col width="10" customWidth="1" min="1" max="1"/>
    <ns0:col width="23" customWidth="1" min="2" max="2"/>
    <ns0:col width="23" customWidth="1" min="3" max="3"/>
    <ns0:col width="25" customWidth="1" min="4" max="4"/>
    <ns0:col width="22" customWidth="1" min="5" max="5"/>
    <ns0:col width="25" customWidth="1" min="6" max="6"/>
    <ns0:col width="25" customWidth="1" min="7" max="7"/>
    <ns0:col width="21" customWidth="1" min="8" max="8"/>
    <ns0:col width="43" customWidth="1" min="9" max="9"/>
    <ns0:col width="66" customWidth="1" min="10" max="10"/>
    <ns0:col width="66" customWidth="1" min="11" max="11"/>
  </ns0:cols>
  <ns0:sheetData>
    <ns0:row r="1" ht="42" customHeight="1">
      <ns0:c r="A1" s="1" t="inlineStr">
        <ns0:is>
          <ns0:t>ANNUAL IMPORTS | CHART-READY</ns0:t>
        </ns0:is>
      </ns0:c>
    </ns0:row>
    <ns0:row r="2" ht="26" customHeight="1">
      <ns0:c r="A2" s="3" t="inlineStr">
        <ns0:is>
          <ns0:t>LNG: 2017-2025. Gaseous natural gas: 2021-2025 only. Blank values mean unavailable in this extraction, not zero. World totals are not added to partner rows.</ns0:t>
        </ns0:is>
      </ns0:c>
    </ns0:row>
    <ns0:row r="3" ht="16" customHeight="1"/>
    <ns0:row r="6" ht="42" customHeight="1">
      <ns0:c r="A6" s="12" t="inlineStr">
        <ns0:is>
          <ns0:t>Year</ns0:t>
        </ns0:is>
      </ns0:c>
      <ns0:c r="B6" s="12" t="inlineStr">
        <ns0:is>
          <ns0:t>LNG CIF (US$)</ns0:t>
        </ns0:is>
      </ns0:c>
      <ns0:c r="C6" s="12" t="inlineStr">
        <ns0:is>
          <ns0:t>Gaseous gas CIF (US$)</ns0:t>
        </ns0:is>
      </ns0:c>
      <ns0:c r="D6" s="12" t="inlineStr">
        <ns0:is>
          <ns0:t>Total natural gas CIF (US$)</ns0:t>
        </ns0:is>
      </ns0:c>
      <ns0:c r="E6" s="12" t="inlineStr">
        <ns0:is>
          <ns0:t>LNG CIF (US$ million)</ns0:t>
        </ns0:is>
      </ns0:c>
      <ns0:c r="F6" s="12" t="inlineStr">
        <ns0:is>
          <ns0:t>LNG reported quantity (tonnes)</ns0:t>
        </ns0:is>
      </ns0:c>
      <ns0:c r="G6" s="12" t="inlineStr">
        <ns0:is>
          <ns0:t>LNG CIF unit value (US$/tonne)</ns0:t>
        </ns0:is>
      </ns0:c>
      <ns0:c r="H6" s="12" t="inlineStr">
        <ns0:is>
          <ns0:t>LNG value YoY (%)</ns0:t>
        </ns0:is>
      </ns0:c>
      <ns0:c r="I6" s="12" t="inlineStr">
        <ns0:is>
          <ns0:t>Quantity status</ns0:t>
        </ns0:is>
      </ns0:c>
      <ns0:c r="J6" s="12" t="inlineStr">
        <ns0:is>
          <ns0:t>LNG source URL</ns0:t>
        </ns0:is>
      </ns0:c>
      <ns0:c r="K6" s="12" t="inlineStr">
        <ns0:is>
          <ns0:t>Gaseous-gas source URL</ns0:t>
        </ns0:is>
      </ns0:c>
    </ns0:row>
    <ns0:row r="7" ht="42" customHeight="1">
      <ns0:c r="A7" s="13" t="n">
        <ns0:v>2017</ns0:v>
      </ns0:c>
      <ns0:c r="B7" s="58" t="n">
        <ns0:f>'Annual raw'!F7</ns0:f>
        <ns0:v>11925930</ns0:v>
      </ns0:c>
      <ns0:c r="C7" s="87" t="n"/>
      <ns0:c r="D7" s="65" t="str">
        <ns0:f>IF(COUNT(B7:C7)=2,SUM(B7:C7),"")</ns0:f>
      </ns0:c>
      <ns0:c r="E7" s="65" t="n">
        <ns0:f>B7/Settings!$B$8</ns0:f>
        <ns0:v>11.92593</ns0:v>
      </ns0:c>
      <ns0:c r="F7" s="65" t="n">
        <ns0:f>IF(ISNUMBER('Annual raw'!E7),'Annual raw'!E7/Settings!$B$9,"")</ns0:f>
        <ns0:v>38942.6</ns0:v>
      </ns0:c>
      <ns0:c r="G7" s="65" t="n">
        <ns0:f>IF(AND(ISNUMBER(F7),F7&gt;0),B7/F7,"")</ns0:f>
        <ns0:v>306.24380498477245</ns0:v>
      </ns0:c>
      <ns0:c r="H7" s="17" t="n"/>
      <ns0:c r="I7" s="18" t="inlineStr">
        <ns0:is>
          <ns0:t>Reported</ns0:t>
        </ns0:is>
      </ns0:c>
      <ns0:c r="J7" s="18" t="inlineStr">
        <ns0:is>
          <ns0:t>https://wits.worldbank.org/trade/comtrade/en/country/COL/year/2017/tradeflow/Imports/partner/ALL/product/271111</ns0:t>
        </ns0:is>
      </ns0:c>
      <ns0:c r="K7" s="18" t="n"/>
    </ns0:row>
    <ns0:row r="8" ht="42" customHeight="1">
      <ns0:c r="A8" s="19" t="n">
        <ns0:v>2018</ns0:v>
      </ns0:c>
      <ns0:c r="B8" s="88" t="n">
        <ns0:f>'Annual raw'!F8</ns0:f>
        <ns0:v>123747360</ns0:v>
      </ns0:c>
      <ns0:c r="C8" s="89" t="n"/>
      <ns0:c r="D8" s="90" t="str">
        <ns0:f>IF(COUNT(B8:C8)=2,SUM(B8:C8),"")</ns0:f>
      </ns0:c>
      <ns0:c r="E8" s="90" t="n">
        <ns0:f>B8/Settings!$B$8</ns0:f>
        <ns0:v>123.74736</ns0:v>
      </ns0:c>
      <ns0:c r="F8" s="90" t="n">
        <ns0:f>IF(ISNUMBER('Annual raw'!E8),'Annual raw'!E8/Settings!$B$9,"")</ns0:f>
        <ns0:v>239638</ns0:v>
      </ns0:c>
      <ns0:c r="G8" s="90" t="n">
        <ns0:f>IF(AND(ISNUMBER(F8),F8&gt;0),B8/F8,"")</ns0:f>
        <ns0:v>516.3928926130246</ns0:v>
      </ns0:c>
      <ns0:c r="H8" s="23" t="n">
        <ns0:f>IFERROR(B8/B7-1,"")</ns0:f>
        <ns0:v>9.376327883863146</ns0:v>
      </ns0:c>
      <ns0:c r="I8" s="24" t="inlineStr">
        <ns0:is>
          <ns0:t>Reported</ns0:t>
        </ns0:is>
      </ns0:c>
      <ns0:c r="J8" s="24" t="inlineStr">
        <ns0:is>
          <ns0:t>https://wits.worldbank.org/trade/comtrade/en/country/COL/year/2018/tradeflow/Imports/partner/ALL/product/271111</ns0:t>
        </ns0:is>
      </ns0:c>
      <ns0:c r="K8" s="24" t="n"/>
    </ns0:row>
    <ns0:row r="9" ht="42" customHeight="1">
      <ns0:c r="A9" s="13" t="n">
        <ns0:v>2019</ns0:v>
      </ns0:c>
      <ns0:c r="B9" s="58" t="n">
        <ns0:f>'Annual raw'!F9</ns0:f>
        <ns0:v>57044060</ns0:v>
      </ns0:c>
      <ns0:c r="C9" s="87" t="n"/>
      <ns0:c r="D9" s="65" t="str">
        <ns0:f>IF(COUNT(B9:C9)=2,SUM(B9:C9),"")</ns0:f>
      </ns0:c>
      <ns0:c r="E9" s="65" t="n">
        <ns0:f>B9/Settings!$B$8</ns0:f>
        <ns0:v>57.04406</ns0:v>
      </ns0:c>
      <ns0:c r="F9" s="65" t="str">
        <ns0:f>IF(ISNUMBER('Annual raw'!E9),'Annual raw'!E9/Settings!$B$9,"")</ns0:f>
      </ns0:c>
      <ns0:c r="G9" s="65" t="str">
        <ns0:f>IF(AND(ISNUMBER(F9),F9&gt;0),B9/F9,"")</ns0:f>
      </ns0:c>
      <ns0:c r="H9" s="25" t="n">
        <ns0:f>IFERROR(B9/B8-1,"")</ns0:f>
        <ns0:v>-0.5390280649219507</ns0:v>
      </ns0:c>
      <ns0:c r="I9" s="26" t="inlineStr">
        <ns0:is>
          <ns0:t>Missing in WITS; not zero</ns0:t>
        </ns0:is>
      </ns0:c>
      <ns0:c r="J9" s="18" t="inlineStr">
        <ns0:is>
          <ns0:t>https://wits.worldbank.org/trade/comtrade/en/country/COL/year/2019/tradeflow/Imports/partner/ALL/product/271111</ns0:t>
        </ns0:is>
      </ns0:c>
      <ns0:c r="K9" s="18" t="n"/>
    </ns0:row>
    <ns0:row r="10" ht="42" customHeight="1">
      <ns0:c r="A10" s="19" t="n">
        <ns0:v>2020</ns0:v>
      </ns0:c>
      <ns0:c r="B10" s="88" t="n">
        <ns0:f>'Annual raw'!F10</ns0:f>
        <ns0:v>59910330</ns0:v>
      </ns0:c>
      <ns0:c r="C10" s="89" t="n"/>
      <ns0:c r="D10" s="90" t="str">
        <ns0:f>IF(COUNT(B10:C10)=2,SUM(B10:C10),"")</ns0:f>
      </ns0:c>
      <ns0:c r="E10" s="90" t="n">
        <ns0:f>B10/Settings!$B$8</ns0:f>
        <ns0:v>59.91033</ns0:v>
      </ns0:c>
      <ns0:c r="F10" s="90" t="n">
        <ns0:f>IF(ISNUMBER('Annual raw'!E10),'Annual raw'!E10/Settings!$B$9,"")</ns0:f>
        <ns0:v>296302</ns0:v>
      </ns0:c>
      <ns0:c r="G10" s="90" t="n">
        <ns0:f>IF(AND(ISNUMBER(F10),F10&gt;0),B10/F10,"")</ns0:f>
        <ns0:v>202.19347152567312</ns0:v>
      </ns0:c>
      <ns0:c r="H10" s="23" t="n">
        <ns0:f>IFERROR(B10/B9-1,"")</ns0:f>
        <ns0:v>0.05024659885709393</ns0:v>
      </ns0:c>
      <ns0:c r="I10" s="24" t="inlineStr">
        <ns0:is>
          <ns0:t>Reported</ns0:t>
        </ns0:is>
      </ns0:c>
      <ns0:c r="J10" s="24" t="inlineStr">
        <ns0:is>
          <ns0:t>https://wits.worldbank.org/trade/comtrade/en/country/COL/year/2020/tradeflow/Imports/partner/ALL/product/271111</ns0:t>
        </ns0:is>
      </ns0:c>
      <ns0:c r="K10" s="24" t="n"/>
    </ns0:row>
    <ns0:row r="11" ht="42" customHeight="1">
      <ns0:c r="A11" s="13" t="n">
        <ns0:v>2021</ns0:v>
      </ns0:c>
      <ns0:c r="B11" s="58" t="n">
        <ns0:f>'Annual raw'!F11</ns0:f>
        <ns0:v>27941490</ns0:v>
      </ns0:c>
      <ns0:c r="C11" s="58" t="n">
        <ns0:f>'Annual raw'!F12</ns0:f>
        <ns0:v>43160</ns0:v>
      </ns0:c>
      <ns0:c r="D11" s="65" t="n">
        <ns0:f>IF(COUNT(B11:C11)=2,SUM(B11:C11),"")</ns0:f>
        <ns0:v>27984650</ns0:v>
      </ns0:c>
      <ns0:c r="E11" s="65" t="n">
        <ns0:f>B11/Settings!$B$8</ns0:f>
        <ns0:v>27.94149</ns0:v>
      </ns0:c>
      <ns0:c r="F11" s="65" t="n">
        <ns0:f>IF(ISNUMBER('Annual raw'!E11),'Annual raw'!E11/Settings!$B$9,"")</ns0:f>
        <ns0:v>44406</ns0:v>
      </ns0:c>
      <ns0:c r="G11" s="65" t="n">
        <ns0:f>IF(AND(ISNUMBER(F11),F11&gt;0),B11/F11,"")</ns0:f>
        <ns0:v>629.227807053101</ns0:v>
      </ns0:c>
      <ns0:c r="H11" s="25" t="n">
        <ns0:f>IFERROR(B11/B10-1,"")</ns0:f>
        <ns0:v>-0.5336114823603876</ns0:v>
      </ns0:c>
      <ns0:c r="I11" s="18" t="inlineStr">
        <ns0:is>
          <ns0:t>Reported</ns0:t>
        </ns0:is>
      </ns0:c>
      <ns0:c r="J11" s="18" t="inlineStr">
        <ns0:is>
          <ns0:t>https://wits.worldbank.org/trade/comtrade/en/country/COL/year/2021/tradeflow/Imports/partner/ALL/product/271111</ns0:t>
        </ns0:is>
      </ns0:c>
      <ns0:c r="K11" s="18" t="inlineStr">
        <ns0:is>
          <ns0:t>https://wits.worldbank.org/trade/comtrade/en/country/COL/year/2021/tradeflow/Imports/partner/ALL/product/271121</ns0:t>
        </ns0:is>
      </ns0:c>
    </ns0:row>
    <ns0:row r="12" ht="42" customHeight="1">
      <ns0:c r="A12" s="19" t="n">
        <ns0:v>2022</ns0:v>
      </ns0:c>
      <ns0:c r="B12" s="88" t="n">
        <ns0:f>'Annual raw'!F13</ns0:f>
        <ns0:v>87550640</ns0:v>
      </ns0:c>
      <ns0:c r="C12" s="88" t="n">
        <ns0:f>'Annual raw'!F14</ns0:f>
        <ns0:v>84120</ns0:v>
      </ns0:c>
      <ns0:c r="D12" s="90" t="n">
        <ns0:f>IF(COUNT(B12:C12)=2,SUM(B12:C12),"")</ns0:f>
        <ns0:v>87634760</ns0:v>
      </ns0:c>
      <ns0:c r="E12" s="90" t="n">
        <ns0:f>B12/Settings!$B$8</ns0:f>
        <ns0:v>87.55064</ns0:v>
      </ns0:c>
      <ns0:c r="F12" s="90" t="n">
        <ns0:f>IF(ISNUMBER('Annual raw'!E13),'Annual raw'!E13/Settings!$B$9,"")</ns0:f>
        <ns0:v>60181</ns0:v>
      </ns0:c>
      <ns0:c r="G12" s="90" t="n">
        <ns0:f>IF(AND(ISNUMBER(F12),F12&gt;0),B12/F12,"")</ns0:f>
        <ns0:v>1454.7887206925775</ns0:v>
      </ns0:c>
      <ns0:c r="H12" s="23" t="n">
        <ns0:f>IFERROR(B12/B11-1,"")</ns0:f>
        <ns0:v>2.1333561667613288</ns0:v>
      </ns0:c>
      <ns0:c r="I12" s="24" t="inlineStr">
        <ns0:is>
          <ns0:t>Reported</ns0:t>
        </ns0:is>
      </ns0:c>
      <ns0:c r="J12" s="24" t="inlineStr">
        <ns0:is>
          <ns0:t>https://wits.worldbank.org/trade/comtrade/en/country/COL/year/2022/tradeflow/Imports/partner/ALL/product/271111</ns0:t>
        </ns0:is>
      </ns0:c>
      <ns0:c r="K12" s="24" t="inlineStr">
        <ns0:is>
          <ns0:t>https://wits.worldbank.org/trade/comtrade/en/country/COL/year/2022/tradeflow/Imports/partner/ALL/product/271121</ns0:t>
        </ns0:is>
      </ns0:c>
    </ns0:row>
    <ns0:row r="13" ht="42" customHeight="1">
      <ns0:c r="A13" s="13" t="n">
        <ns0:v>2023</ns0:v>
      </ns0:c>
      <ns0:c r="B13" s="58" t="n">
        <ns0:f>'Annual raw'!F15</ns0:f>
        <ns0:v>441455970</ns0:v>
      </ns0:c>
      <ns0:c r="C13" s="58" t="n">
        <ns0:f>'Annual raw'!F16</ns0:f>
        <ns0:v>4930</ns0:v>
      </ns0:c>
      <ns0:c r="D13" s="65" t="n">
        <ns0:f>IF(COUNT(B13:C13)=2,SUM(B13:C13),"")</ns0:f>
        <ns0:v>441460900</ns0:v>
      </ns0:c>
      <ns0:c r="E13" s="65" t="n">
        <ns0:f>B13/Settings!$B$8</ns0:f>
        <ns0:v>441.45597</ns0:v>
      </ns0:c>
      <ns0:c r="F13" s="65" t="str">
        <ns0:f>IF(ISNUMBER('Annual raw'!E15),'Annual raw'!E15/Settings!$B$9,"")</ns0:f>
      </ns0:c>
      <ns0:c r="G13" s="65" t="str">
        <ns0:f>IF(AND(ISNUMBER(F13),F13&gt;0),B13/F13,"")</ns0:f>
      </ns0:c>
      <ns0:c r="H13" s="25" t="n">
        <ns0:f>IFERROR(B13/B12-1,"")</ns0:f>
        <ns0:v>4.042292894717845</ns0:v>
      </ns0:c>
      <ns0:c r="I13" s="26" t="inlineStr">
        <ns0:is>
          <ns0:t>Missing in WITS; not zero</ns0:t>
        </ns0:is>
      </ns0:c>
      <ns0:c r="J13" s="18" t="inlineStr">
        <ns0:is>
          <ns0:t>https://wits.worldbank.org/trade/comtrade/en/country/COL/year/2023/tradeflow/Imports/partner/ALL/product/271111</ns0:t>
        </ns0:is>
      </ns0:c>
      <ns0:c r="K13" s="18" t="inlineStr">
        <ns0:is>
          <ns0:t>https://wits.worldbank.org/trade/comtrade/en/country/COL/year/2023/tradeflow/Imports/partner/ALL/product/271121</ns0:t>
        </ns0:is>
      </ns0:c>
    </ns0:row>
    <ns0:row r="14" ht="42" customHeight="1">
      <ns0:c r="A14" s="19" t="n">
        <ns0:v>2024</ns0:v>
      </ns0:c>
      <ns0:c r="B14" s="88" t="n">
        <ns0:f>'Annual raw'!F17</ns0:f>
        <ns0:v>945446540</ns0:v>
      </ns0:c>
      <ns0:c r="C14" s="88" t="n">
        <ns0:f>'Annual raw'!F18</ns0:f>
        <ns0:v>31740</ns0:v>
      </ns0:c>
      <ns0:c r="D14" s="90" t="n">
        <ns0:f>IF(COUNT(B14:C14)=2,SUM(B14:C14),"")</ns0:f>
        <ns0:v>945478280</ns0:v>
      </ns0:c>
      <ns0:c r="E14" s="90" t="n">
        <ns0:f>B14/Settings!$B$8</ns0:f>
        <ns0:v>945.44654</ns0:v>
      </ns0:c>
      <ns0:c r="F14" s="90" t="n">
        <ns0:f>IF(ISNUMBER('Annual raw'!E17),'Annual raw'!E17/Settings!$B$9,"")</ns0:f>
        <ns0:v>1625300</ns0:v>
      </ns0:c>
      <ns0:c r="G14" s="90" t="n">
        <ns0:f>IF(AND(ISNUMBER(F14),F14&gt;0),B14/F14,"")</ns0:f>
        <ns0:v>581.7058635328863</ns0:v>
      </ns0:c>
      <ns0:c r="H14" s="23" t="n">
        <ns0:f>IFERROR(B14/B13-1,"")</ns0:f>
        <ns0:v>1.141655350136051</ns0:v>
      </ns0:c>
      <ns0:c r="I14" s="24" t="inlineStr">
        <ns0:is>
          <ns0:t>Reported</ns0:t>
        </ns0:is>
      </ns0:c>
      <ns0:c r="J14" s="24" t="inlineStr">
        <ns0:is>
          <ns0:t>https://wits.worldbank.org/trade/comtrade/en/country/COL/year/2024/tradeflow/Imports/partner/ALL/product/271111</ns0:t>
        </ns0:is>
      </ns0:c>
      <ns0:c r="K14" s="24" t="inlineStr">
        <ns0:is>
          <ns0:t>https://wits.worldbank.org/trade/comtrade/en/country/COL/year/2024/tradeflow/Imports/partner/ALL/product/271121</ns0:t>
        </ns0:is>
      </ns0:c>
    </ns0:row>
    <ns0:row r="15" ht="42" customHeight="1">
      <ns0:c r="A15" s="13" t="n">
        <ns0:v>2025</ns0:v>
      </ns0:c>
      <ns0:c r="B15" s="58" t="n">
        <ns0:f>'Annual raw'!F19</ns0:f>
        <ns0:v>779203660</ns0:v>
      </ns0:c>
      <ns0:c r="C15" s="58" t="n">
        <ns0:f>'Annual raw'!F20</ns0:f>
        <ns0:v>27570</ns0:v>
      </ns0:c>
      <ns0:c r="D15" s="65" t="n">
        <ns0:f>IF(COUNT(B15:C15)=2,SUM(B15:C15),"")</ns0:f>
        <ns0:v>779231230</ns0:v>
      </ns0:c>
      <ns0:c r="E15" s="65" t="n">
        <ns0:f>B15/Settings!$B$8</ns0:f>
        <ns0:v>779.20366</ns0:v>
      </ns0:c>
      <ns0:c r="F15" s="65" t="str">
        <ns0:f>IF(ISNUMBER('Annual raw'!E19),'Annual raw'!E19/Settings!$B$9,"")</ns0:f>
      </ns0:c>
      <ns0:c r="G15" s="65" t="str">
        <ns0:f>IF(AND(ISNUMBER(F15),F15&gt;0),B15/F15,"")</ns0:f>
      </ns0:c>
      <ns0:c r="H15" s="25" t="n">
        <ns0:f>IFERROR(B15/B14-1,"")</ns0:f>
        <ns0:v>-0.1758353042362395</ns0:v>
      </ns0:c>
      <ns0:c r="I15" s="26" t="inlineStr">
        <ns0:is>
          <ns0:t>Missing in WITS; not zero</ns0:t>
        </ns0:is>
      </ns0:c>
      <ns0:c r="J15" s="18" t="inlineStr">
        <ns0:is>
          <ns0:t>https://wits.worldbank.org/trade/comtrade/en/country/COL/year/2025/tradeflow/Imports/partner/ALL/product/271111</ns0:t>
        </ns0:is>
      </ns0:c>
      <ns0:c r="K15" s="18" t="inlineStr">
        <ns0:is>
          <ns0:t>https://wits.worldbank.org/trade/comtrade/en/country/COL/year/2025/tradeflow/Imports/partner/ALL/product/271121</ns0:t>
        </ns0:is>
      </ns0:c>
    </ns0:row>
    <ns0:row r="18" ht="40" customHeight="1">
      <ns0:c r="A18" s="8" t="inlineStr">
        <ns0:is>
          <ns0:t>CIF is not FOB. The annual series alone cannot give an exact contribution to the FOB merchandise-trade balance. Unit values are customs ratios, not LNG spot prices.</ns0:t>
        </ns0:is>
      </ns0:c>
    </ns0:row>
  </ns0:sheetData>
  <ns0:mergeCells count="3">
    <ns0:mergeCell ref="A1:K1"/>
    <ns0:mergeCell ref="A2:K3"/>
    <ns0:mergeCell ref="A18:K18"/>
  </ns0:mergeCells>
  <ns0:printOptions horizontalCentered="1"/>
  <ns0:pageMargins left="0.75" right="0.75" top="1" bottom="1" header="0.5" footer="0.5"/>
  <ns0:pageSetup orientation="landscape" paperSize="8" fitToHeight="0" fitToWidth="1"/>
  <ns0:headerFooter>
    <ns0:oddHeader/>
    <ns0:oddFooter>&amp;CColombia natural gas | Sources and limitations inside workbook&amp;RPage &amp;P</ns0:oddFooter>
    <ns0:evenHeader/>
    <ns0:evenFooter/>
    <ns0:firstHeader/>
    <ns0:firstFooter/>
  </ns0:headerFooter>
  <ns0:tableParts count="1">
    <ns0:tablePart ns1:id="rId1"/>
  </ns0:tableParts>
</ns0:worksheet>
</file>

<file path=xl/worksheets/sheet11.xml><?xml version="1.0" encoding="utf-8"?>
<ns0:worksheet xmlns:ns0="http://schemas.openxmlformats.org/spreadsheetml/2006/main" xmlns:ns1="http://schemas.openxmlformats.org/officeDocument/2006/relationships">
  <ns0:sheetPr>
    <ns0:outlinePr summaryBelow="1" summaryRight="0"/>
    <ns0:pageSetUpPr fitToPage="1"/>
  </ns0:sheetPr>
  <ns0:dimension ref="A1:I20"/>
  <ns0:sheetViews>
    <ns0:sheetView showGridLines="0" workbookViewId="0">
      <ns0:pane xSplit="2" ySplit="6" topLeftCell="C7" activePane="bottomRight" state="frozen"/>
      <ns0:selection pane="topRight" activeCell="A1" sqref="A1"/>
      <ns0:selection pane="bottomLeft" activeCell="A1" sqref="A1"/>
      <ns0:selection pane="bottomRight" activeCell="A1" sqref="A1"/>
    </ns0:sheetView>
  </ns0:sheetViews>
  <ns0:sheetFormatPr baseColWidth="8" defaultRowHeight="15"/>
  <ns0:cols>
    <ns0:col width="10" customWidth="1" min="1" max="1"/>
    <ns0:col width="13" customWidth="1" min="2" max="2"/>
    <ns0:col width="25" customWidth="1" min="3" max="3"/>
    <ns0:col width="26" customWidth="1" min="4" max="4"/>
    <ns0:col width="25" customWidth="1" min="5" max="5"/>
    <ns0:col width="23" customWidth="1" min="6" max="6"/>
    <ns0:col width="26" customWidth="1" min="7" max="7"/>
    <ns0:col width="75" customWidth="1" min="8" max="8"/>
    <ns0:col width="16" customWidth="1" min="9" max="9"/>
  </ns0:cols>
  <ns0:sheetData>
    <ns0:row r="1" ht="42" customHeight="1">
      <ns0:c r="A1" s="1" t="inlineStr">
        <ns0:is>
          <ns0:t>ANNUAL RAW | PUBLISHED WORLD TOTALS</ns0:t>
        </ns0:is>
      </ns0:c>
    </ns0:row>
    <ns0:row r="2" ht="26" customHeight="1">
      <ns0:c r="A2" s="3" t="inlineStr">
        <ns0:is>
          <ns0:t>Source values are displayed in US$ thousands on WITS. Converted dollars are formulas. Quantity is the WITS reported quantity field in kg; missing weights stay blank.</ns0:t>
        </ns0:is>
      </ns0:c>
    </ns0:row>
    <ns0:row r="3" ht="16" customHeight="1"/>
    <ns0:row r="6" ht="42" customHeight="1">
      <ns0:c r="A6" s="12" t="inlineStr">
        <ns0:is>
          <ns0:t>Year</ns0:t>
        </ns0:is>
      </ns0:c>
      <ns0:c r="B6" s="12" t="inlineStr">
        <ns0:is>
          <ns0:t>HS6</ns0:t>
        </ns0:is>
      </ns0:c>
      <ns0:c r="C6" s="12" t="inlineStr">
        <ns0:is>
          <ns0:t>Product</ns0:t>
        </ns0:is>
      </ns0:c>
      <ns0:c r="D6" s="12" t="inlineStr">
        <ns0:is>
          <ns0:t>Source value (US$ thousands)</ns0:t>
        </ns0:is>
      </ns0:c>
      <ns0:c r="E6" s="12" t="inlineStr">
        <ns0:is>
          <ns0:t>Reported quantity (kg)</ns0:t>
        </ns0:is>
      </ns0:c>
      <ns0:c r="F6" s="12" t="inlineStr">
        <ns0:is>
          <ns0:t>CIF value (US$)</ns0:t>
        </ns0:is>
      </ns0:c>
      <ns0:c r="G6" s="12" t="inlineStr">
        <ns0:is>
          <ns0:t>Quantity status</ns0:t>
        </ns0:is>
      </ns0:c>
      <ns0:c r="H6" s="12" t="inlineStr">
        <ns0:is>
          <ns0:t>Source URL</ns0:t>
        </ns0:is>
      </ns0:c>
      <ns0:c r="I6" s="12" t="inlineStr">
        <ns0:is>
          <ns0:t>Accessed</ns0:t>
        </ns0:is>
      </ns0:c>
    </ns0:row>
    <ns0:row r="7" ht="36" customHeight="1">
      <ns0:c r="A7" s="13" t="n">
        <ns0:v>2017</ns0:v>
      </ns0:c>
      <ns0:c r="B7" s="18" t="inlineStr">
        <ns0:is>
          <ns0:t>271111</ns0:t>
        </ns0:is>
      </ns0:c>
      <ns0:c r="C7" s="18" t="inlineStr">
        <ns0:is>
          <ns0:t>LNG</ns0:t>
        </ns0:is>
      </ns0:c>
      <ns0:c r="D7" s="58" t="n">
        <ns0:v>11925.93</ns0:v>
      </ns0:c>
      <ns0:c r="E7" s="76" t="n">
        <ns0:v>38942600</ns0:v>
      </ns0:c>
      <ns0:c r="F7" s="28" t="n">
        <ns0:f>D7*Settings!$B$7</ns0:f>
        <ns0:v>11925930</ns0:v>
      </ns0:c>
      <ns0:c r="G7" s="18" t="inlineStr">
        <ns0:is>
          <ns0:t>reported</ns0:t>
        </ns0:is>
      </ns0:c>
      <ns0:c r="H7" s="18" t="inlineStr">
        <ns0:is>
          <ns0:t>https://wits.worldbank.org/trade/comtrade/en/country/COL/year/2017/tradeflow/Imports/partner/ALL/product/271111</ns0:t>
        </ns0:is>
      </ns0:c>
      <ns0:c r="I7" s="18" t="inlineStr">
        <ns0:is>
          <ns0:t>2026-10-27</ns0:t>
        </ns0:is>
      </ns0:c>
    </ns0:row>
    <ns0:row r="8" ht="36" customHeight="1">
      <ns0:c r="A8" s="19" t="n">
        <ns0:v>2018</ns0:v>
      </ns0:c>
      <ns0:c r="B8" s="24" t="inlineStr">
        <ns0:is>
          <ns0:t>271111</ns0:t>
        </ns0:is>
      </ns0:c>
      <ns0:c r="C8" s="24" t="inlineStr">
        <ns0:is>
          <ns0:t>LNG</ns0:t>
        </ns0:is>
      </ns0:c>
      <ns0:c r="D8" s="88" t="n">
        <ns0:v>123747.36</ns0:v>
      </ns0:c>
      <ns0:c r="E8" s="91" t="n">
        <ns0:v>239638000</ns0:v>
      </ns0:c>
      <ns0:c r="F8" s="30" t="n">
        <ns0:f>D8*Settings!$B$7</ns0:f>
        <ns0:v>123747360</ns0:v>
      </ns0:c>
      <ns0:c r="G8" s="24" t="inlineStr">
        <ns0:is>
          <ns0:t>reported</ns0:t>
        </ns0:is>
      </ns0:c>
      <ns0:c r="H8" s="24" t="inlineStr">
        <ns0:is>
          <ns0:t>https://wits.worldbank.org/trade/comtrade/en/country/COL/year/2018/tradeflow/Imports/partner/ALL/product/271111</ns0:t>
        </ns0:is>
      </ns0:c>
      <ns0:c r="I8" s="24" t="inlineStr">
        <ns0:is>
          <ns0:t>2026-10-27</ns0:t>
        </ns0:is>
      </ns0:c>
    </ns0:row>
    <ns0:row r="9" ht="36" customHeight="1">
      <ns0:c r="A9" s="13" t="n">
        <ns0:v>2019</ns0:v>
      </ns0:c>
      <ns0:c r="B9" s="18" t="inlineStr">
        <ns0:is>
          <ns0:t>271111</ns0:t>
        </ns0:is>
      </ns0:c>
      <ns0:c r="C9" s="18" t="inlineStr">
        <ns0:is>
          <ns0:t>LNG</ns0:t>
        </ns0:is>
      </ns0:c>
      <ns0:c r="D9" s="58" t="n">
        <ns0:v>57044.06</ns0:v>
      </ns0:c>
      <ns0:c r="E9" s="92" t="n"/>
      <ns0:c r="F9" s="28" t="n">
        <ns0:f>D9*Settings!$B$7</ns0:f>
        <ns0:v>57044060</ns0:v>
      </ns0:c>
      <ns0:c r="G9" s="18" t="inlineStr">
        <ns0:is>
          <ns0:t>missing_not_zero</ns0:t>
        </ns0:is>
      </ns0:c>
      <ns0:c r="H9" s="18" t="inlineStr">
        <ns0:is>
          <ns0:t>https://wits.worldbank.org/trade/comtrade/en/country/COL/year/2019/tradeflow/Imports/partner/ALL/product/271111</ns0:t>
        </ns0:is>
      </ns0:c>
      <ns0:c r="I9" s="18" t="inlineStr">
        <ns0:is>
          <ns0:t>2026-10-27</ns0:t>
        </ns0:is>
      </ns0:c>
    </ns0:row>
    <ns0:row r="10" ht="36" customHeight="1">
      <ns0:c r="A10" s="19" t="n">
        <ns0:v>2020</ns0:v>
      </ns0:c>
      <ns0:c r="B10" s="24" t="inlineStr">
        <ns0:is>
          <ns0:t>271111</ns0:t>
        </ns0:is>
      </ns0:c>
      <ns0:c r="C10" s="24" t="inlineStr">
        <ns0:is>
          <ns0:t>LNG</ns0:t>
        </ns0:is>
      </ns0:c>
      <ns0:c r="D10" s="88" t="n">
        <ns0:v>59910.33</ns0:v>
      </ns0:c>
      <ns0:c r="E10" s="91" t="n">
        <ns0:v>296302000</ns0:v>
      </ns0:c>
      <ns0:c r="F10" s="30" t="n">
        <ns0:f>D10*Settings!$B$7</ns0:f>
        <ns0:v>59910330</ns0:v>
      </ns0:c>
      <ns0:c r="G10" s="24" t="inlineStr">
        <ns0:is>
          <ns0:t>reported</ns0:t>
        </ns0:is>
      </ns0:c>
      <ns0:c r="H10" s="24" t="inlineStr">
        <ns0:is>
          <ns0:t>https://wits.worldbank.org/trade/comtrade/en/country/COL/year/2020/tradeflow/Imports/partner/ALL/product/271111</ns0:t>
        </ns0:is>
      </ns0:c>
      <ns0:c r="I10" s="24" t="inlineStr">
        <ns0:is>
          <ns0:t>2026-10-27</ns0:t>
        </ns0:is>
      </ns0:c>
    </ns0:row>
    <ns0:row r="11" ht="36" customHeight="1">
      <ns0:c r="A11" s="13" t="n">
        <ns0:v>2021</ns0:v>
      </ns0:c>
      <ns0:c r="B11" s="18" t="inlineStr">
        <ns0:is>
          <ns0:t>271111</ns0:t>
        </ns0:is>
      </ns0:c>
      <ns0:c r="C11" s="18" t="inlineStr">
        <ns0:is>
          <ns0:t>LNG</ns0:t>
        </ns0:is>
      </ns0:c>
      <ns0:c r="D11" s="58" t="n">
        <ns0:v>27941.49</ns0:v>
      </ns0:c>
      <ns0:c r="E11" s="76" t="n">
        <ns0:v>44406000</ns0:v>
      </ns0:c>
      <ns0:c r="F11" s="28" t="n">
        <ns0:f>D11*Settings!$B$7</ns0:f>
        <ns0:v>27941490</ns0:v>
      </ns0:c>
      <ns0:c r="G11" s="18" t="inlineStr">
        <ns0:is>
          <ns0:t>reported</ns0:t>
        </ns0:is>
      </ns0:c>
      <ns0:c r="H11" s="18" t="inlineStr">
        <ns0:is>
          <ns0:t>https://wits.worldbank.org/trade/comtrade/en/country/COL/year/2021/tradeflow/Imports/partner/ALL/product/271111</ns0:t>
        </ns0:is>
      </ns0:c>
      <ns0:c r="I11" s="18" t="inlineStr">
        <ns0:is>
          <ns0:t>2026-10-27</ns0:t>
        </ns0:is>
      </ns0:c>
    </ns0:row>
    <ns0:row r="12" ht="36" customHeight="1">
      <ns0:c r="A12" s="19" t="n">
        <ns0:v>2021</ns0:v>
      </ns0:c>
      <ns0:c r="B12" s="24" t="inlineStr">
        <ns0:is>
          <ns0:t>271121</ns0:t>
        </ns0:is>
      </ns0:c>
      <ns0:c r="C12" s="24" t="inlineStr">
        <ns0:is>
          <ns0:t>Natural gas, gaseous</ns0:t>
        </ns0:is>
      </ns0:c>
      <ns0:c r="D12" s="88" t="n">
        <ns0:v>43.16</ns0:v>
      </ns0:c>
      <ns0:c r="E12" s="91" t="n">
        <ns0:v>3843</ns0:v>
      </ns0:c>
      <ns0:c r="F12" s="30" t="n">
        <ns0:f>D12*Settings!$B$7</ns0:f>
        <ns0:v>43160</ns0:v>
      </ns0:c>
      <ns0:c r="G12" s="24" t="inlineStr">
        <ns0:is>
          <ns0:t>reported</ns0:t>
        </ns0:is>
      </ns0:c>
      <ns0:c r="H12" s="24" t="inlineStr">
        <ns0:is>
          <ns0:t>https://wits.worldbank.org/trade/comtrade/en/country/COL/year/2021/tradeflow/Imports/partner/ALL/product/271121</ns0:t>
        </ns0:is>
      </ns0:c>
      <ns0:c r="I12" s="24" t="inlineStr">
        <ns0:is>
          <ns0:t>2026-10-27</ns0:t>
        </ns0:is>
      </ns0:c>
    </ns0:row>
    <ns0:row r="13" ht="36" customHeight="1">
      <ns0:c r="A13" s="13" t="n">
        <ns0:v>2022</ns0:v>
      </ns0:c>
      <ns0:c r="B13" s="18" t="inlineStr">
        <ns0:is>
          <ns0:t>271111</ns0:t>
        </ns0:is>
      </ns0:c>
      <ns0:c r="C13" s="18" t="inlineStr">
        <ns0:is>
          <ns0:t>LNG</ns0:t>
        </ns0:is>
      </ns0:c>
      <ns0:c r="D13" s="58" t="n">
        <ns0:v>87550.64</ns0:v>
      </ns0:c>
      <ns0:c r="E13" s="76" t="n">
        <ns0:v>60181000</ns0:v>
      </ns0:c>
      <ns0:c r="F13" s="28" t="n">
        <ns0:f>D13*Settings!$B$7</ns0:f>
        <ns0:v>87550640</ns0:v>
      </ns0:c>
      <ns0:c r="G13" s="18" t="inlineStr">
        <ns0:is>
          <ns0:t>reported</ns0:t>
        </ns0:is>
      </ns0:c>
      <ns0:c r="H13" s="18" t="inlineStr">
        <ns0:is>
          <ns0:t>https://wits.worldbank.org/trade/comtrade/en/country/COL/year/2022/tradeflow/Imports/partner/ALL/product/271111</ns0:t>
        </ns0:is>
      </ns0:c>
      <ns0:c r="I13" s="18" t="inlineStr">
        <ns0:is>
          <ns0:t>2026-10-27</ns0:t>
        </ns0:is>
      </ns0:c>
    </ns0:row>
    <ns0:row r="14" ht="36" customHeight="1">
      <ns0:c r="A14" s="19" t="n">
        <ns0:v>2022</ns0:v>
      </ns0:c>
      <ns0:c r="B14" s="24" t="inlineStr">
        <ns0:is>
          <ns0:t>271121</ns0:t>
        </ns0:is>
      </ns0:c>
      <ns0:c r="C14" s="24" t="inlineStr">
        <ns0:is>
          <ns0:t>Natural gas, gaseous</ns0:t>
        </ns0:is>
      </ns0:c>
      <ns0:c r="D14" s="88" t="n">
        <ns0:v>84.12</ns0:v>
      </ns0:c>
      <ns0:c r="E14" s="91" t="n">
        <ns0:v>4095</ns0:v>
      </ns0:c>
      <ns0:c r="F14" s="30" t="n">
        <ns0:f>D14*Settings!$B$7</ns0:f>
        <ns0:v>84120</ns0:v>
      </ns0:c>
      <ns0:c r="G14" s="24" t="inlineStr">
        <ns0:is>
          <ns0:t>reported</ns0:t>
        </ns0:is>
      </ns0:c>
      <ns0:c r="H14" s="24" t="inlineStr">
        <ns0:is>
          <ns0:t>https://wits.worldbank.org/trade/comtrade/en/country/COL/year/2022/tradeflow/Imports/partner/ALL/product/271121</ns0:t>
        </ns0:is>
      </ns0:c>
      <ns0:c r="I14" s="24" t="inlineStr">
        <ns0:is>
          <ns0:t>2026-10-27</ns0:t>
        </ns0:is>
      </ns0:c>
    </ns0:row>
    <ns0:row r="15" ht="36" customHeight="1">
      <ns0:c r="A15" s="13" t="n">
        <ns0:v>2023</ns0:v>
      </ns0:c>
      <ns0:c r="B15" s="18" t="inlineStr">
        <ns0:is>
          <ns0:t>271111</ns0:t>
        </ns0:is>
      </ns0:c>
      <ns0:c r="C15" s="18" t="inlineStr">
        <ns0:is>
          <ns0:t>LNG</ns0:t>
        </ns0:is>
      </ns0:c>
      <ns0:c r="D15" s="58" t="n">
        <ns0:v>441455.97</ns0:v>
      </ns0:c>
      <ns0:c r="E15" s="92" t="n"/>
      <ns0:c r="F15" s="28" t="n">
        <ns0:f>D15*Settings!$B$7</ns0:f>
        <ns0:v>441455970</ns0:v>
      </ns0:c>
      <ns0:c r="G15" s="18" t="inlineStr">
        <ns0:is>
          <ns0:t>missing_not_zero</ns0:t>
        </ns0:is>
      </ns0:c>
      <ns0:c r="H15" s="18" t="inlineStr">
        <ns0:is>
          <ns0:t>https://wits.worldbank.org/trade/comtrade/en/country/COL/year/2023/tradeflow/Imports/partner/ALL/product/271111</ns0:t>
        </ns0:is>
      </ns0:c>
      <ns0:c r="I15" s="18" t="inlineStr">
        <ns0:is>
          <ns0:t>2026-10-27</ns0:t>
        </ns0:is>
      </ns0:c>
    </ns0:row>
    <ns0:row r="16" ht="36" customHeight="1">
      <ns0:c r="A16" s="19" t="n">
        <ns0:v>2023</ns0:v>
      </ns0:c>
      <ns0:c r="B16" s="24" t="inlineStr">
        <ns0:is>
          <ns0:t>271121</ns0:t>
        </ns0:is>
      </ns0:c>
      <ns0:c r="C16" s="24" t="inlineStr">
        <ns0:is>
          <ns0:t>Natural gas, gaseous</ns0:t>
        </ns0:is>
      </ns0:c>
      <ns0:c r="D16" s="88" t="n">
        <ns0:v>4.93</ns0:v>
      </ns0:c>
      <ns0:c r="E16" s="91" t="n">
        <ns0:v>5995</ns0:v>
      </ns0:c>
      <ns0:c r="F16" s="30" t="n">
        <ns0:f>D16*Settings!$B$7</ns0:f>
        <ns0:v>4930</ns0:v>
      </ns0:c>
      <ns0:c r="G16" s="24" t="inlineStr">
        <ns0:is>
          <ns0:t>reported</ns0:t>
        </ns0:is>
      </ns0:c>
      <ns0:c r="H16" s="24" t="inlineStr">
        <ns0:is>
          <ns0:t>https://wits.worldbank.org/trade/comtrade/en/country/COL/year/2023/tradeflow/Imports/partner/ALL/product/271121</ns0:t>
        </ns0:is>
      </ns0:c>
      <ns0:c r="I16" s="24" t="inlineStr">
        <ns0:is>
          <ns0:t>2026-10-27</ns0:t>
        </ns0:is>
      </ns0:c>
    </ns0:row>
    <ns0:row r="17" ht="36" customHeight="1">
      <ns0:c r="A17" s="13" t="n">
        <ns0:v>2024</ns0:v>
      </ns0:c>
      <ns0:c r="B17" s="18" t="inlineStr">
        <ns0:is>
          <ns0:t>271111</ns0:t>
        </ns0:is>
      </ns0:c>
      <ns0:c r="C17" s="18" t="inlineStr">
        <ns0:is>
          <ns0:t>LNG</ns0:t>
        </ns0:is>
      </ns0:c>
      <ns0:c r="D17" s="58" t="n">
        <ns0:v>945446.54</ns0:v>
      </ns0:c>
      <ns0:c r="E17" s="76" t="n">
        <ns0:v>1625300000</ns0:v>
      </ns0:c>
      <ns0:c r="F17" s="28" t="n">
        <ns0:f>D17*Settings!$B$7</ns0:f>
        <ns0:v>945446540</ns0:v>
      </ns0:c>
      <ns0:c r="G17" s="18" t="inlineStr">
        <ns0:is>
          <ns0:t>reported</ns0:t>
        </ns0:is>
      </ns0:c>
      <ns0:c r="H17" s="18" t="inlineStr">
        <ns0:is>
          <ns0:t>https://wits.worldbank.org/trade/comtrade/en/country/COL/year/2024/tradeflow/Imports/partner/ALL/product/271111</ns0:t>
        </ns0:is>
      </ns0:c>
      <ns0:c r="I17" s="18" t="inlineStr">
        <ns0:is>
          <ns0:t>2026-10-27</ns0:t>
        </ns0:is>
      </ns0:c>
    </ns0:row>
    <ns0:row r="18" ht="36" customHeight="1">
      <ns0:c r="A18" s="19" t="n">
        <ns0:v>2024</ns0:v>
      </ns0:c>
      <ns0:c r="B18" s="24" t="inlineStr">
        <ns0:is>
          <ns0:t>271121</ns0:t>
        </ns0:is>
      </ns0:c>
      <ns0:c r="C18" s="24" t="inlineStr">
        <ns0:is>
          <ns0:t>Natural gas, gaseous</ns0:t>
        </ns0:is>
      </ns0:c>
      <ns0:c r="D18" s="88" t="n">
        <ns0:v>31.74</ns0:v>
      </ns0:c>
      <ns0:c r="E18" s="91" t="n">
        <ns0:v>935</ns0:v>
      </ns0:c>
      <ns0:c r="F18" s="30" t="n">
        <ns0:f>D18*Settings!$B$7</ns0:f>
        <ns0:v>31740</ns0:v>
      </ns0:c>
      <ns0:c r="G18" s="24" t="inlineStr">
        <ns0:is>
          <ns0:t>reported</ns0:t>
        </ns0:is>
      </ns0:c>
      <ns0:c r="H18" s="24" t="inlineStr">
        <ns0:is>
          <ns0:t>https://wits.worldbank.org/trade/comtrade/en/country/COL/year/2024/tradeflow/Imports/partner/ALL/product/271121</ns0:t>
        </ns0:is>
      </ns0:c>
      <ns0:c r="I18" s="24" t="inlineStr">
        <ns0:is>
          <ns0:t>2026-10-27</ns0:t>
        </ns0:is>
      </ns0:c>
    </ns0:row>
    <ns0:row r="19" ht="36" customHeight="1">
      <ns0:c r="A19" s="13" t="n">
        <ns0:v>2025</ns0:v>
      </ns0:c>
      <ns0:c r="B19" s="18" t="inlineStr">
        <ns0:is>
          <ns0:t>271111</ns0:t>
        </ns0:is>
      </ns0:c>
      <ns0:c r="C19" s="18" t="inlineStr">
        <ns0:is>
          <ns0:t>LNG</ns0:t>
        </ns0:is>
      </ns0:c>
      <ns0:c r="D19" s="58" t="n">
        <ns0:v>779203.66</ns0:v>
      </ns0:c>
      <ns0:c r="E19" s="92" t="n"/>
      <ns0:c r="F19" s="28" t="n">
        <ns0:f>D19*Settings!$B$7</ns0:f>
        <ns0:v>779203660</ns0:v>
      </ns0:c>
      <ns0:c r="G19" s="18" t="inlineStr">
        <ns0:is>
          <ns0:t>missing_not_zero</ns0:t>
        </ns0:is>
      </ns0:c>
      <ns0:c r="H19" s="18" t="inlineStr">
        <ns0:is>
          <ns0:t>https://wits.worldbank.org/trade/comtrade/en/country/COL/year/2025/tradeflow/Imports/partner/ALL/product/271111</ns0:t>
        </ns0:is>
      </ns0:c>
      <ns0:c r="I19" s="18" t="inlineStr">
        <ns0:is>
          <ns0:t>2026-10-27</ns0:t>
        </ns0:is>
      </ns0:c>
    </ns0:row>
    <ns0:row r="20" ht="36" customHeight="1">
      <ns0:c r="A20" s="19" t="n">
        <ns0:v>2025</ns0:v>
      </ns0:c>
      <ns0:c r="B20" s="24" t="inlineStr">
        <ns0:is>
          <ns0:t>271121</ns0:t>
        </ns0:is>
      </ns0:c>
      <ns0:c r="C20" s="24" t="inlineStr">
        <ns0:is>
          <ns0:t>Natural gas, gaseous</ns0:t>
        </ns0:is>
      </ns0:c>
      <ns0:c r="D20" s="88" t="n">
        <ns0:v>27.57</ns0:v>
      </ns0:c>
      <ns0:c r="E20" s="93" t="n"/>
      <ns0:c r="F20" s="30" t="n">
        <ns0:f>D20*Settings!$B$7</ns0:f>
        <ns0:v>27570</ns0:v>
      </ns0:c>
      <ns0:c r="G20" s="24" t="inlineStr">
        <ns0:is>
          <ns0:t>missing_not_zero</ns0:t>
        </ns0:is>
      </ns0:c>
      <ns0:c r="H20" s="24" t="inlineStr">
        <ns0:is>
          <ns0:t>https://wits.worldbank.org/trade/comtrade/en/country/COL/year/2025/tradeflow/Imports/partner/ALL/product/271121</ns0:t>
        </ns0:is>
      </ns0:c>
      <ns0:c r="I20" s="24" t="inlineStr">
        <ns0:is>
          <ns0:t>2026-10-27</ns0:t>
        </ns0:is>
      </ns0:c>
    </ns0:row>
  </ns0:sheetData>
  <ns0:mergeCells count="2">
    <ns0:mergeCell ref="A1:I1"/>
    <ns0:mergeCell ref="A2:I3"/>
  </ns0:mergeCells>
  <ns0:printOptions horizontalCentered="1"/>
  <ns0:pageMargins left="0.75" right="0.75" top="1" bottom="1" header="0.5" footer="0.5"/>
  <ns0:pageSetup orientation="landscape" paperSize="8" fitToHeight="0" fitToWidth="1"/>
  <ns0:headerFooter>
    <ns0:oddHeader/>
    <ns0:oddFooter>&amp;CColombia natural gas | Sources and limitations inside workbook&amp;RPage &amp;P</ns0:oddFooter>
    <ns0:evenHeader/>
    <ns0:evenFooter/>
    <ns0:firstHeader/>
    <ns0:firstFooter/>
  </ns0:headerFooter>
  <ns0:legacyDrawing ns1:id="anysvml"/>
  <ns0:tableParts count="1">
    <ns0:tablePart ns1:id="rId1"/>
  </ns0:tableParts>
</ns0:worksheet>
</file>

<file path=xl/worksheets/sheet12.xml><?xml version="1.0" encoding="utf-8"?>
<ns0:worksheet xmlns:ns0="http://schemas.openxmlformats.org/spreadsheetml/2006/main" xmlns:ns1="http://schemas.openxmlformats.org/officeDocument/2006/relationships">
  <ns0:sheetPr>
    <ns0:outlinePr summaryBelow="1" summaryRight="0"/>
    <ns0:pageSetUpPr fitToPage="1"/>
  </ns0:sheetPr>
  <ns0:dimension ref="A1:J43"/>
  <ns0:sheetViews>
    <ns0:sheetView showGridLines="0" workbookViewId="0">
      <ns0:pane xSplit="2" ySplit="6" topLeftCell="C7" activePane="bottomRight" state="frozen"/>
      <ns0:selection pane="topRight" activeCell="A1" sqref="A1"/>
      <ns0:selection pane="bottomLeft" activeCell="A1" sqref="A1"/>
      <ns0:selection pane="bottomRight" activeCell="A1" sqref="A1"/>
    </ns0:sheetView>
  </ns0:sheetViews>
  <ns0:sheetFormatPr baseColWidth="8" defaultRowHeight="15"/>
  <ns0:cols>
    <ns0:col width="10" customWidth="1" min="1" max="1"/>
    <ns0:col width="13" customWidth="1" min="2" max="2"/>
    <ns0:col width="25" customWidth="1" min="3" max="3"/>
    <ns0:col width="26" customWidth="1" min="4" max="4"/>
    <ns0:col width="26" customWidth="1" min="5" max="5"/>
    <ns0:col width="23" customWidth="1" min="6" max="6"/>
    <ns0:col width="25" customWidth="1" min="7" max="7"/>
    <ns0:col width="75" customWidth="1" min="8" max="8"/>
    <ns0:col width="75" customWidth="1" min="9" max="9"/>
    <ns0:col width="75" customWidth="1" min="10" max="10"/>
  </ns0:cols>
  <ns0:sheetData>
    <ns0:row r="1" ht="42" customHeight="1">
      <ns0:c r="A1" s="1" t="inlineStr">
        <ns0:is>
          <ns0:t>PARTNER DETAIL | ANNUAL IMPORTS</ns0:t>
        </ns0:is>
      </ns0:c>
    </ns0:row>
    <ns0:row r="2" ht="26" customHeight="1">
      <ns0:c r="A2" s="3" t="inlineStr">
        <ns0:is>
          <ns0:t>Raw partner labels are preserved. The 2025 LNG analysis label for Tanzania is reconciled to Trinidad and Tobago using DANE, and is explicitly flagged. Do not infer liquefaction origin from partner labels.</ns0:t>
        </ns0:is>
      </ns0:c>
    </ns0:row>
    <ns0:row r="3" ht="16" customHeight="1"/>
    <ns0:row r="6" ht="42" customHeight="1">
      <ns0:c r="A6" s="12" t="inlineStr">
        <ns0:is>
          <ns0:t>Year</ns0:t>
        </ns0:is>
      </ns0:c>
      <ns0:c r="B6" s="12" t="inlineStr">
        <ns0:is>
          <ns0:t>HS6</ns0:t>
        </ns0:is>
      </ns0:c>
      <ns0:c r="C6" s="12" t="inlineStr">
        <ns0:is>
          <ns0:t>Partner reported</ns0:t>
        </ns0:is>
      </ns0:c>
      <ns0:c r="D6" s="12" t="inlineStr">
        <ns0:is>
          <ns0:t>Partner for analysis</ns0:t>
        </ns0:is>
      </ns0:c>
      <ns0:c r="E6" s="12" t="inlineStr">
        <ns0:is>
          <ns0:t>Source value (US$ thousands)</ns0:t>
        </ns0:is>
      </ns0:c>
      <ns0:c r="F6" s="12" t="inlineStr">
        <ns0:is>
          <ns0:t>CIF value (US$)</ns0:t>
        </ns0:is>
      </ns0:c>
      <ns0:c r="G6" s="12" t="inlineStr">
        <ns0:is>
          <ns0:t>Reported quantity (kg)</ns0:t>
        </ns0:is>
      </ns0:c>
      <ns0:c r="H6" s="12" t="inlineStr">
        <ns0:is>
          <ns0:t>Quality / reconciliation note</ns0:t>
        </ns0:is>
      </ns0:c>
      <ns0:c r="I6" s="12" t="inlineStr">
        <ns0:is>
          <ns0:t>Source URL</ns0:t>
        </ns0:is>
      </ns0:c>
      <ns0:c r="J6" s="12" t="inlineStr">
        <ns0:is>
          <ns0:t>Reconciliation URL</ns0:t>
        </ns0:is>
      </ns0:c>
    </ns0:row>
    <ns0:row r="7" ht="52" customHeight="1">
      <ns0:c r="A7" s="13" t="n">
        <ns0:v>2017</ns0:v>
      </ns0:c>
      <ns0:c r="B7" s="18" t="inlineStr">
        <ns0:is>
          <ns0:t>271111</ns0:t>
        </ns0:is>
      </ns0:c>
      <ns0:c r="C7" s="18" t="inlineStr">
        <ns0:is>
          <ns0:t>Switzerland</ns0:t>
        </ns0:is>
      </ns0:c>
      <ns0:c r="D7" s="18" t="inlineStr">
        <ns0:is>
          <ns0:t>Switzerland</ns0:t>
        </ns0:is>
      </ns0:c>
      <ns0:c r="E7" s="58" t="n">
        <ns0:v>11925.93</ns0:v>
      </ns0:c>
      <ns0:c r="F7" s="28" t="n">
        <ns0:f>E7*Settings!$B$7</ns0:f>
        <ns0:v>11925930</ns0:v>
      </ns0:c>
      <ns0:c r="G7" s="76" t="n">
        <ns0:v>38942600</ns0:v>
      </ns0:c>
      <ns0:c r="H7" s="18" t="inlineStr">
        <ns0:is>
          <ns0:t>Reported trade partner. Do not automatically interpret as liquefaction/production origin.</ns0:t>
        </ns0:is>
      </ns0:c>
      <ns0:c r="I7" s="18" t="inlineStr">
        <ns0:is>
          <ns0:t>https://wits.worldbank.org/trade/comtrade/en/country/COL/year/2017/tradeflow/Imports/partner/ALL/product/271111</ns0:t>
        </ns0:is>
      </ns0:c>
      <ns0:c r="J7" s="18" t="inlineStr"/>
    </ns0:row>
    <ns0:row r="8" ht="52" customHeight="1">
      <ns0:c r="A8" s="19" t="n">
        <ns0:v>2018</ns0:v>
      </ns0:c>
      <ns0:c r="B8" s="24" t="inlineStr">
        <ns0:is>
          <ns0:t>271111</ns0:t>
        </ns0:is>
      </ns0:c>
      <ns0:c r="C8" s="24" t="inlineStr">
        <ns0:is>
          <ns0:t>United States</ns0:t>
        </ns0:is>
      </ns0:c>
      <ns0:c r="D8" s="24" t="inlineStr">
        <ns0:is>
          <ns0:t>United States</ns0:t>
        </ns0:is>
      </ns0:c>
      <ns0:c r="E8" s="88" t="n">
        <ns0:v>39553.93</ns0:v>
      </ns0:c>
      <ns0:c r="F8" s="30" t="n">
        <ns0:f>E8*Settings!$B$7</ns0:f>
        <ns0:v>39553930</ns0:v>
      </ns0:c>
      <ns0:c r="G8" s="91" t="n">
        <ns0:v>69076600</ns0:v>
      </ns0:c>
      <ns0:c r="H8" s="24" t="inlineStr"/>
      <ns0:c r="I8" s="24" t="inlineStr">
        <ns0:is>
          <ns0:t>https://wits.worldbank.org/trade/comtrade/en/country/COL/year/2018/tradeflow/Imports/partner/ALL/product/271111</ns0:t>
        </ns0:is>
      </ns0:c>
      <ns0:c r="J8" s="24" t="inlineStr"/>
    </ns0:row>
    <ns0:row r="9" ht="52" customHeight="1">
      <ns0:c r="A9" s="13" t="n">
        <ns0:v>2018</ns0:v>
      </ns0:c>
      <ns0:c r="B9" s="18" t="inlineStr">
        <ns0:is>
          <ns0:t>271111</ns0:t>
        </ns0:is>
      </ns0:c>
      <ns0:c r="C9" s="18" t="inlineStr">
        <ns0:is>
          <ns0:t>Trinidad and Tobago</ns0:t>
        </ns0:is>
      </ns0:c>
      <ns0:c r="D9" s="18" t="inlineStr">
        <ns0:is>
          <ns0:t>Trinidad and Tobago</ns0:t>
        </ns0:is>
      </ns0:c>
      <ns0:c r="E9" s="58" t="n">
        <ns0:v>36711.02</ns0:v>
      </ns0:c>
      <ns0:c r="F9" s="28" t="n">
        <ns0:f>E9*Settings!$B$7</ns0:f>
        <ns0:v>36711020</ns0:v>
      </ns0:c>
      <ns0:c r="G9" s="76" t="n">
        <ns0:v>71101100</ns0:v>
      </ns0:c>
      <ns0:c r="H9" s="18" t="inlineStr"/>
      <ns0:c r="I9" s="18" t="inlineStr">
        <ns0:is>
          <ns0:t>https://wits.worldbank.org/trade/comtrade/en/country/COL/year/2018/tradeflow/Imports/partner/ALL/product/271111</ns0:t>
        </ns0:is>
      </ns0:c>
      <ns0:c r="J9" s="18" t="inlineStr"/>
    </ns0:row>
    <ns0:row r="10" ht="52" customHeight="1">
      <ns0:c r="A10" s="19" t="n">
        <ns0:v>2018</ns0:v>
      </ns0:c>
      <ns0:c r="B10" s="24" t="inlineStr">
        <ns0:is>
          <ns0:t>271111</ns0:t>
        </ns0:is>
      </ns0:c>
      <ns0:c r="C10" s="24" t="inlineStr">
        <ns0:is>
          <ns0:t>United Kingdom</ns0:t>
        </ns0:is>
      </ns0:c>
      <ns0:c r="D10" s="24" t="inlineStr">
        <ns0:is>
          <ns0:t>United Kingdom</ns0:t>
        </ns0:is>
      </ns0:c>
      <ns0:c r="E10" s="88" t="n">
        <ns0:v>32602.78</ns0:v>
      </ns0:c>
      <ns0:c r="F10" s="30" t="n">
        <ns0:f>E10*Settings!$B$7</ns0:f>
        <ns0:v>32602780</ns0:v>
      </ns0:c>
      <ns0:c r="G10" s="91" t="n">
        <ns0:v>68334300</ns0:v>
      </ns0:c>
      <ns0:c r="H10" s="24" t="inlineStr">
        <ns0:is>
          <ns0:t>Reported trade partner. Do not automatically interpret as liquefaction/production origin.</ns0:t>
        </ns0:is>
      </ns0:c>
      <ns0:c r="I10" s="24" t="inlineStr">
        <ns0:is>
          <ns0:t>https://wits.worldbank.org/trade/comtrade/en/country/COL/year/2018/tradeflow/Imports/partner/ALL/product/271111</ns0:t>
        </ns0:is>
      </ns0:c>
      <ns0:c r="J10" s="24" t="inlineStr"/>
    </ns0:row>
    <ns0:row r="11" ht="52" customHeight="1">
      <ns0:c r="A11" s="13" t="n">
        <ns0:v>2018</ns0:v>
      </ns0:c>
      <ns0:c r="B11" s="18" t="inlineStr">
        <ns0:is>
          <ns0:t>271111</ns0:t>
        </ns0:is>
      </ns0:c>
      <ns0:c r="C11" s="18" t="inlineStr">
        <ns0:is>
          <ns0:t>Switzerland</ns0:t>
        </ns0:is>
      </ns0:c>
      <ns0:c r="D11" s="18" t="inlineStr">
        <ns0:is>
          <ns0:t>Switzerland</ns0:t>
        </ns0:is>
      </ns0:c>
      <ns0:c r="E11" s="58" t="n">
        <ns0:v>14878.74</ns0:v>
      </ns0:c>
      <ns0:c r="F11" s="28" t="n">
        <ns0:f>E11*Settings!$B$7</ns0:f>
        <ns0:v>14878740</ns0:v>
      </ns0:c>
      <ns0:c r="G11" s="76" t="n">
        <ns0:v>31125900</ns0:v>
      </ns0:c>
      <ns0:c r="H11" s="18" t="inlineStr">
        <ns0:is>
          <ns0:t>Reported trade partner. Do not automatically interpret as liquefaction/production origin.</ns0:t>
        </ns0:is>
      </ns0:c>
      <ns0:c r="I11" s="18" t="inlineStr">
        <ns0:is>
          <ns0:t>https://wits.worldbank.org/trade/comtrade/en/country/COL/year/2018/tradeflow/Imports/partner/ALL/product/271111</ns0:t>
        </ns0:is>
      </ns0:c>
      <ns0:c r="J11" s="18" t="inlineStr"/>
    </ns0:row>
    <ns0:row r="12" ht="52" customHeight="1">
      <ns0:c r="A12" s="19" t="n">
        <ns0:v>2018</ns0:v>
      </ns0:c>
      <ns0:c r="B12" s="24" t="inlineStr">
        <ns0:is>
          <ns0:t>271111</ns0:t>
        </ns0:is>
      </ns0:c>
      <ns0:c r="C12" s="24" t="inlineStr">
        <ns0:is>
          <ns0:t>Peru</ns0:t>
        </ns0:is>
      </ns0:c>
      <ns0:c r="D12" s="24" t="inlineStr">
        <ns0:is>
          <ns0:t>Peru</ns0:t>
        </ns0:is>
      </ns0:c>
      <ns0:c r="E12" s="88" t="n">
        <ns0:v>0.9</ns0:v>
      </ns0:c>
      <ns0:c r="F12" s="30" t="n">
        <ns0:f>E12*Settings!$B$7</ns0:f>
        <ns0:v>900</ns0:v>
      </ns0:c>
      <ns0:c r="G12" s="91" t="n">
        <ns0:v>14</ns0:v>
      </ns0:c>
      <ns0:c r="H12" s="24" t="inlineStr"/>
      <ns0:c r="I12" s="24" t="inlineStr">
        <ns0:is>
          <ns0:t>https://wits.worldbank.org/trade/comtrade/en/country/COL/year/2018/tradeflow/Imports/partner/ALL/product/271111</ns0:t>
        </ns0:is>
      </ns0:c>
      <ns0:c r="J12" s="24" t="inlineStr"/>
    </ns0:row>
    <ns0:row r="13" ht="52" customHeight="1">
      <ns0:c r="A13" s="13" t="n">
        <ns0:v>2019</ns0:v>
      </ns0:c>
      <ns0:c r="B13" s="18" t="inlineStr">
        <ns0:is>
          <ns0:t>271111</ns0:t>
        </ns0:is>
      </ns0:c>
      <ns0:c r="C13" s="18" t="inlineStr">
        <ns0:is>
          <ns0:t>Ireland</ns0:t>
        </ns0:is>
      </ns0:c>
      <ns0:c r="D13" s="18" t="inlineStr">
        <ns0:is>
          <ns0:t>Ireland</ns0:t>
        </ns0:is>
      </ns0:c>
      <ns0:c r="E13" s="58" t="n">
        <ns0:v>27308.73</ns0:v>
      </ns0:c>
      <ns0:c r="F13" s="28" t="n">
        <ns0:f>E13*Settings!$B$7</ns0:f>
        <ns0:v>27308730</ns0:v>
      </ns0:c>
      <ns0:c r="G13" s="76" t="n">
        <ns0:v>66112400</ns0:v>
      </ns0:c>
      <ns0:c r="H13" s="18" t="inlineStr">
        <ns0:is>
          <ns0:t>Reported trade partner. Do not automatically interpret as liquefaction/production origin.</ns0:t>
        </ns0:is>
      </ns0:c>
      <ns0:c r="I13" s="18" t="inlineStr">
        <ns0:is>
          <ns0:t>https://wits.worldbank.org/trade/comtrade/en/country/COL/year/2019/tradeflow/Imports/partner/ALL/product/271111</ns0:t>
        </ns0:is>
      </ns0:c>
      <ns0:c r="J13" s="18" t="inlineStr"/>
    </ns0:row>
    <ns0:row r="14" ht="52" customHeight="1">
      <ns0:c r="A14" s="19" t="n">
        <ns0:v>2019</ns0:v>
      </ns0:c>
      <ns0:c r="B14" s="24" t="inlineStr">
        <ns0:is>
          <ns0:t>271111</ns0:t>
        </ns0:is>
      </ns0:c>
      <ns0:c r="C14" s="24" t="inlineStr">
        <ns0:is>
          <ns0:t>United States</ns0:t>
        </ns0:is>
      </ns0:c>
      <ns0:c r="D14" s="24" t="inlineStr">
        <ns0:is>
          <ns0:t>United States</ns0:t>
        </ns0:is>
      </ns0:c>
      <ns0:c r="E14" s="88" t="n">
        <ns0:v>21902.39</ns0:v>
      </ns0:c>
      <ns0:c r="F14" s="30" t="n">
        <ns0:f>E14*Settings!$B$7</ns0:f>
        <ns0:v>21902390</ns0:v>
      </ns0:c>
      <ns0:c r="G14" s="93" t="n"/>
      <ns0:c r="H14" s="24" t="inlineStr"/>
      <ns0:c r="I14" s="24" t="inlineStr">
        <ns0:is>
          <ns0:t>https://wits.worldbank.org/trade/comtrade/en/country/COL/year/2019/tradeflow/Imports/partner/ALL/product/271111</ns0:t>
        </ns0:is>
      </ns0:c>
      <ns0:c r="J14" s="24" t="inlineStr"/>
    </ns0:row>
    <ns0:row r="15" ht="52" customHeight="1">
      <ns0:c r="A15" s="13" t="n">
        <ns0:v>2019</ns0:v>
      </ns0:c>
      <ns0:c r="B15" s="18" t="inlineStr">
        <ns0:is>
          <ns0:t>271111</ns0:t>
        </ns0:is>
      </ns0:c>
      <ns0:c r="C15" s="18" t="inlineStr">
        <ns0:is>
          <ns0:t>Trinidad and Tobago</ns0:t>
        </ns0:is>
      </ns0:c>
      <ns0:c r="D15" s="18" t="inlineStr">
        <ns0:is>
          <ns0:t>Trinidad and Tobago</ns0:t>
        </ns0:is>
      </ns0:c>
      <ns0:c r="E15" s="58" t="n">
        <ns0:v>7832.93</ns0:v>
      </ns0:c>
      <ns0:c r="F15" s="28" t="n">
        <ns0:f>E15*Settings!$B$7</ns0:f>
        <ns0:v>7832930</ns0:v>
      </ns0:c>
      <ns0:c r="G15" s="76" t="n">
        <ns0:v>34111700</ns0:v>
      </ns0:c>
      <ns0:c r="H15" s="18" t="inlineStr"/>
      <ns0:c r="I15" s="18" t="inlineStr">
        <ns0:is>
          <ns0:t>https://wits.worldbank.org/trade/comtrade/en/country/COL/year/2019/tradeflow/Imports/partner/ALL/product/271111</ns0:t>
        </ns0:is>
      </ns0:c>
      <ns0:c r="J15" s="18" t="inlineStr"/>
    </ns0:row>
    <ns0:row r="16" ht="52" customHeight="1">
      <ns0:c r="A16" s="19" t="n">
        <ns0:v>2020</ns0:v>
      </ns0:c>
      <ns0:c r="B16" s="24" t="inlineStr">
        <ns0:is>
          <ns0:t>271111</ns0:t>
        </ns0:is>
      </ns0:c>
      <ns0:c r="C16" s="24" t="inlineStr">
        <ns0:is>
          <ns0:t>United Arab Emirates</ns0:t>
        </ns0:is>
      </ns0:c>
      <ns0:c r="D16" s="24" t="inlineStr">
        <ns0:is>
          <ns0:t>United Arab Emirates</ns0:t>
        </ns0:is>
      </ns0:c>
      <ns0:c r="E16" s="88" t="n">
        <ns0:v>21633.89</ns0:v>
      </ns0:c>
      <ns0:c r="F16" s="30" t="n">
        <ns0:f>E16*Settings!$B$7</ns0:f>
        <ns0:v>21633890</ns0:v>
      </ns0:c>
      <ns0:c r="G16" s="91" t="n">
        <ns0:v>116121000</ns0:v>
      </ns0:c>
      <ns0:c r="H16" s="24" t="inlineStr">
        <ns0:is>
          <ns0:t>Reported trade partner. Do not automatically interpret as liquefaction/production origin.</ns0:t>
        </ns0:is>
      </ns0:c>
      <ns0:c r="I16" s="24" t="inlineStr">
        <ns0:is>
          <ns0:t>https://wits.worldbank.org/trade/comtrade/en/country/COL/year/2020/tradeflow/Imports/partner/ALL/product/271111</ns0:t>
        </ns0:is>
      </ns0:c>
      <ns0:c r="J16" s="24" t="inlineStr"/>
    </ns0:row>
    <ns0:row r="17" ht="52" customHeight="1">
      <ns0:c r="A17" s="13" t="n">
        <ns0:v>2020</ns0:v>
      </ns0:c>
      <ns0:c r="B17" s="18" t="inlineStr">
        <ns0:is>
          <ns0:t>271111</ns0:t>
        </ns0:is>
      </ns0:c>
      <ns0:c r="C17" s="18" t="inlineStr">
        <ns0:is>
          <ns0:t>United Kingdom</ns0:t>
        </ns0:is>
      </ns0:c>
      <ns0:c r="D17" s="18" t="inlineStr">
        <ns0:is>
          <ns0:t>United Kingdom</ns0:t>
        </ns0:is>
      </ns0:c>
      <ns0:c r="E17" s="58" t="n">
        <ns0:v>20339.8</ns0:v>
      </ns0:c>
      <ns0:c r="F17" s="28" t="n">
        <ns0:f>E17*Settings!$B$7</ns0:f>
        <ns0:v>20339800</ns0:v>
      </ns0:c>
      <ns0:c r="G17" s="76" t="n">
        <ns0:v>88247200</ns0:v>
      </ns0:c>
      <ns0:c r="H17" s="18" t="inlineStr">
        <ns0:is>
          <ns0:t>Reported trade partner. Do not automatically interpret as liquefaction/production origin.</ns0:t>
        </ns0:is>
      </ns0:c>
      <ns0:c r="I17" s="18" t="inlineStr">
        <ns0:is>
          <ns0:t>https://wits.worldbank.org/trade/comtrade/en/country/COL/year/2020/tradeflow/Imports/partner/ALL/product/271111</ns0:t>
        </ns0:is>
      </ns0:c>
      <ns0:c r="J17" s="18" t="inlineStr"/>
    </ns0:row>
    <ns0:row r="18" ht="52" customHeight="1">
      <ns0:c r="A18" s="19" t="n">
        <ns0:v>2020</ns0:v>
      </ns0:c>
      <ns0:c r="B18" s="24" t="inlineStr">
        <ns0:is>
          <ns0:t>271111</ns0:t>
        </ns0:is>
      </ns0:c>
      <ns0:c r="C18" s="24" t="inlineStr">
        <ns0:is>
          <ns0:t>Trinidad and Tobago</ns0:t>
        </ns0:is>
      </ns0:c>
      <ns0:c r="D18" s="24" t="inlineStr">
        <ns0:is>
          <ns0:t>Trinidad and Tobago</ns0:t>
        </ns0:is>
      </ns0:c>
      <ns0:c r="E18" s="88" t="n">
        <ns0:v>13410.35</ns0:v>
      </ns0:c>
      <ns0:c r="F18" s="30" t="n">
        <ns0:f>E18*Settings!$B$7</ns0:f>
        <ns0:v>13410350</ns0:v>
      </ns0:c>
      <ns0:c r="G18" s="91" t="n">
        <ns0:v>70111100</ns0:v>
      </ns0:c>
      <ns0:c r="H18" s="24" t="inlineStr"/>
      <ns0:c r="I18" s="24" t="inlineStr">
        <ns0:is>
          <ns0:t>https://wits.worldbank.org/trade/comtrade/en/country/COL/year/2020/tradeflow/Imports/partner/ALL/product/271111</ns0:t>
        </ns0:is>
      </ns0:c>
      <ns0:c r="J18" s="24" t="inlineStr"/>
    </ns0:row>
    <ns0:row r="19" ht="52" customHeight="1">
      <ns0:c r="A19" s="13" t="n">
        <ns0:v>2020</ns0:v>
      </ns0:c>
      <ns0:c r="B19" s="18" t="inlineStr">
        <ns0:is>
          <ns0:t>271111</ns0:t>
        </ns0:is>
      </ns0:c>
      <ns0:c r="C19" s="18" t="inlineStr">
        <ns0:is>
          <ns0:t>United States</ns0:t>
        </ns0:is>
      </ns0:c>
      <ns0:c r="D19" s="18" t="inlineStr">
        <ns0:is>
          <ns0:t>United States</ns0:t>
        </ns0:is>
      </ns0:c>
      <ns0:c r="E19" s="58" t="n">
        <ns0:v>2972.81</ns0:v>
      </ns0:c>
      <ns0:c r="F19" s="28" t="n">
        <ns0:f>E19*Settings!$B$7</ns0:f>
        <ns0:v>2972810</ns0:v>
      </ns0:c>
      <ns0:c r="G19" s="76" t="n">
        <ns0:v>10708100</ns0:v>
      </ns0:c>
      <ns0:c r="H19" s="18" t="inlineStr"/>
      <ns0:c r="I19" s="18" t="inlineStr">
        <ns0:is>
          <ns0:t>https://wits.worldbank.org/trade/comtrade/en/country/COL/year/2020/tradeflow/Imports/partner/ALL/product/271111</ns0:t>
        </ns0:is>
      </ns0:c>
      <ns0:c r="J19" s="18" t="inlineStr"/>
    </ns0:row>
    <ns0:row r="20" ht="52" customHeight="1">
      <ns0:c r="A20" s="19" t="n">
        <ns0:v>2020</ns0:v>
      </ns0:c>
      <ns0:c r="B20" s="24" t="inlineStr">
        <ns0:is>
          <ns0:t>271111</ns0:t>
        </ns0:is>
      </ns0:c>
      <ns0:c r="C20" s="24" t="inlineStr">
        <ns0:is>
          <ns0:t>Switzerland</ns0:t>
        </ns0:is>
      </ns0:c>
      <ns0:c r="D20" s="24" t="inlineStr">
        <ns0:is>
          <ns0:t>Switzerland</ns0:t>
        </ns0:is>
      </ns0:c>
      <ns0:c r="E20" s="88" t="n">
        <ns0:v>1553.47</ns0:v>
      </ns0:c>
      <ns0:c r="F20" s="30" t="n">
        <ns0:f>E20*Settings!$B$7</ns0:f>
        <ns0:v>1553470</ns0:v>
      </ns0:c>
      <ns0:c r="G20" s="91" t="n">
        <ns0:v>11114600</ns0:v>
      </ns0:c>
      <ns0:c r="H20" s="24" t="inlineStr">
        <ns0:is>
          <ns0:t>Reported trade partner. Do not automatically interpret as liquefaction/production origin.</ns0:t>
        </ns0:is>
      </ns0:c>
      <ns0:c r="I20" s="24" t="inlineStr">
        <ns0:is>
          <ns0:t>https://wits.worldbank.org/trade/comtrade/en/country/COL/year/2020/tradeflow/Imports/partner/ALL/product/271111</ns0:t>
        </ns0:is>
      </ns0:c>
      <ns0:c r="J20" s="24" t="inlineStr"/>
    </ns0:row>
    <ns0:row r="21" ht="52" customHeight="1">
      <ns0:c r="A21" s="13" t="n">
        <ns0:v>2021</ns0:v>
      </ns0:c>
      <ns0:c r="B21" s="18" t="inlineStr">
        <ns0:is>
          <ns0:t>271111</ns0:t>
        </ns0:is>
      </ns0:c>
      <ns0:c r="C21" s="18" t="inlineStr">
        <ns0:is>
          <ns0:t>United States</ns0:t>
        </ns0:is>
      </ns0:c>
      <ns0:c r="D21" s="18" t="inlineStr">
        <ns0:is>
          <ns0:t>United States</ns0:t>
        </ns0:is>
      </ns0:c>
      <ns0:c r="E21" s="58" t="n">
        <ns0:v>14510.52</ns0:v>
      </ns0:c>
      <ns0:c r="F21" s="28" t="n">
        <ns0:f>E21*Settings!$B$7</ns0:f>
        <ns0:v>14510520</ns0:v>
      </ns0:c>
      <ns0:c r="G21" s="76" t="n">
        <ns0:v>18165700</ns0:v>
      </ns0:c>
      <ns0:c r="H21" s="18" t="inlineStr"/>
      <ns0:c r="I21" s="18" t="inlineStr">
        <ns0:is>
          <ns0:t>https://wits.worldbank.org/trade/comtrade/en/country/COL/year/2021/tradeflow/Imports/partner/ALL/product/271111</ns0:t>
        </ns0:is>
      </ns0:c>
      <ns0:c r="J21" s="18" t="inlineStr"/>
    </ns0:row>
    <ns0:row r="22" ht="52" customHeight="1">
      <ns0:c r="A22" s="19" t="n">
        <ns0:v>2021</ns0:v>
      </ns0:c>
      <ns0:c r="B22" s="24" t="inlineStr">
        <ns0:is>
          <ns0:t>271111</ns0:t>
        </ns0:is>
      </ns0:c>
      <ns0:c r="C22" s="24" t="inlineStr">
        <ns0:is>
          <ns0:t>United Kingdom</ns0:t>
        </ns0:is>
      </ns0:c>
      <ns0:c r="D22" s="24" t="inlineStr">
        <ns0:is>
          <ns0:t>United Kingdom</ns0:t>
        </ns0:is>
      </ns0:c>
      <ns0:c r="E22" s="88" t="n">
        <ns0:v>13422.46</ns0:v>
      </ns0:c>
      <ns0:c r="F22" s="30" t="n">
        <ns0:f>E22*Settings!$B$7</ns0:f>
        <ns0:v>13422460</ns0:v>
      </ns0:c>
      <ns0:c r="G22" s="91" t="n">
        <ns0:v>26237900</ns0:v>
      </ns0:c>
      <ns0:c r="H22" s="24" t="inlineStr">
        <ns0:is>
          <ns0:t>Reported trade partner. Do not automatically interpret as liquefaction/production origin.</ns0:t>
        </ns0:is>
      </ns0:c>
      <ns0:c r="I22" s="24" t="inlineStr">
        <ns0:is>
          <ns0:t>https://wits.worldbank.org/trade/comtrade/en/country/COL/year/2021/tradeflow/Imports/partner/ALL/product/271111</ns0:t>
        </ns0:is>
      </ns0:c>
      <ns0:c r="J22" s="24" t="inlineStr"/>
    </ns0:row>
    <ns0:row r="23" ht="52" customHeight="1">
      <ns0:c r="A23" s="13" t="n">
        <ns0:v>2021</ns0:v>
      </ns0:c>
      <ns0:c r="B23" s="18" t="inlineStr">
        <ns0:is>
          <ns0:t>271111</ns0:t>
        </ns0:is>
      </ns0:c>
      <ns0:c r="C23" s="18" t="inlineStr">
        <ns0:is>
          <ns0:t>Canada</ns0:t>
        </ns0:is>
      </ns0:c>
      <ns0:c r="D23" s="18" t="inlineStr">
        <ns0:is>
          <ns0:t>Canada</ns0:t>
        </ns0:is>
      </ns0:c>
      <ns0:c r="E23" s="58" t="n">
        <ns0:v>4.46</ns0:v>
      </ns0:c>
      <ns0:c r="F23" s="28" t="n">
        <ns0:f>E23*Settings!$B$7</ns0:f>
        <ns0:v>4460</ns0:v>
      </ns0:c>
      <ns0:c r="G23" s="76" t="n">
        <ns0:v>517</ns0:v>
      </ns0:c>
      <ns0:c r="H23" s="18" t="inlineStr"/>
      <ns0:c r="I23" s="18" t="inlineStr">
        <ns0:is>
          <ns0:t>https://wits.worldbank.org/trade/comtrade/en/country/COL/year/2021/tradeflow/Imports/partner/ALL/product/271111</ns0:t>
        </ns0:is>
      </ns0:c>
      <ns0:c r="J23" s="18" t="inlineStr"/>
    </ns0:row>
    <ns0:row r="24" ht="52" customHeight="1">
      <ns0:c r="A24" s="19" t="n">
        <ns0:v>2021</ns0:v>
      </ns0:c>
      <ns0:c r="B24" s="24" t="inlineStr">
        <ns0:is>
          <ns0:t>271111</ns0:t>
        </ns0:is>
      </ns0:c>
      <ns0:c r="C24" s="24" t="inlineStr">
        <ns0:is>
          <ns0:t>Bolivia</ns0:t>
        </ns0:is>
      </ns0:c>
      <ns0:c r="D24" s="24" t="inlineStr">
        <ns0:is>
          <ns0:t>Bolivia</ns0:t>
        </ns0:is>
      </ns0:c>
      <ns0:c r="E24" s="88" t="n">
        <ns0:v>4.05</ns0:v>
      </ns0:c>
      <ns0:c r="F24" s="30" t="n">
        <ns0:f>E24*Settings!$B$7</ns0:f>
        <ns0:v>4050</ns0:v>
      </ns0:c>
      <ns0:c r="G24" s="91" t="n">
        <ns0:v>1815</ns0:v>
      </ns0:c>
      <ns0:c r="H24" s="24" t="inlineStr"/>
      <ns0:c r="I24" s="24" t="inlineStr">
        <ns0:is>
          <ns0:t>https://wits.worldbank.org/trade/comtrade/en/country/COL/year/2021/tradeflow/Imports/partner/ALL/product/271111</ns0:t>
        </ns0:is>
      </ns0:c>
      <ns0:c r="J24" s="24" t="inlineStr"/>
    </ns0:row>
    <ns0:row r="25" ht="52" customHeight="1">
      <ns0:c r="A25" s="13" t="n">
        <ns0:v>2021</ns0:v>
      </ns0:c>
      <ns0:c r="B25" s="18" t="inlineStr">
        <ns0:is>
          <ns0:t>271121</ns0:t>
        </ns0:is>
      </ns0:c>
      <ns0:c r="C25" s="18" t="inlineStr">
        <ns0:is>
          <ns0:t>United States</ns0:t>
        </ns0:is>
      </ns0:c>
      <ns0:c r="D25" s="18" t="inlineStr">
        <ns0:is>
          <ns0:t>United States</ns0:t>
        </ns0:is>
      </ns0:c>
      <ns0:c r="E25" s="58" t="n">
        <ns0:v>29.64</ns0:v>
      </ns0:c>
      <ns0:c r="F25" s="28" t="n">
        <ns0:f>E25*Settings!$B$7</ns0:f>
        <ns0:v>29640</ns0:v>
      </ns0:c>
      <ns0:c r="G25" s="76" t="n">
        <ns0:v>837</ns0:v>
      </ns0:c>
      <ns0:c r="H25" s="18" t="inlineStr"/>
      <ns0:c r="I25" s="18" t="inlineStr">
        <ns0:is>
          <ns0:t>https://wits.worldbank.org/trade/comtrade/en/country/COL/year/2021/tradeflow/Imports/partner/ALL/product/271121</ns0:t>
        </ns0:is>
      </ns0:c>
      <ns0:c r="J25" s="18" t="inlineStr"/>
    </ns0:row>
    <ns0:row r="26" ht="52" customHeight="1">
      <ns0:c r="A26" s="19" t="n">
        <ns0:v>2021</ns0:v>
      </ns0:c>
      <ns0:c r="B26" s="24" t="inlineStr">
        <ns0:is>
          <ns0:t>271121</ns0:t>
        </ns0:is>
      </ns0:c>
      <ns0:c r="C26" s="24" t="inlineStr">
        <ns0:is>
          <ns0:t>China</ns0:t>
        </ns0:is>
      </ns0:c>
      <ns0:c r="D26" s="24" t="inlineStr">
        <ns0:is>
          <ns0:t>China</ns0:t>
        </ns0:is>
      </ns0:c>
      <ns0:c r="E26" s="88" t="n">
        <ns0:v>13.51</ns0:v>
      </ns0:c>
      <ns0:c r="F26" s="30" t="n">
        <ns0:f>E26*Settings!$B$7</ns0:f>
        <ns0:v>13510</ns0:v>
      </ns0:c>
      <ns0:c r="G26" s="91" t="n">
        <ns0:v>3006</ns0:v>
      </ns0:c>
      <ns0:c r="H26" s="24" t="inlineStr"/>
      <ns0:c r="I26" s="24" t="inlineStr">
        <ns0:is>
          <ns0:t>https://wits.worldbank.org/trade/comtrade/en/country/COL/year/2021/tradeflow/Imports/partner/ALL/product/271121</ns0:t>
        </ns0:is>
      </ns0:c>
      <ns0:c r="J26" s="24" t="inlineStr"/>
    </ns0:row>
    <ns0:row r="27" ht="52" customHeight="1">
      <ns0:c r="A27" s="13" t="n">
        <ns0:v>2022</ns0:v>
      </ns0:c>
      <ns0:c r="B27" s="18" t="inlineStr">
        <ns0:is>
          <ns0:t>271111</ns0:t>
        </ns0:is>
      </ns0:c>
      <ns0:c r="C27" s="18" t="inlineStr">
        <ns0:is>
          <ns0:t>United States</ns0:t>
        </ns0:is>
      </ns0:c>
      <ns0:c r="D27" s="18" t="inlineStr">
        <ns0:is>
          <ns0:t>United States</ns0:t>
        </ns0:is>
      </ns0:c>
      <ns0:c r="E27" s="58" t="n">
        <ns0:v>87550.64</ns0:v>
      </ns0:c>
      <ns0:c r="F27" s="28" t="n">
        <ns0:f>E27*Settings!$B$7</ns0:f>
        <ns0:v>87550640</ns0:v>
      </ns0:c>
      <ns0:c r="G27" s="76" t="n">
        <ns0:v>60181000</ns0:v>
      </ns0:c>
      <ns0:c r="H27" s="18" t="inlineStr"/>
      <ns0:c r="I27" s="18" t="inlineStr">
        <ns0:is>
          <ns0:t>https://wits.worldbank.org/trade/comtrade/en/country/COL/year/2022/tradeflow/Imports/partner/ALL/product/271111</ns0:t>
        </ns0:is>
      </ns0:c>
      <ns0:c r="J27" s="18" t="inlineStr"/>
    </ns0:row>
    <ns0:row r="28" ht="52" customHeight="1">
      <ns0:c r="A28" s="19" t="n">
        <ns0:v>2022</ns0:v>
      </ns0:c>
      <ns0:c r="B28" s="24" t="inlineStr">
        <ns0:is>
          <ns0:t>271121</ns0:t>
        </ns0:is>
      </ns0:c>
      <ns0:c r="C28" s="24" t="inlineStr">
        <ns0:is>
          <ns0:t>United States</ns0:t>
        </ns0:is>
      </ns0:c>
      <ns0:c r="D28" s="24" t="inlineStr">
        <ns0:is>
          <ns0:t>United States</ns0:t>
        </ns0:is>
      </ns0:c>
      <ns0:c r="E28" s="88" t="n">
        <ns0:v>75.04000000000001</ns0:v>
      </ns0:c>
      <ns0:c r="F28" s="30" t="n">
        <ns0:f>E28*Settings!$B$7</ns0:f>
        <ns0:v>75040</ns0:v>
      </ns0:c>
      <ns0:c r="G28" s="91" t="n">
        <ns0:v>1724</ns0:v>
      </ns0:c>
      <ns0:c r="H28" s="24" t="inlineStr"/>
      <ns0:c r="I28" s="24" t="inlineStr">
        <ns0:is>
          <ns0:t>https://wits.worldbank.org/trade/comtrade/en/country/COL/year/2022/tradeflow/Imports/partner/ALL/product/271121</ns0:t>
        </ns0:is>
      </ns0:c>
      <ns0:c r="J28" s="24" t="inlineStr"/>
    </ns0:row>
    <ns0:row r="29" ht="52" customHeight="1">
      <ns0:c r="A29" s="13" t="n">
        <ns0:v>2022</ns0:v>
      </ns0:c>
      <ns0:c r="B29" s="18" t="inlineStr">
        <ns0:is>
          <ns0:t>271121</ns0:t>
        </ns0:is>
      </ns0:c>
      <ns0:c r="C29" s="18" t="inlineStr">
        <ns0:is>
          <ns0:t>China</ns0:t>
        </ns0:is>
      </ns0:c>
      <ns0:c r="D29" s="18" t="inlineStr">
        <ns0:is>
          <ns0:t>China</ns0:t>
        </ns0:is>
      </ns0:c>
      <ns0:c r="E29" s="58" t="n">
        <ns0:v>9.08</ns0:v>
      </ns0:c>
      <ns0:c r="F29" s="28" t="n">
        <ns0:f>E29*Settings!$B$7</ns0:f>
        <ns0:v>9080</ns0:v>
      </ns0:c>
      <ns0:c r="G29" s="76" t="n">
        <ns0:v>2370</ns0:v>
      </ns0:c>
      <ns0:c r="H29" s="18" t="inlineStr"/>
      <ns0:c r="I29" s="18" t="inlineStr">
        <ns0:is>
          <ns0:t>https://wits.worldbank.org/trade/comtrade/en/country/COL/year/2022/tradeflow/Imports/partner/ALL/product/271121</ns0:t>
        </ns0:is>
      </ns0:c>
      <ns0:c r="J29" s="18" t="inlineStr"/>
    </ns0:row>
    <ns0:row r="30" ht="52" customHeight="1">
      <ns0:c r="A30" s="19" t="n">
        <ns0:v>2023</ns0:v>
      </ns0:c>
      <ns0:c r="B30" s="24" t="inlineStr">
        <ns0:is>
          <ns0:t>271111</ns0:t>
        </ns0:is>
      </ns0:c>
      <ns0:c r="C30" s="24" t="inlineStr">
        <ns0:is>
          <ns0:t>United States</ns0:t>
        </ns0:is>
      </ns0:c>
      <ns0:c r="D30" s="24" t="inlineStr">
        <ns0:is>
          <ns0:t>United States</ns0:t>
        </ns0:is>
      </ns0:c>
      <ns0:c r="E30" s="88" t="n">
        <ns0:v>410852.09</ns0:v>
      </ns0:c>
      <ns0:c r="F30" s="30" t="n">
        <ns0:f>E30*Settings!$B$7</ns0:f>
        <ns0:v>410852090</ns0:v>
      </ns0:c>
      <ns0:c r="G30" s="91" t="n">
        <ns0:v>587226000</ns0:v>
      </ns0:c>
      <ns0:c r="H30" s="24" t="inlineStr"/>
      <ns0:c r="I30" s="24" t="inlineStr">
        <ns0:is>
          <ns0:t>https://wits.worldbank.org/trade/comtrade/en/country/COL/year/2023/tradeflow/Imports/partner/ALL/product/271111</ns0:t>
        </ns0:is>
      </ns0:c>
      <ns0:c r="J30" s="24" t="inlineStr"/>
    </ns0:row>
    <ns0:row r="31" ht="52" customHeight="1">
      <ns0:c r="A31" s="13" t="n">
        <ns0:v>2023</ns0:v>
      </ns0:c>
      <ns0:c r="B31" s="18" t="inlineStr">
        <ns0:is>
          <ns0:t>271111</ns0:t>
        </ns0:is>
      </ns0:c>
      <ns0:c r="C31" s="18" t="inlineStr">
        <ns0:is>
          <ns0:t>Trinidad and Tobago</ns0:t>
        </ns0:is>
      </ns0:c>
      <ns0:c r="D31" s="18" t="inlineStr">
        <ns0:is>
          <ns0:t>Trinidad and Tobago</ns0:t>
        </ns0:is>
      </ns0:c>
      <ns0:c r="E31" s="58" t="n">
        <ns0:v>30603.01</ns0:v>
      </ns0:c>
      <ns0:c r="F31" s="28" t="n">
        <ns0:f>E31*Settings!$B$7</ns0:f>
        <ns0:v>30603010</ns0:v>
      </ns0:c>
      <ns0:c r="G31" s="76" t="n">
        <ns0:v>38373800</ns0:v>
      </ns0:c>
      <ns0:c r="H31" s="18" t="inlineStr"/>
      <ns0:c r="I31" s="18" t="inlineStr">
        <ns0:is>
          <ns0:t>https://wits.worldbank.org/trade/comtrade/en/country/COL/year/2023/tradeflow/Imports/partner/ALL/product/271111</ns0:t>
        </ns0:is>
      </ns0:c>
      <ns0:c r="J31" s="18" t="inlineStr"/>
    </ns0:row>
    <ns0:row r="32" ht="52" customHeight="1">
      <ns0:c r="A32" s="19" t="n">
        <ns0:v>2023</ns0:v>
      </ns0:c>
      <ns0:c r="B32" s="24" t="inlineStr">
        <ns0:is>
          <ns0:t>271111</ns0:t>
        </ns0:is>
      </ns0:c>
      <ns0:c r="C32" s="24" t="inlineStr">
        <ns0:is>
          <ns0:t>United Kingdom</ns0:t>
        </ns0:is>
      </ns0:c>
      <ns0:c r="D32" s="24" t="inlineStr">
        <ns0:is>
          <ns0:t>United Kingdom</ns0:t>
        </ns0:is>
      </ns0:c>
      <ns0:c r="E32" s="88" t="n">
        <ns0:v>0.87</ns0:v>
      </ns0:c>
      <ns0:c r="F32" s="30" t="n">
        <ns0:f>E32*Settings!$B$7</ns0:f>
        <ns0:v>870</ns0:v>
      </ns0:c>
      <ns0:c r="G32" s="93" t="n"/>
      <ns0:c r="H32" s="24" t="inlineStr">
        <ns0:is>
          <ns0:t>Reported trade partner. Do not automatically interpret as liquefaction/production origin.</ns0:t>
        </ns0:is>
      </ns0:c>
      <ns0:c r="I32" s="24" t="inlineStr">
        <ns0:is>
          <ns0:t>https://wits.worldbank.org/trade/comtrade/en/country/COL/year/2023/tradeflow/Imports/partner/ALL/product/271111</ns0:t>
        </ns0:is>
      </ns0:c>
      <ns0:c r="J32" s="24" t="inlineStr"/>
    </ns0:row>
    <ns0:row r="33" ht="52" customHeight="1">
      <ns0:c r="A33" s="13" t="n">
        <ns0:v>2023</ns0:v>
      </ns0:c>
      <ns0:c r="B33" s="18" t="inlineStr">
        <ns0:is>
          <ns0:t>271121</ns0:t>
        </ns0:is>
      </ns0:c>
      <ns0:c r="C33" s="18" t="inlineStr">
        <ns0:is>
          <ns0:t>United States</ns0:t>
        </ns0:is>
      </ns0:c>
      <ns0:c r="D33" s="18" t="inlineStr">
        <ns0:is>
          <ns0:t>United States</ns0:t>
        </ns0:is>
      </ns0:c>
      <ns0:c r="E33" s="58" t="n">
        <ns0:v>4.93</ns0:v>
      </ns0:c>
      <ns0:c r="F33" s="28" t="n">
        <ns0:f>E33*Settings!$B$7</ns0:f>
        <ns0:v>4930</ns0:v>
      </ns0:c>
      <ns0:c r="G33" s="76" t="n">
        <ns0:v>5995</ns0:v>
      </ns0:c>
      <ns0:c r="H33" s="18" t="inlineStr"/>
      <ns0:c r="I33" s="18" t="inlineStr">
        <ns0:is>
          <ns0:t>https://wits.worldbank.org/trade/comtrade/en/country/COL/year/2023/tradeflow/Imports/partner/ALL/product/271121</ns0:t>
        </ns0:is>
      </ns0:c>
      <ns0:c r="J33" s="18" t="inlineStr"/>
    </ns0:row>
    <ns0:row r="34" ht="52" customHeight="1">
      <ns0:c r="A34" s="19" t="n">
        <ns0:v>2024</ns0:v>
      </ns0:c>
      <ns0:c r="B34" s="24" t="inlineStr">
        <ns0:is>
          <ns0:t>271111</ns0:t>
        </ns0:is>
      </ns0:c>
      <ns0:c r="C34" s="24" t="inlineStr">
        <ns0:is>
          <ns0:t>United States</ns0:t>
        </ns0:is>
      </ns0:c>
      <ns0:c r="D34" s="24" t="inlineStr">
        <ns0:is>
          <ns0:t>United States</ns0:t>
        </ns0:is>
      </ns0:c>
      <ns0:c r="E34" s="88" t="n">
        <ns0:v>771978.25</ns0:v>
      </ns0:c>
      <ns0:c r="F34" s="30" t="n">
        <ns0:f>E34*Settings!$B$7</ns0:f>
        <ns0:v>771978250</ns0:v>
      </ns0:c>
      <ns0:c r="G34" s="91" t="n">
        <ns0:v>1383020000</ns0:v>
      </ns0:c>
      <ns0:c r="H34" s="24" t="inlineStr"/>
      <ns0:c r="I34" s="24" t="inlineStr">
        <ns0:is>
          <ns0:t>https://wits.worldbank.org/trade/comtrade/en/country/COL/year/2024/tradeflow/Imports/partner/ALL/product/271111</ns0:t>
        </ns0:is>
      </ns0:c>
      <ns0:c r="J34" s="24" t="inlineStr"/>
    </ns0:row>
    <ns0:row r="35" ht="52" customHeight="1">
      <ns0:c r="A35" s="13" t="n">
        <ns0:v>2024</ns0:v>
      </ns0:c>
      <ns0:c r="B35" s="18" t="inlineStr">
        <ns0:is>
          <ns0:t>271111</ns0:t>
        </ns0:is>
      </ns0:c>
      <ns0:c r="C35" s="18" t="inlineStr">
        <ns0:is>
          <ns0:t>Trinidad and Tobago</ns0:t>
        </ns0:is>
      </ns0:c>
      <ns0:c r="D35" s="18" t="inlineStr">
        <ns0:is>
          <ns0:t>Trinidad and Tobago</ns0:t>
        </ns0:is>
      </ns0:c>
      <ns0:c r="E35" s="58" t="n">
        <ns0:v>134542.94</ns0:v>
      </ns0:c>
      <ns0:c r="F35" s="28" t="n">
        <ns0:f>E35*Settings!$B$7</ns0:f>
        <ns0:v>134542940</ns0:v>
      </ns0:c>
      <ns0:c r="G35" s="76" t="n">
        <ns0:v>192276000</ns0:v>
      </ns0:c>
      <ns0:c r="H35" s="18" t="inlineStr"/>
      <ns0:c r="I35" s="18" t="inlineStr">
        <ns0:is>
          <ns0:t>https://wits.worldbank.org/trade/comtrade/en/country/COL/year/2024/tradeflow/Imports/partner/ALL/product/271111</ns0:t>
        </ns0:is>
      </ns0:c>
      <ns0:c r="J35" s="18" t="inlineStr"/>
    </ns0:row>
    <ns0:row r="36" ht="52" customHeight="1">
      <ns0:c r="A36" s="19" t="n">
        <ns0:v>2024</ns0:v>
      </ns0:c>
      <ns0:c r="B36" s="24" t="inlineStr">
        <ns0:is>
          <ns0:t>271111</ns0:t>
        </ns0:is>
      </ns0:c>
      <ns0:c r="C36" s="24" t="inlineStr">
        <ns0:is>
          <ns0:t>United Kingdom</ns0:t>
        </ns0:is>
      </ns0:c>
      <ns0:c r="D36" s="24" t="inlineStr">
        <ns0:is>
          <ns0:t>United Kingdom</ns0:t>
        </ns0:is>
      </ns0:c>
      <ns0:c r="E36" s="88" t="n">
        <ns0:v>38925.35</ns0:v>
      </ns0:c>
      <ns0:c r="F36" s="30" t="n">
        <ns0:f>E36*Settings!$B$7</ns0:f>
        <ns0:v>38925350</ns0:v>
      </ns0:c>
      <ns0:c r="G36" s="91" t="n">
        <ns0:v>50000800</ns0:v>
      </ns0:c>
      <ns0:c r="H36" s="24" t="inlineStr">
        <ns0:is>
          <ns0:t>Reported trade partner. Do not automatically interpret as liquefaction/production origin.</ns0:t>
        </ns0:is>
      </ns0:c>
      <ns0:c r="I36" s="24" t="inlineStr">
        <ns0:is>
          <ns0:t>https://wits.worldbank.org/trade/comtrade/en/country/COL/year/2024/tradeflow/Imports/partner/ALL/product/271111</ns0:t>
        </ns0:is>
      </ns0:c>
      <ns0:c r="J36" s="24" t="inlineStr"/>
    </ns0:row>
    <ns0:row r="37" ht="52" customHeight="1">
      <ns0:c r="A37" s="13" t="n">
        <ns0:v>2024</ns0:v>
      </ns0:c>
      <ns0:c r="B37" s="18" t="inlineStr">
        <ns0:is>
          <ns0:t>271121</ns0:t>
        </ns0:is>
      </ns0:c>
      <ns0:c r="C37" s="18" t="inlineStr">
        <ns0:is>
          <ns0:t>United States</ns0:t>
        </ns0:is>
      </ns0:c>
      <ns0:c r="D37" s="18" t="inlineStr">
        <ns0:is>
          <ns0:t>United States</ns0:t>
        </ns0:is>
      </ns0:c>
      <ns0:c r="E37" s="58" t="n">
        <ns0:v>25.29</ns0:v>
      </ns0:c>
      <ns0:c r="F37" s="28" t="n">
        <ns0:f>E37*Settings!$B$7</ns0:f>
        <ns0:v>25290</ns0:v>
      </ns0:c>
      <ns0:c r="G37" s="76" t="n">
        <ns0:v>392</ns0:v>
      </ns0:c>
      <ns0:c r="H37" s="18" t="inlineStr"/>
      <ns0:c r="I37" s="18" t="inlineStr">
        <ns0:is>
          <ns0:t>https://wits.worldbank.org/trade/comtrade/en/country/COL/year/2024/tradeflow/Imports/partner/ALL/product/271121</ns0:t>
        </ns0:is>
      </ns0:c>
      <ns0:c r="J37" s="18" t="inlineStr"/>
    </ns0:row>
    <ns0:row r="38" ht="52" customHeight="1">
      <ns0:c r="A38" s="19" t="n">
        <ns0:v>2024</ns0:v>
      </ns0:c>
      <ns0:c r="B38" s="24" t="inlineStr">
        <ns0:is>
          <ns0:t>271121</ns0:t>
        </ns0:is>
      </ns0:c>
      <ns0:c r="C38" s="24" t="inlineStr">
        <ns0:is>
          <ns0:t>Unspecified</ns0:t>
        </ns0:is>
      </ns0:c>
      <ns0:c r="D38" s="24" t="inlineStr">
        <ns0:is>
          <ns0:t>Unspecified</ns0:t>
        </ns0:is>
      </ns0:c>
      <ns0:c r="E38" s="88" t="n">
        <ns0:v>6.45</ns0:v>
      </ns0:c>
      <ns0:c r="F38" s="30" t="n">
        <ns0:f>E38*Settings!$B$7</ns0:f>
        <ns0:v>6450</ns0:v>
      </ns0:c>
      <ns0:c r="G38" s="91" t="n">
        <ns0:v>543</ns0:v>
      </ns0:c>
      <ns0:c r="H38" s="24" t="inlineStr"/>
      <ns0:c r="I38" s="24" t="inlineStr">
        <ns0:is>
          <ns0:t>https://wits.worldbank.org/trade/comtrade/en/country/COL/year/2024/tradeflow/Imports/partner/ALL/product/271121</ns0:t>
        </ns0:is>
      </ns0:c>
      <ns0:c r="J38" s="24" t="inlineStr"/>
    </ns0:row>
    <ns0:row r="39" ht="52" customHeight="1">
      <ns0:c r="A39" s="13" t="n">
        <ns0:v>2025</ns0:v>
      </ns0:c>
      <ns0:c r="B39" s="18" t="inlineStr">
        <ns0:is>
          <ns0:t>271111</ns0:t>
        </ns0:is>
      </ns0:c>
      <ns0:c r="C39" s="33" t="inlineStr">
        <ns0:is>
          <ns0:t>Tanzania</ns0:t>
        </ns0:is>
      </ns0:c>
      <ns0:c r="D39" s="33" t="inlineStr">
        <ns0:is>
          <ns0:t>Trinidad and Tobago</ns0:t>
        </ns0:is>
      </ns0:c>
      <ns0:c r="E39" s="58" t="n">
        <ns0:v>390808.22</ns0:v>
      </ns0:c>
      <ns0:c r="F39" s="28" t="n">
        <ns0:f>E39*Settings!$B$7</ns0:f>
        <ns0:v>390808220</ns0:v>
      </ns0:c>
      <ns0:c r="G39" s="76" t="n">
        <ns0:v>597442000</ns0:v>
      </ns0:c>
      <ns0:c r="H39" s="33" t="inlineStr">
        <ns0:is>
          <ns0:t>Raw WITS label Tanzania retained. Analysis label reconciled to DANE Dec-2025 p11 (US$390.8m). This is an analyst reconciliation, not an upstream correction.</ns0:t>
        </ns0:is>
      </ns0:c>
      <ns0:c r="I39" s="18" t="inlineStr">
        <ns0:is>
          <ns0:t>https://wits.worldbank.org/trade/comtrade/en/country/COL/year/2025/tradeflow/Imports/partner/ALL/product/271111</ns0:t>
        </ns0:is>
      </ns0:c>
      <ns0:c r="J39" s="18" t="inlineStr">
        <ns0:is>
          <ns0:t>https://www.dane.gov.co/files/operaciones/IMP/bol-IMP-dic2025.pdf</ns0:t>
        </ns0:is>
      </ns0:c>
    </ns0:row>
    <ns0:row r="40" ht="52" customHeight="1">
      <ns0:c r="A40" s="19" t="n">
        <ns0:v>2025</ns0:v>
      </ns0:c>
      <ns0:c r="B40" s="24" t="inlineStr">
        <ns0:is>
          <ns0:t>271111</ns0:t>
        </ns0:is>
      </ns0:c>
      <ns0:c r="C40" s="24" t="inlineStr">
        <ns0:is>
          <ns0:t>United States</ns0:t>
        </ns0:is>
      </ns0:c>
      <ns0:c r="D40" s="24" t="inlineStr">
        <ns0:is>
          <ns0:t>United States</ns0:t>
        </ns0:is>
      </ns0:c>
      <ns0:c r="E40" s="88" t="n">
        <ns0:v>388390.81</ns0:v>
      </ns0:c>
      <ns0:c r="F40" s="30" t="n">
        <ns0:f>E40*Settings!$B$7</ns0:f>
        <ns0:v>388390810</ns0:v>
      </ns0:c>
      <ns0:c r="G40" s="93" t="n"/>
      <ns0:c r="H40" s="24" t="inlineStr"/>
      <ns0:c r="I40" s="24" t="inlineStr">
        <ns0:is>
          <ns0:t>https://wits.worldbank.org/trade/comtrade/en/country/COL/year/2025/tradeflow/Imports/partner/ALL/product/271111</ns0:t>
        </ns0:is>
      </ns0:c>
      <ns0:c r="J40" s="24" t="inlineStr"/>
    </ns0:row>
    <ns0:row r="41" ht="52" customHeight="1">
      <ns0:c r="A41" s="13" t="n">
        <ns0:v>2025</ns0:v>
      </ns0:c>
      <ns0:c r="B41" s="18" t="inlineStr">
        <ns0:is>
          <ns0:t>271111</ns0:t>
        </ns0:is>
      </ns0:c>
      <ns0:c r="C41" s="18" t="inlineStr">
        <ns0:is>
          <ns0:t>United Kingdom</ns0:t>
        </ns0:is>
      </ns0:c>
      <ns0:c r="D41" s="18" t="inlineStr">
        <ns0:is>
          <ns0:t>United Kingdom</ns0:t>
        </ns0:is>
      </ns0:c>
      <ns0:c r="E41" s="58" t="n">
        <ns0:v>4.63</ns0:v>
      </ns0:c>
      <ns0:c r="F41" s="28" t="n">
        <ns0:f>E41*Settings!$B$7</ns0:f>
        <ns0:v>4630</ns0:v>
      </ns0:c>
      <ns0:c r="G41" s="76" t="n">
        <ns0:v>6939</ns0:v>
      </ns0:c>
      <ns0:c r="H41" s="18" t="inlineStr">
        <ns0:is>
          <ns0:t>Reported trade partner. Do not automatically interpret as liquefaction/production origin.</ns0:t>
        </ns0:is>
      </ns0:c>
      <ns0:c r="I41" s="18" t="inlineStr">
        <ns0:is>
          <ns0:t>https://wits.worldbank.org/trade/comtrade/en/country/COL/year/2025/tradeflow/Imports/partner/ALL/product/271111</ns0:t>
        </ns0:is>
      </ns0:c>
      <ns0:c r="J41" s="18" t="inlineStr"/>
    </ns0:row>
    <ns0:row r="42" ht="52" customHeight="1">
      <ns0:c r="A42" s="19" t="n">
        <ns0:v>2025</ns0:v>
      </ns0:c>
      <ns0:c r="B42" s="24" t="inlineStr">
        <ns0:is>
          <ns0:t>271121</ns0:t>
        </ns0:is>
      </ns0:c>
      <ns0:c r="C42" s="24" t="inlineStr">
        <ns0:is>
          <ns0:t>United States</ns0:t>
        </ns0:is>
      </ns0:c>
      <ns0:c r="D42" s="24" t="inlineStr">
        <ns0:is>
          <ns0:t>United States</ns0:t>
        </ns0:is>
      </ns0:c>
      <ns0:c r="E42" s="88" t="n">
        <ns0:v>25.28</ns0:v>
      </ns0:c>
      <ns0:c r="F42" s="30" t="n">
        <ns0:f>E42*Settings!$B$7</ns0:f>
        <ns0:v>25280</ns0:v>
      </ns0:c>
      <ns0:c r="G42" s="93" t="n"/>
      <ns0:c r="H42" s="24" t="inlineStr"/>
      <ns0:c r="I42" s="24" t="inlineStr">
        <ns0:is>
          <ns0:t>https://wits.worldbank.org/trade/comtrade/en/country/COL/year/2025/tradeflow/Imports/partner/ALL/product/271121</ns0:t>
        </ns0:is>
      </ns0:c>
      <ns0:c r="J42" s="24" t="inlineStr"/>
    </ns0:row>
    <ns0:row r="43" ht="52" customHeight="1">
      <ns0:c r="A43" s="13" t="n">
        <ns0:v>2025</ns0:v>
      </ns0:c>
      <ns0:c r="B43" s="18" t="inlineStr">
        <ns0:is>
          <ns0:t>271121</ns0:t>
        </ns0:is>
      </ns0:c>
      <ns0:c r="C43" s="18" t="inlineStr">
        <ns0:is>
          <ns0:t>Australia</ns0:t>
        </ns0:is>
      </ns0:c>
      <ns0:c r="D43" s="18" t="inlineStr">
        <ns0:is>
          <ns0:t>Australia</ns0:t>
        </ns0:is>
      </ns0:c>
      <ns0:c r="E43" s="58" t="n">
        <ns0:v>2.29</ns0:v>
      </ns0:c>
      <ns0:c r="F43" s="28" t="n">
        <ns0:f>E43*Settings!$B$7</ns0:f>
        <ns0:v>2290</ns0:v>
      </ns0:c>
      <ns0:c r="G43" s="92" t="n"/>
      <ns0:c r="H43" s="18" t="inlineStr"/>
      <ns0:c r="I43" s="18" t="inlineStr">
        <ns0:is>
          <ns0:t>https://wits.worldbank.org/trade/comtrade/en/country/COL/year/2025/tradeflow/Imports/partner/ALL/product/271121</ns0:t>
        </ns0:is>
      </ns0:c>
      <ns0:c r="J43" s="18" t="inlineStr"/>
    </ns0:row>
  </ns0:sheetData>
  <ns0:mergeCells count="2">
    <ns0:mergeCell ref="A1:J1"/>
    <ns0:mergeCell ref="A2:J3"/>
  </ns0:mergeCells>
  <ns0:printOptions horizontalCentered="1"/>
  <ns0:pageMargins left="0.75" right="0.75" top="1" bottom="1" header="0.5" footer="0.5"/>
  <ns0:pageSetup orientation="landscape" paperSize="8" fitToHeight="0" fitToWidth="1"/>
  <ns0:headerFooter>
    <ns0:oddHeader/>
    <ns0:oddFooter>&amp;CColombia natural gas | Sources and limitations inside workbook&amp;RPage &amp;P</ns0:oddFooter>
    <ns0:evenHeader/>
    <ns0:evenFooter/>
    <ns0:firstHeader/>
    <ns0:firstFooter/>
  </ns0:headerFooter>
  <ns0:legacyDrawing ns1:id="anysvml"/>
  <ns0:tableParts count="1">
    <ns0:tablePart ns1:id="rId1"/>
  </ns0:tableParts>
</ns0:worksheet>
</file>

<file path=xl/worksheets/sheet13.xml><?xml version="1.0" encoding="utf-8"?>
<ns0:worksheet xmlns:ns0="http://schemas.openxmlformats.org/spreadsheetml/2006/main" xmlns:ns1="http://schemas.openxmlformats.org/officeDocument/2006/relationships">
  <ns0:sheetPr>
    <ns0:outlinePr summaryBelow="1" summaryRight="0"/>
    <ns0:pageSetUpPr fitToPage="1"/>
  </ns0:sheetPr>
  <ns0:dimension ref="A1:M25"/>
  <ns0:sheetViews>
    <ns0:sheetView showGridLines="0" workbookViewId="0">
      <ns0:pane xSplit="2" ySplit="6" topLeftCell="C7" activePane="bottomRight" state="frozen"/>
      <ns0:selection pane="topRight" activeCell="A1" sqref="A1"/>
      <ns0:selection pane="bottomLeft" activeCell="A1" sqref="A1"/>
      <ns0:selection pane="bottomRight" activeCell="A1" sqref="A1"/>
    </ns0:sheetView>
  </ns0:sheetViews>
  <ns0:sheetFormatPr baseColWidth="8" defaultRowHeight="15"/>
  <ns0:cols>
    <ns0:col width="16" customWidth="1" min="1" max="1"/>
    <ns0:col width="22" customWidth="1" min="2" max="2"/>
    <ns0:col width="25" customWidth="1" min="3" max="3"/>
    <ns0:col width="25" customWidth="1" min="4" max="4"/>
    <ns0:col width="25" customWidth="1" min="5" max="5"/>
    <ns0:col width="18" customWidth="1" min="6" max="6"/>
    <ns0:col width="29" customWidth="1" min="7" max="7"/>
    <ns0:col width="27" customWidth="1" min="8" max="8"/>
    <ns0:col width="25" customWidth="1" min="9" max="9"/>
    <ns0:col width="16" customWidth="1" min="10" max="10"/>
    <ns0:col width="28" customWidth="1" min="11" max="11"/>
    <ns0:col width="25" customWidth="1" min="12" max="12"/>
    <ns0:col width="70" customWidth="1" min="13" max="13"/>
  </ns0:cols>
  <ns0:sheetData>
    <ns0:row r="1" ht="42" customHeight="1">
      <ns0:c r="A1" s="1" t="inlineStr">
        <ns0:is>
          <ns0:t>BMC | VISIBLE FORWARD SCENARIO</ns0:t>
        </ns0:is>
      </ns0:c>
    </ns0:row>
    <ns0:row r="2" ht="26" customHeight="1">
      <ns0:c r="A2" s="3" t="inlineStr">
        <ns0:is>
          <ns0:t>Exact table cells from the user screenshot: UPME + OEF XM. This is total supply versus demand, NOT projected LNG imports. Yellow domestic-supply inputs are intentionally blank; price is an illustrative assumption.</ns0:t>
        </ns0:is>
      </ns0:c>
    </ns0:row>
    <ns0:row r="3" ht="16" customHeight="1"/>
    <ns0:row r="6" ht="42" customHeight="1">
      <ns0:c r="A6" s="12" t="inlineStr">
        <ns0:is>
          <ns0:t>Month</ns0:t>
        </ns0:is>
      </ns0:c>
      <ns0:c r="B6" s="12" t="inlineStr">
        <ns0:is>
          <ns0:t>Supply (MBtu/day)</ns0:t>
        </ns0:is>
      </ns0:c>
      <ns0:c r="C6" s="12" t="inlineStr">
        <ns0:is>
          <ns0:t>Demand projection (MBtu/day)</ns0:t>
        </ns0:is>
      </ns0:c>
      <ns0:c r="D6" s="12" t="inlineStr">
        <ns0:is>
          <ns0:t>Published margin (MBtu/day)</ns0:t>
        </ns0:is>
      </ns0:c>
      <ns0:c r="E6" s="12" t="inlineStr">
        <ns0:is>
          <ns0:t>Calculated margin (MBtu/day)</ns0:t>
        </ns0:is>
      </ns0:c>
      <ns0:c r="F6" s="12" t="inlineStr">
        <ns0:is>
          <ns0:t>Margin check</ns0:t>
        </ns0:is>
      </ns0:c>
      <ns0:c r="G6" s="12" t="inlineStr">
        <ns0:is>
          <ns0:t>Usable domestic supply (input, MBtu/day)</ns0:t>
        </ns0:is>
      </ns0:c>
      <ns0:c r="H6" s="12" t="inlineStr">
        <ns0:is>
          <ns0:t>Residual import need (MBtu/day)</ns0:t>
        </ns0:is>
      </ns0:c>
      <ns0:c r="I6" s="12" t="inlineStr">
        <ns0:is>
          <ns0:t>Border LNG price (US$/MMBtu)</ns0:t>
        </ns0:is>
      </ns0:c>
      <ns0:c r="J6" s="12" t="inlineStr">
        <ns0:is>
          <ns0:t>Days in month</ns0:t>
        </ns0:is>
      </ns0:c>
      <ns0:c r="K6" s="12" t="inlineStr">
        <ns0:is>
          <ns0:t>Indicative monthly LNG bill (US$ million)</ns0:t>
        </ns0:is>
      </ns0:c>
      <ns0:c r="L6" s="12" t="inlineStr">
        <ns0:is>
          <ns0:t>Scenario</ns0:t>
        </ns0:is>
      </ns0:c>
      <ns0:c r="M6" s="12" t="inlineStr">
        <ns0:is>
          <ns0:t>Source / provenance</ns0:t>
        </ns0:is>
      </ns0:c>
    </ns0:row>
    <ns0:row r="7" ht="40" customHeight="1">
      <ns0:c r="A7" s="34" t="n">
        <ns0:v>46296</ns0:v>
      </ns0:c>
      <ns0:c r="B7" s="76" t="n">
        <ns0:v>1144175</ns0:v>
      </ns0:c>
      <ns0:c r="C7" s="76" t="n">
        <ns0:v>1205885</ns0:v>
      </ns0:c>
      <ns0:c r="D7" s="76" t="n">
        <ns0:v>-61710</ns0:v>
      </ns0:c>
      <ns0:c r="E7" s="94" t="n">
        <ns0:f>B7-C7</ns0:f>
        <ns0:v>-61710</ns0:v>
      </ns0:c>
      <ns0:c r="F7" s="36" t="str">
        <ns0:f>IF(E7=D7,"PASS","REVIEW")</ns0:f>
        <ns0:v>PASS</ns0:v>
      </ns0:c>
      <ns0:c r="G7" s="95" t="n"/>
      <ns0:c r="H7" s="94" t="str">
        <ns0:f>IF(ISNUMBER(G7),MAX(0,C7-G7),"")</ns0:f>
      </ns0:c>
      <ns0:c r="I7" s="38" t="n">
        <ns0:f>Settings!$B$10</ns0:f>
        <ns0:v>12</ns0:v>
      </ns0:c>
      <ns0:c r="J7" s="94" t="n">
        <ns0:f>DAY(EOMONTH(A7,0))</ns0:f>
        <ns0:v>31</ns0:v>
      </ns0:c>
      <ns0:c r="K7" s="65" t="str">
        <ns0:f>IF(AND(ISNUMBER(G7),G7&gt;=0),H7*I7*J7/Settings!$B$8,"")</ns0:f>
      </ns0:c>
      <ns0:c r="L7" s="18" t="inlineStr">
        <ns0:is>
          <ns0:t>UPME + OEF XM</ns0:t>
        </ns0:is>
      </ns0:c>
      <ns0:c r="M7" s="18" t="inlineStr">
        <ns0:is>
          <ns0:t>User screenshot: exact visible table; https://www.bmcbec.com.co/</ns0:t>
        </ns0:is>
      </ns0:c>
    </ns0:row>
    <ns0:row r="8" ht="40" customHeight="1">
      <ns0:c r="A8" s="39" t="n">
        <ns0:v>46327</ns0:v>
      </ns0:c>
      <ns0:c r="B8" s="91" t="n">
        <ns0:v>1257285</ns0:v>
      </ns0:c>
      <ns0:c r="C8" s="91" t="n">
        <ns0:v>1184705</ns0:v>
      </ns0:c>
      <ns0:c r="D8" s="91" t="n">
        <ns0:v>72580</ns0:v>
      </ns0:c>
      <ns0:c r="E8" s="96" t="n">
        <ns0:f>B8-C8</ns0:f>
        <ns0:v>72580</ns0:v>
      </ns0:c>
      <ns0:c r="F8" s="41" t="str">
        <ns0:f>IF(E8=D8,"PASS","REVIEW")</ns0:f>
        <ns0:v>PASS</ns0:v>
      </ns0:c>
      <ns0:c r="G8" s="95" t="n"/>
      <ns0:c r="H8" s="96" t="str">
        <ns0:f>IF(ISNUMBER(G8),MAX(0,C8-G8),"")</ns0:f>
      </ns0:c>
      <ns0:c r="I8" s="42" t="n">
        <ns0:f>Settings!$B$10</ns0:f>
        <ns0:v>12</ns0:v>
      </ns0:c>
      <ns0:c r="J8" s="96" t="n">
        <ns0:f>DAY(EOMONTH(A8,0))</ns0:f>
        <ns0:v>30</ns0:v>
      </ns0:c>
      <ns0:c r="K8" s="90" t="str">
        <ns0:f>IF(AND(ISNUMBER(G8),G8&gt;=0),H8*I8*J8/Settings!$B$8,"")</ns0:f>
      </ns0:c>
      <ns0:c r="L8" s="24" t="inlineStr">
        <ns0:is>
          <ns0:t>UPME + OEF XM</ns0:t>
        </ns0:is>
      </ns0:c>
      <ns0:c r="M8" s="24" t="inlineStr">
        <ns0:is>
          <ns0:t>User screenshot: exact visible table; https://www.bmcbec.com.co/</ns0:t>
        </ns0:is>
      </ns0:c>
    </ns0:row>
    <ns0:row r="9" ht="40" customHeight="1">
      <ns0:c r="A9" s="34" t="n">
        <ns0:v>46357</ns0:v>
      </ns0:c>
      <ns0:c r="B9" s="76" t="n">
        <ns0:v>1245033</ns0:v>
      </ns0:c>
      <ns0:c r="C9" s="76" t="n">
        <ns0:v>1293349</ns0:v>
      </ns0:c>
      <ns0:c r="D9" s="76" t="n">
        <ns0:v>-48316</ns0:v>
      </ns0:c>
      <ns0:c r="E9" s="94" t="n">
        <ns0:f>B9-C9</ns0:f>
        <ns0:v>-48316</ns0:v>
      </ns0:c>
      <ns0:c r="F9" s="36" t="str">
        <ns0:f>IF(E9=D9,"PASS","REVIEW")</ns0:f>
        <ns0:v>PASS</ns0:v>
      </ns0:c>
      <ns0:c r="G9" s="95" t="n"/>
      <ns0:c r="H9" s="94" t="str">
        <ns0:f>IF(ISNUMBER(G9),MAX(0,C9-G9),"")</ns0:f>
      </ns0:c>
      <ns0:c r="I9" s="38" t="n">
        <ns0:f>Settings!$B$10</ns0:f>
        <ns0:v>12</ns0:v>
      </ns0:c>
      <ns0:c r="J9" s="94" t="n">
        <ns0:f>DAY(EOMONTH(A9,0))</ns0:f>
        <ns0:v>31</ns0:v>
      </ns0:c>
      <ns0:c r="K9" s="65" t="str">
        <ns0:f>IF(AND(ISNUMBER(G9),G9&gt;=0),H9*I9*J9/Settings!$B$8,"")</ns0:f>
      </ns0:c>
      <ns0:c r="L9" s="18" t="inlineStr">
        <ns0:is>
          <ns0:t>UPME + OEF XM</ns0:t>
        </ns0:is>
      </ns0:c>
      <ns0:c r="M9" s="18" t="inlineStr">
        <ns0:is>
          <ns0:t>User screenshot: exact visible table; https://www.bmcbec.com.co/</ns0:t>
        </ns0:is>
      </ns0:c>
    </ns0:row>
    <ns0:row r="10" ht="40" customHeight="1">
      <ns0:c r="A10" s="39" t="n">
        <ns0:v>46388</ns0:v>
      </ns0:c>
      <ns0:c r="B10" s="91" t="n">
        <ns0:v>1234062</ns0:v>
      </ns0:c>
      <ns0:c r="C10" s="91" t="n">
        <ns0:v>1282217</ns0:v>
      </ns0:c>
      <ns0:c r="D10" s="91" t="n">
        <ns0:v>-48155</ns0:v>
      </ns0:c>
      <ns0:c r="E10" s="96" t="n">
        <ns0:f>B10-C10</ns0:f>
        <ns0:v>-48155</ns0:v>
      </ns0:c>
      <ns0:c r="F10" s="41" t="str">
        <ns0:f>IF(E10=D10,"PASS","REVIEW")</ns0:f>
        <ns0:v>PASS</ns0:v>
      </ns0:c>
      <ns0:c r="G10" s="95" t="n"/>
      <ns0:c r="H10" s="96" t="str">
        <ns0:f>IF(ISNUMBER(G10),MAX(0,C10-G10),"")</ns0:f>
      </ns0:c>
      <ns0:c r="I10" s="42" t="n">
        <ns0:f>Settings!$B$10</ns0:f>
        <ns0:v>12</ns0:v>
      </ns0:c>
      <ns0:c r="J10" s="96" t="n">
        <ns0:f>DAY(EOMONTH(A10,0))</ns0:f>
        <ns0:v>31</ns0:v>
      </ns0:c>
      <ns0:c r="K10" s="90" t="str">
        <ns0:f>IF(AND(ISNUMBER(G10),G10&gt;=0),H10*I10*J10/Settings!$B$8,"")</ns0:f>
      </ns0:c>
      <ns0:c r="L10" s="24" t="inlineStr">
        <ns0:is>
          <ns0:t>UPME + OEF XM</ns0:t>
        </ns0:is>
      </ns0:c>
      <ns0:c r="M10" s="24" t="inlineStr">
        <ns0:is>
          <ns0:t>User screenshot: exact visible table; https://www.bmcbec.com.co/</ns0:t>
        </ns0:is>
      </ns0:c>
    </ns0:row>
    <ns0:row r="11" ht="40" customHeight="1">
      <ns0:c r="A11" s="34" t="n">
        <ns0:v>46419</ns0:v>
      </ns0:c>
      <ns0:c r="B11" s="76" t="n">
        <ns0:v>1261486</ns0:v>
      </ns0:c>
      <ns0:c r="C11" s="76" t="n">
        <ns0:v>1301626</ns0:v>
      </ns0:c>
      <ns0:c r="D11" s="76" t="n">
        <ns0:v>-40140</ns0:v>
      </ns0:c>
      <ns0:c r="E11" s="94" t="n">
        <ns0:f>B11-C11</ns0:f>
        <ns0:v>-40140</ns0:v>
      </ns0:c>
      <ns0:c r="F11" s="36" t="str">
        <ns0:f>IF(E11=D11,"PASS","REVIEW")</ns0:f>
        <ns0:v>PASS</ns0:v>
      </ns0:c>
      <ns0:c r="G11" s="95" t="n"/>
      <ns0:c r="H11" s="94" t="str">
        <ns0:f>IF(ISNUMBER(G11),MAX(0,C11-G11),"")</ns0:f>
      </ns0:c>
      <ns0:c r="I11" s="38" t="n">
        <ns0:f>Settings!$B$10</ns0:f>
        <ns0:v>12</ns0:v>
      </ns0:c>
      <ns0:c r="J11" s="94" t="n">
        <ns0:f>DAY(EOMONTH(A11,0))</ns0:f>
        <ns0:v>28</ns0:v>
      </ns0:c>
      <ns0:c r="K11" s="65" t="str">
        <ns0:f>IF(AND(ISNUMBER(G11),G11&gt;=0),H11*I11*J11/Settings!$B$8,"")</ns0:f>
      </ns0:c>
      <ns0:c r="L11" s="18" t="inlineStr">
        <ns0:is>
          <ns0:t>UPME + OEF XM</ns0:t>
        </ns0:is>
      </ns0:c>
      <ns0:c r="M11" s="18" t="inlineStr">
        <ns0:is>
          <ns0:t>User screenshot: exact visible table; https://www.bmcbec.com.co/</ns0:t>
        </ns0:is>
      </ns0:c>
    </ns0:row>
    <ns0:row r="12" ht="40" customHeight="1">
      <ns0:c r="A12" s="39" t="n">
        <ns0:v>46447</ns0:v>
      </ns0:c>
      <ns0:c r="B12" s="91" t="n">
        <ns0:v>1268968</ns0:v>
      </ns0:c>
      <ns0:c r="C12" s="91" t="n">
        <ns0:v>1317922</ns0:v>
      </ns0:c>
      <ns0:c r="D12" s="91" t="n">
        <ns0:v>-48954</ns0:v>
      </ns0:c>
      <ns0:c r="E12" s="96" t="n">
        <ns0:f>B12-C12</ns0:f>
        <ns0:v>-48954</ns0:v>
      </ns0:c>
      <ns0:c r="F12" s="41" t="str">
        <ns0:f>IF(E12=D12,"PASS","REVIEW")</ns0:f>
        <ns0:v>PASS</ns0:v>
      </ns0:c>
      <ns0:c r="G12" s="95" t="n"/>
      <ns0:c r="H12" s="96" t="str">
        <ns0:f>IF(ISNUMBER(G12),MAX(0,C12-G12),"")</ns0:f>
      </ns0:c>
      <ns0:c r="I12" s="42" t="n">
        <ns0:f>Settings!$B$10</ns0:f>
        <ns0:v>12</ns0:v>
      </ns0:c>
      <ns0:c r="J12" s="96" t="n">
        <ns0:f>DAY(EOMONTH(A12,0))</ns0:f>
        <ns0:v>31</ns0:v>
      </ns0:c>
      <ns0:c r="K12" s="90" t="str">
        <ns0:f>IF(AND(ISNUMBER(G12),G12&gt;=0),H12*I12*J12/Settings!$B$8,"")</ns0:f>
      </ns0:c>
      <ns0:c r="L12" s="24" t="inlineStr">
        <ns0:is>
          <ns0:t>UPME + OEF XM</ns0:t>
        </ns0:is>
      </ns0:c>
      <ns0:c r="M12" s="24" t="inlineStr">
        <ns0:is>
          <ns0:t>User screenshot: exact visible table; https://www.bmcbec.com.co/</ns0:t>
        </ns0:is>
      </ns0:c>
    </ns0:row>
    <ns0:row r="13" ht="40" customHeight="1">
      <ns0:c r="A13" s="34" t="n">
        <ns0:v>46478</ns0:v>
      </ns0:c>
      <ns0:c r="B13" s="76" t="n">
        <ns0:v>1267109</ns0:v>
      </ns0:c>
      <ns0:c r="C13" s="76" t="n">
        <ns0:v>1104530</ns0:v>
      </ns0:c>
      <ns0:c r="D13" s="76" t="n">
        <ns0:v>162579</ns0:v>
      </ns0:c>
      <ns0:c r="E13" s="94" t="n">
        <ns0:f>B13-C13</ns0:f>
        <ns0:v>162579</ns0:v>
      </ns0:c>
      <ns0:c r="F13" s="36" t="str">
        <ns0:f>IF(E13=D13,"PASS","REVIEW")</ns0:f>
        <ns0:v>PASS</ns0:v>
      </ns0:c>
      <ns0:c r="G13" s="95" t="n"/>
      <ns0:c r="H13" s="94" t="str">
        <ns0:f>IF(ISNUMBER(G13),MAX(0,C13-G13),"")</ns0:f>
      </ns0:c>
      <ns0:c r="I13" s="38" t="n">
        <ns0:f>Settings!$B$10</ns0:f>
        <ns0:v>12</ns0:v>
      </ns0:c>
      <ns0:c r="J13" s="94" t="n">
        <ns0:f>DAY(EOMONTH(A13,0))</ns0:f>
        <ns0:v>30</ns0:v>
      </ns0:c>
      <ns0:c r="K13" s="65" t="str">
        <ns0:f>IF(AND(ISNUMBER(G13),G13&gt;=0),H13*I13*J13/Settings!$B$8,"")</ns0:f>
      </ns0:c>
      <ns0:c r="L13" s="18" t="inlineStr">
        <ns0:is>
          <ns0:t>UPME + OEF XM</ns0:t>
        </ns0:is>
      </ns0:c>
      <ns0:c r="M13" s="18" t="inlineStr">
        <ns0:is>
          <ns0:t>User screenshot: exact visible table; https://www.bmcbec.com.co/</ns0:t>
        </ns0:is>
      </ns0:c>
    </ns0:row>
    <ns0:row r="14" ht="40" customHeight="1">
      <ns0:c r="A14" s="39" t="n">
        <ns0:v>46508</ns0:v>
      </ns0:c>
      <ns0:c r="B14" s="91" t="n">
        <ns0:v>1263599</ns0:v>
      </ns0:c>
      <ns0:c r="C14" s="91" t="n">
        <ns0:v>1089386</ns0:v>
      </ns0:c>
      <ns0:c r="D14" s="91" t="n">
        <ns0:v>174213</ns0:v>
      </ns0:c>
      <ns0:c r="E14" s="96" t="n">
        <ns0:f>B14-C14</ns0:f>
        <ns0:v>174213</ns0:v>
      </ns0:c>
      <ns0:c r="F14" s="41" t="str">
        <ns0:f>IF(E14=D14,"PASS","REVIEW")</ns0:f>
        <ns0:v>PASS</ns0:v>
      </ns0:c>
      <ns0:c r="G14" s="95" t="n"/>
      <ns0:c r="H14" s="96" t="str">
        <ns0:f>IF(ISNUMBER(G14),MAX(0,C14-G14),"")</ns0:f>
      </ns0:c>
      <ns0:c r="I14" s="42" t="n">
        <ns0:f>Settings!$B$10</ns0:f>
        <ns0:v>12</ns0:v>
      </ns0:c>
      <ns0:c r="J14" s="96" t="n">
        <ns0:f>DAY(EOMONTH(A14,0))</ns0:f>
        <ns0:v>31</ns0:v>
      </ns0:c>
      <ns0:c r="K14" s="90" t="str">
        <ns0:f>IF(AND(ISNUMBER(G14),G14&gt;=0),H14*I14*J14/Settings!$B$8,"")</ns0:f>
      </ns0:c>
      <ns0:c r="L14" s="24" t="inlineStr">
        <ns0:is>
          <ns0:t>UPME + OEF XM</ns0:t>
        </ns0:is>
      </ns0:c>
      <ns0:c r="M14" s="24" t="inlineStr">
        <ns0:is>
          <ns0:t>User screenshot: exact visible table; https://www.bmcbec.com.co/</ns0:t>
        </ns0:is>
      </ns0:c>
    </ns0:row>
    <ns0:row r="15" ht="40" customHeight="1">
      <ns0:c r="A15" s="34" t="n">
        <ns0:v>46539</ns0:v>
      </ns0:c>
      <ns0:c r="B15" s="76" t="n">
        <ns0:v>1267572</ns0:v>
      </ns0:c>
      <ns0:c r="C15" s="76" t="n">
        <ns0:v>1186340</ns0:v>
      </ns0:c>
      <ns0:c r="D15" s="76" t="n">
        <ns0:v>81232</ns0:v>
      </ns0:c>
      <ns0:c r="E15" s="94" t="n">
        <ns0:f>B15-C15</ns0:f>
        <ns0:v>81232</ns0:v>
      </ns0:c>
      <ns0:c r="F15" s="36" t="str">
        <ns0:f>IF(E15=D15,"PASS","REVIEW")</ns0:f>
        <ns0:v>PASS</ns0:v>
      </ns0:c>
      <ns0:c r="G15" s="95" t="n"/>
      <ns0:c r="H15" s="94" t="str">
        <ns0:f>IF(ISNUMBER(G15),MAX(0,C15-G15),"")</ns0:f>
      </ns0:c>
      <ns0:c r="I15" s="38" t="n">
        <ns0:f>Settings!$B$10</ns0:f>
        <ns0:v>12</ns0:v>
      </ns0:c>
      <ns0:c r="J15" s="94" t="n">
        <ns0:f>DAY(EOMONTH(A15,0))</ns0:f>
        <ns0:v>30</ns0:v>
      </ns0:c>
      <ns0:c r="K15" s="65" t="str">
        <ns0:f>IF(AND(ISNUMBER(G15),G15&gt;=0),H15*I15*J15/Settings!$B$8,"")</ns0:f>
      </ns0:c>
      <ns0:c r="L15" s="18" t="inlineStr">
        <ns0:is>
          <ns0:t>UPME + OEF XM</ns0:t>
        </ns0:is>
      </ns0:c>
      <ns0:c r="M15" s="18" t="inlineStr">
        <ns0:is>
          <ns0:t>User screenshot: exact visible table; https://www.bmcbec.com.co/</ns0:t>
        </ns0:is>
      </ns0:c>
    </ns0:row>
    <ns0:row r="16" ht="40" customHeight="1">
      <ns0:c r="A16" s="39" t="n">
        <ns0:v>46569</ns0:v>
      </ns0:c>
      <ns0:c r="B16" s="91" t="n">
        <ns0:v>1277866</ns0:v>
      </ns0:c>
      <ns0:c r="C16" s="91" t="n">
        <ns0:v>1133719</ns0:v>
      </ns0:c>
      <ns0:c r="D16" s="91" t="n">
        <ns0:v>144147</ns0:v>
      </ns0:c>
      <ns0:c r="E16" s="96" t="n">
        <ns0:f>B16-C16</ns0:f>
        <ns0:v>144147</ns0:v>
      </ns0:c>
      <ns0:c r="F16" s="41" t="str">
        <ns0:f>IF(E16=D16,"PASS","REVIEW")</ns0:f>
        <ns0:v>PASS</ns0:v>
      </ns0:c>
      <ns0:c r="G16" s="95" t="n"/>
      <ns0:c r="H16" s="96" t="str">
        <ns0:f>IF(ISNUMBER(G16),MAX(0,C16-G16),"")</ns0:f>
      </ns0:c>
      <ns0:c r="I16" s="42" t="n">
        <ns0:f>Settings!$B$10</ns0:f>
        <ns0:v>12</ns0:v>
      </ns0:c>
      <ns0:c r="J16" s="96" t="n">
        <ns0:f>DAY(EOMONTH(A16,0))</ns0:f>
        <ns0:v>31</ns0:v>
      </ns0:c>
      <ns0:c r="K16" s="90" t="str">
        <ns0:f>IF(AND(ISNUMBER(G16),G16&gt;=0),H16*I16*J16/Settings!$B$8,"")</ns0:f>
      </ns0:c>
      <ns0:c r="L16" s="24" t="inlineStr">
        <ns0:is>
          <ns0:t>UPME + OEF XM</ns0:t>
        </ns0:is>
      </ns0:c>
      <ns0:c r="M16" s="24" t="inlineStr">
        <ns0:is>
          <ns0:t>User screenshot: exact visible table; https://www.bmcbec.com.co/</ns0:t>
        </ns0:is>
      </ns0:c>
    </ns0:row>
    <ns0:row r="17" ht="40" customHeight="1">
      <ns0:c r="A17" s="34" t="n">
        <ns0:v>46600</ns0:v>
      </ns0:c>
      <ns0:c r="B17" s="76" t="n">
        <ns0:v>1281951</ns0:v>
      </ns0:c>
      <ns0:c r="C17" s="76" t="n">
        <ns0:v>1127004</ns0:v>
      </ns0:c>
      <ns0:c r="D17" s="76" t="n">
        <ns0:v>154947</ns0:v>
      </ns0:c>
      <ns0:c r="E17" s="94" t="n">
        <ns0:f>B17-C17</ns0:f>
        <ns0:v>154947</ns0:v>
      </ns0:c>
      <ns0:c r="F17" s="36" t="str">
        <ns0:f>IF(E17=D17,"PASS","REVIEW")</ns0:f>
        <ns0:v>PASS</ns0:v>
      </ns0:c>
      <ns0:c r="G17" s="95" t="n"/>
      <ns0:c r="H17" s="94" t="str">
        <ns0:f>IF(ISNUMBER(G17),MAX(0,C17-G17),"")</ns0:f>
      </ns0:c>
      <ns0:c r="I17" s="38" t="n">
        <ns0:f>Settings!$B$10</ns0:f>
        <ns0:v>12</ns0:v>
      </ns0:c>
      <ns0:c r="J17" s="94" t="n">
        <ns0:f>DAY(EOMONTH(A17,0))</ns0:f>
        <ns0:v>31</ns0:v>
      </ns0:c>
      <ns0:c r="K17" s="65" t="str">
        <ns0:f>IF(AND(ISNUMBER(G17),G17&gt;=0),H17*I17*J17/Settings!$B$8,"")</ns0:f>
      </ns0:c>
      <ns0:c r="L17" s="18" t="inlineStr">
        <ns0:is>
          <ns0:t>UPME + OEF XM</ns0:t>
        </ns0:is>
      </ns0:c>
      <ns0:c r="M17" s="18" t="inlineStr">
        <ns0:is>
          <ns0:t>User screenshot: exact visible table; https://www.bmcbec.com.co/</ns0:t>
        </ns0:is>
      </ns0:c>
    </ns0:row>
    <ns0:row r="18" ht="40" customHeight="1">
      <ns0:c r="A18" s="39" t="n">
        <ns0:v>46631</ns0:v>
      </ns0:c>
      <ns0:c r="B18" s="91" t="n">
        <ns0:v>1282211</ns0:v>
      </ns0:c>
      <ns0:c r="C18" s="91" t="n">
        <ns0:v>989533</ns0:v>
      </ns0:c>
      <ns0:c r="D18" s="91" t="n">
        <ns0:v>292678</ns0:v>
      </ns0:c>
      <ns0:c r="E18" s="96" t="n">
        <ns0:f>B18-C18</ns0:f>
        <ns0:v>292678</ns0:v>
      </ns0:c>
      <ns0:c r="F18" s="41" t="str">
        <ns0:f>IF(E18=D18,"PASS","REVIEW")</ns0:f>
        <ns0:v>PASS</ns0:v>
      </ns0:c>
      <ns0:c r="G18" s="95" t="n"/>
      <ns0:c r="H18" s="96" t="str">
        <ns0:f>IF(ISNUMBER(G18),MAX(0,C18-G18),"")</ns0:f>
      </ns0:c>
      <ns0:c r="I18" s="42" t="n">
        <ns0:f>Settings!$B$10</ns0:f>
        <ns0:v>12</ns0:v>
      </ns0:c>
      <ns0:c r="J18" s="96" t="n">
        <ns0:f>DAY(EOMONTH(A18,0))</ns0:f>
        <ns0:v>30</ns0:v>
      </ns0:c>
      <ns0:c r="K18" s="90" t="str">
        <ns0:f>IF(AND(ISNUMBER(G18),G18&gt;=0),H18*I18*J18/Settings!$B$8,"")</ns0:f>
      </ns0:c>
      <ns0:c r="L18" s="24" t="inlineStr">
        <ns0:is>
          <ns0:t>UPME + OEF XM</ns0:t>
        </ns0:is>
      </ns0:c>
      <ns0:c r="M18" s="24" t="inlineStr">
        <ns0:is>
          <ns0:t>User screenshot: exact visible table; https://www.bmcbec.com.co/</ns0:t>
        </ns0:is>
      </ns0:c>
    </ns0:row>
    <ns0:row r="19" ht="40" customHeight="1">
      <ns0:c r="A19" s="34" t="n">
        <ns0:v>46661</ns0:v>
      </ns0:c>
      <ns0:c r="B19" s="76" t="n">
        <ns0:v>1306595</ns0:v>
      </ns0:c>
      <ns0:c r="C19" s="76" t="n">
        <ns0:v>1031228</ns0:v>
      </ns0:c>
      <ns0:c r="D19" s="76" t="n">
        <ns0:v>275367</ns0:v>
      </ns0:c>
      <ns0:c r="E19" s="94" t="n">
        <ns0:f>B19-C19</ns0:f>
        <ns0:v>275367</ns0:v>
      </ns0:c>
      <ns0:c r="F19" s="36" t="str">
        <ns0:f>IF(E19=D19,"PASS","REVIEW")</ns0:f>
        <ns0:v>PASS</ns0:v>
      </ns0:c>
      <ns0:c r="G19" s="95" t="n"/>
      <ns0:c r="H19" s="94" t="str">
        <ns0:f>IF(ISNUMBER(G19),MAX(0,C19-G19),"")</ns0:f>
      </ns0:c>
      <ns0:c r="I19" s="38" t="n">
        <ns0:f>Settings!$B$10</ns0:f>
        <ns0:v>12</ns0:v>
      </ns0:c>
      <ns0:c r="J19" s="94" t="n">
        <ns0:f>DAY(EOMONTH(A19,0))</ns0:f>
        <ns0:v>31</ns0:v>
      </ns0:c>
      <ns0:c r="K19" s="65" t="str">
        <ns0:f>IF(AND(ISNUMBER(G19),G19&gt;=0),H19*I19*J19/Settings!$B$8,"")</ns0:f>
      </ns0:c>
      <ns0:c r="L19" s="18" t="inlineStr">
        <ns0:is>
          <ns0:t>UPME + OEF XM</ns0:t>
        </ns0:is>
      </ns0:c>
      <ns0:c r="M19" s="18" t="inlineStr">
        <ns0:is>
          <ns0:t>User screenshot: exact visible table; https://www.bmcbec.com.co/</ns0:t>
        </ns0:is>
      </ns0:c>
    </ns0:row>
    <ns0:row r="20" ht="40" customHeight="1">
      <ns0:c r="A20" s="39" t="n">
        <ns0:v>46692</ns0:v>
      </ns0:c>
      <ns0:c r="B20" s="91" t="n">
        <ns0:v>1312109</ns0:v>
      </ns0:c>
      <ns0:c r="C20" s="91" t="n">
        <ns0:v>986976</ns0:v>
      </ns0:c>
      <ns0:c r="D20" s="91" t="n">
        <ns0:v>325133</ns0:v>
      </ns0:c>
      <ns0:c r="E20" s="96" t="n">
        <ns0:f>B20-C20</ns0:f>
        <ns0:v>325133</ns0:v>
      </ns0:c>
      <ns0:c r="F20" s="41" t="str">
        <ns0:f>IF(E20=D20,"PASS","REVIEW")</ns0:f>
        <ns0:v>PASS</ns0:v>
      </ns0:c>
      <ns0:c r="G20" s="95" t="n"/>
      <ns0:c r="H20" s="96" t="str">
        <ns0:f>IF(ISNUMBER(G20),MAX(0,C20-G20),"")</ns0:f>
      </ns0:c>
      <ns0:c r="I20" s="42" t="n">
        <ns0:f>Settings!$B$10</ns0:f>
        <ns0:v>12</ns0:v>
      </ns0:c>
      <ns0:c r="J20" s="96" t="n">
        <ns0:f>DAY(EOMONTH(A20,0))</ns0:f>
        <ns0:v>30</ns0:v>
      </ns0:c>
      <ns0:c r="K20" s="90" t="str">
        <ns0:f>IF(AND(ISNUMBER(G20),G20&gt;=0),H20*I20*J20/Settings!$B$8,"")</ns0:f>
      </ns0:c>
      <ns0:c r="L20" s="24" t="inlineStr">
        <ns0:is>
          <ns0:t>UPME + OEF XM</ns0:t>
        </ns0:is>
      </ns0:c>
      <ns0:c r="M20" s="24" t="inlineStr">
        <ns0:is>
          <ns0:t>User screenshot: exact visible table; https://www.bmcbec.com.co/</ns0:t>
        </ns0:is>
      </ns0:c>
    </ns0:row>
    <ns0:row r="23" ht="40" customHeight="1">
      <ns0:c r="A23" s="8" t="inlineStr">
        <ns0:is>
          <ns0:t>Residual import need = max(0, demand - usable domestic supply). It is uncapped demand for imported gas, not contracted cargoes. Total supply in column B already includes import-related components; never enter B into G.</ns0:t>
        </ns0:is>
      </ns0:c>
    </ns0:row>
    <ns0:row r="25" ht="40" customHeight="1">
      <ns0:c r="A25" s="8" t="inlineStr">
        <ns0:is>
          <ns0:t>Only the 14 displayed rows were transcribed. No 2028 values or terminal-specific volumes were guessed from the stacked bars. Scenario prices and actual customs costs remain separate.</ns0:t>
        </ns0:is>
      </ns0:c>
    </ns0:row>
  </ns0:sheetData>
  <ns0:mergeCells count="4">
    <ns0:mergeCell ref="A25:M25"/>
    <ns0:mergeCell ref="A2:M3"/>
    <ns0:mergeCell ref="A1:M1"/>
    <ns0:mergeCell ref="A23:M23"/>
  </ns0:mergeCells>
  <ns0:conditionalFormatting sqref="D7:E20">
    <ns0:cfRule type="cellIs" priority="1" operator="lessThan" dxfId="0">
      <ns0:formula>0</ns0:formula>
    </ns0:cfRule>
  </ns0:conditionalFormatting>
  <ns0:dataValidations count="1">
    <ns0:dataValidation sqref="G7:G20" showDropDown="0" showInputMessage="0" showErrorMessage="1" allowBlank="1" error="Enter non-negative usable domestic supply only, excluding imports." type="decimal" operator="greaterThanOrEqual">
      <ns0:formula1>0</ns0:formula1>
    </ns0:dataValidation>
  </ns0:dataValidations>
  <ns0:printOptions horizontalCentered="1"/>
  <ns0:pageMargins left="0.75" right="0.75" top="1" bottom="1" header="0.5" footer="0.5"/>
  <ns0:pageSetup orientation="landscape" paperSize="8" fitToHeight="0" fitToWidth="1"/>
  <ns0:headerFooter>
    <ns0:oddHeader/>
    <ns0:oddFooter>&amp;CColombia natural gas | Sources and limitations inside workbook&amp;RPage &amp;P</ns0:oddFooter>
    <ns0:evenHeader/>
    <ns0:evenFooter/>
    <ns0:firstHeader/>
    <ns0:firstFooter/>
  </ns0:headerFooter>
  <ns0:legacyDrawing ns1:id="anysvml"/>
  <ns0:tableParts count="1">
    <ns0:tablePart ns1:id="rId1"/>
  </ns0:tableParts>
</ns0:worksheet>
</file>

<file path=xl/worksheets/sheet14.xml><?xml version="1.0" encoding="utf-8"?>
<ns0:worksheet xmlns:ns0="http://schemas.openxmlformats.org/spreadsheetml/2006/main" xmlns:ns1="http://schemas.openxmlformats.org/officeDocument/2006/relationships">
  <ns0:sheetPr>
    <ns0:outlinePr summaryBelow="1" summaryRight="0"/>
    <ns0:pageSetUpPr fitToPage="1"/>
  </ns0:sheetPr>
  <ns0:dimension ref="A1:H11"/>
  <ns0:sheetViews>
    <ns0:sheetView showGridLines="0" workbookViewId="0">
      <ns0:pane xSplit="2" ySplit="6" topLeftCell="C7" activePane="bottomRight" state="frozen"/>
      <ns0:selection pane="topRight" activeCell="A1" sqref="A1"/>
      <ns0:selection pane="bottomLeft" activeCell="A1" sqref="A1"/>
      <ns0:selection pane="bottomRight" activeCell="A1" sqref="A1"/>
    </ns0:sheetView>
  </ns0:sheetViews>
  <ns0:sheetFormatPr baseColWidth="8" defaultRowHeight="15"/>
  <ns0:cols>
    <ns0:col width="17" customWidth="1" min="1" max="1"/>
    <ns0:col width="27" customWidth="1" min="2" max="2"/>
    <ns0:col width="26" customWidth="1" min="3" max="3"/>
    <ns0:col width="26" customWidth="1" min="4" max="4"/>
    <ns0:col width="25" customWidth="1" min="5" max="5"/>
    <ns0:col width="59" customWidth="1" min="6" max="6"/>
    <ns0:col width="75" customWidth="1" min="7" max="7"/>
    <ns0:col width="15" customWidth="1" min="8" max="8"/>
  </ns0:cols>
  <ns0:sheetData>
    <ns0:row r="1" ht="42" customHeight="1">
      <ns0:c r="A1" s="1" t="inlineStr">
        <ns0:is>
          <ns0:t>SELECTED MONTHLY | NOT NATIONAL TOTALS</ns0:t>
        </ns0:is>
      </ns0:c>
    </ns0:row>
    <ns0:row r="2" ht="26" customHeight="1">
      <ns0:c r="A2" s="3" t="inlineStr">
        <ns0:is>
          <ns0:t>Only two LNG observations for Trinidad and Tobago from DANE August 2026 bulletin, p. 9. These are provisional, rounded and partner-specific; they are NOT a complete monthly series.</ns0:t>
        </ns0:is>
      </ns0:c>
    </ns0:row>
    <ns0:row r="3" ht="16" customHeight="1"/>
    <ns0:row r="6" ht="42" customHeight="1">
      <ns0:c r="A6" s="12" t="inlineStr">
        <ns0:is>
          <ns0:t>Month</ns0:t>
        </ns0:is>
      </ns0:c>
      <ns0:c r="B6" s="12" t="inlineStr">
        <ns0:is>
          <ns0:t>Origin partner</ns0:t>
        </ns0:is>
      </ns0:c>
      <ns0:c r="C6" s="12" t="inlineStr">
        <ns0:is>
          <ns0:t>Product label</ns0:t>
        </ns0:is>
      </ns0:c>
      <ns0:c r="D6" s="12" t="inlineStr">
        <ns0:is>
          <ns0:t>CIF value (US$ million)</ns0:t>
        </ns0:is>
      </ns0:c>
      <ns0:c r="E6" s="12" t="inlineStr">
        <ns0:is>
          <ns0:t>CIF value (US$)</ns0:t>
        </ns0:is>
      </ns0:c>
      <ns0:c r="F6" s="12" t="inlineStr">
        <ns0:is>
          <ns0:t>Coverage</ns0:t>
        </ns0:is>
      </ns0:c>
      <ns0:c r="G6" s="12" t="inlineStr">
        <ns0:is>
          <ns0:t>Source URL</ns0:t>
        </ns0:is>
      </ns0:c>
      <ns0:c r="H6" s="12" t="inlineStr">
        <ns0:is>
          <ns0:t>Source page</ns0:t>
        </ns0:is>
      </ns0:c>
    </ns0:row>
    <ns0:row r="7" ht="45" customHeight="1">
      <ns0:c r="A7" s="34" t="n">
        <ns0:v>45870</ns0:v>
      </ns0:c>
      <ns0:c r="B7" s="18" t="inlineStr">
        <ns0:is>
          <ns0:t>Trinidad and Tobago</ns0:t>
        </ns0:is>
      </ns0:c>
      <ns0:c r="C7" s="18" t="inlineStr">
        <ns0:is>
          <ns0:t>Gas natural licuado</ns0:t>
        </ns0:is>
      </ns0:c>
      <ns0:c r="D7" s="43" t="n">
        <ns0:v>21.4</ns0:v>
      </ns0:c>
      <ns0:c r="E7" s="65" t="n">
        <ns0:f>D7*Settings!$B$8</ns0:f>
        <ns0:v>21400000</ns0:v>
      </ns0:c>
      <ns0:c r="F7" s="18" t="inlineStr">
        <ns0:is>
          <ns0:t>One partner only - not national total</ns0:t>
        </ns0:is>
      </ns0:c>
      <ns0:c r="G7" s="18" t="inlineStr">
        <ns0:is>
          <ns0:t>https://www.dane.gov.co/files/operaciones/IMP/bol-IMP-ago2026.pdf</ns0:t>
        </ns0:is>
      </ns0:c>
      <ns0:c r="H7" s="13" t="n">
        <ns0:v>9</ns0:v>
      </ns0:c>
    </ns0:row>
    <ns0:row r="8" ht="45" customHeight="1">
      <ns0:c r="A8" s="39" t="n">
        <ns0:v>46235</ns0:v>
      </ns0:c>
      <ns0:c r="B8" s="24" t="inlineStr">
        <ns0:is>
          <ns0:t>Trinidad and Tobago</ns0:t>
        </ns0:is>
      </ns0:c>
      <ns0:c r="C8" s="24" t="inlineStr">
        <ns0:is>
          <ns0:t>Gas natural licuado</ns0:t>
        </ns0:is>
      </ns0:c>
      <ns0:c r="D8" s="44" t="n">
        <ns0:v>195.8</ns0:v>
      </ns0:c>
      <ns0:c r="E8" s="90" t="n">
        <ns0:f>D8*Settings!$B$8</ns0:f>
        <ns0:v>195800000</ns0:v>
      </ns0:c>
      <ns0:c r="F8" s="24" t="inlineStr">
        <ns0:is>
          <ns0:t>One partner only - not national total</ns0:t>
        </ns0:is>
      </ns0:c>
      <ns0:c r="G8" s="24" t="inlineStr">
        <ns0:is>
          <ns0:t>https://www.dane.gov.co/files/operaciones/IMP/bol-IMP-ago2026.pdf</ns0:t>
        </ns0:is>
      </ns0:c>
      <ns0:c r="H8" s="19" t="n">
        <ns0:v>9</ns0:v>
      </ns0:c>
    </ns0:row>
    <ns0:row r="11" ht="40" customHeight="1">
      <ns0:c r="A11" s="8" t="inlineStr">
        <ns0:is>
          <ns0:t>Do not combine these two partner observations with national totals as though they were the same series. This sheet does not establish the 2026 national LNG import bill.</ns0:t>
        </ns0:is>
      </ns0:c>
    </ns0:row>
  </ns0:sheetData>
  <ns0:mergeCells count="3">
    <ns0:mergeCell ref="A2:H3"/>
    <ns0:mergeCell ref="A11:H11"/>
    <ns0:mergeCell ref="A1:H1"/>
  </ns0:mergeCells>
  <ns0:printOptions horizontalCentered="1"/>
  <ns0:pageMargins left="0.75" right="0.75" top="1" bottom="1" header="0.5" footer="0.5"/>
  <ns0:pageSetup orientation="landscape" paperSize="8" fitToHeight="0" fitToWidth="1"/>
  <ns0:headerFooter>
    <ns0:oddHeader/>
    <ns0:oddFooter>&amp;CColombia natural gas | Sources and limitations inside workbook&amp;RPage &amp;P</ns0:oddFooter>
    <ns0:evenHeader/>
    <ns0:evenFooter/>
    <ns0:firstHeader/>
    <ns0:firstFooter/>
  </ns0:headerFooter>
  <ns0:legacyDrawing ns1:id="anysvml"/>
  <ns0:tableParts count="1">
    <ns0:tablePart ns1:id="rId1"/>
  </ns0:tableParts>
</ns0:worksheet>
</file>

<file path=xl/worksheets/sheet15.xml><?xml version="1.0" encoding="utf-8"?>
<ns0:worksheet xmlns:ns0="http://schemas.openxmlformats.org/spreadsheetml/2006/main">
  <ns0:sheetPr>
    <ns0:outlinePr summaryBelow="1" summaryRight="0"/>
    <ns0:pageSetUpPr fitToPage="1"/>
  </ns0:sheetPr>
  <ns0:dimension ref="A1:K9"/>
  <ns0:sheetViews>
    <ns0:sheetView showGridLines="0" workbookViewId="0">
      <ns0:pane xSplit="2" ySplit="6" topLeftCell="C7" activePane="bottomRight" state="frozen"/>
      <ns0:selection pane="topRight" activeCell="A1" sqref="A1"/>
      <ns0:selection pane="bottomLeft" activeCell="A1" sqref="A1"/>
      <ns0:selection pane="bottomRight" activeCell="A1" sqref="A1"/>
    </ns0:sheetView>
  </ns0:sheetViews>
  <ns0:sheetFormatPr baseColWidth="8" defaultRowHeight="15"/>
  <ns0:cols>
    <ns0:col width="16" customWidth="1" min="1" max="1"/>
    <ns0:col width="13" customWidth="1" min="2" max="2"/>
    <ns0:col width="17" customWidth="1" min="3" max="3"/>
    <ns0:col width="17" customWidth="1" min="4" max="4"/>
    <ns0:col width="22" customWidth="1" min="5" max="5"/>
    <ns0:col width="28" customWidth="1" min="6" max="6"/>
    <ns0:col width="23" customWidth="1" min="7" max="7"/>
    <ns0:col width="23" customWidth="1" min="8" max="8"/>
    <ns0:col width="22" customWidth="1" min="9" max="9"/>
    <ns0:col width="50" customWidth="1" min="10" max="10"/>
    <ns0:col width="70" customWidth="1" min="11" max="11"/>
  </ns0:cols>
  <ns0:sheetData>
    <ns0:row r="1" ht="42" customHeight="1">
      <ns0:c r="A1" s="1" t="inlineStr">
        <ns0:is>
          <ns0:t>MONTHLY CUSTOMS MICRODATA | NOT LOADED</ns0:t>
        </ns0:is>
      </ns0:c>
    </ns0:row>
    <ns0:row r="2" ht="26" customHeight="1">
      <ns0:c r="A2" s="3" t="inlineStr">
        <ns0:is>
          <ns0:t>Bulk national customs schema remains empty. The new Monthly long / DIAN raw tabs contain 20 screenshot observations, quarantined from this table because HS and flow filters are not visible.</ns0:t>
        </ns0:is>
      </ns0:c>
    </ns0:row>
    <ns0:row r="3" ht="16" customHeight="1"/>
    <ns0:row r="6" ht="42" customHeight="1">
      <ns0:c r="A6" s="12" t="inlineStr">
        <ns0:is>
          <ns0:t>Month</ns0:t>
        </ns0:is>
      </ns0:c>
      <ns0:c r="B6" s="12" t="inlineStr">
        <ns0:is>
          <ns0:t>HS6</ns0:t>
        </ns0:is>
      </ns0:c>
      <ns0:c r="C6" s="12" t="inlineStr">
        <ns0:is>
          <ns0:t>HS10</ns0:t>
        </ns0:is>
      </ns0:c>
      <ns0:c r="D6" s="12" t="inlineStr">
        <ns0:is>
          <ns0:t>Origin code</ns0:t>
        </ns0:is>
      </ns0:c>
      <ns0:c r="E6" s="12" t="inlineStr">
        <ns0:is>
          <ns0:t>Country-code scheme</ns0:t>
        </ns0:is>
      </ns0:c>
      <ns0:c r="F6" s="12" t="inlineStr">
        <ns0:is>
          <ns0:t>Origin name</ns0:t>
        </ns0:is>
      </ns0:c>
      <ns0:c r="G6" s="12" t="inlineStr">
        <ns0:is>
          <ns0:t>FOB (US$)</ns0:t>
        </ns0:is>
      </ns0:c>
      <ns0:c r="H6" s="12" t="inlineStr">
        <ns0:is>
          <ns0:t>CIF (US$)</ns0:t>
        </ns0:is>
      </ns0:c>
      <ns0:c r="I6" s="12" t="inlineStr">
        <ns0:is>
          <ns0:t>Net weight (kg)</ns0:t>
        </ns0:is>
      </ns0:c>
      <ns0:c r="J6" s="12" t="inlineStr">
        <ns0:is>
          <ns0:t>Source file</ns0:t>
        </ns0:is>
      </ns0:c>
      <ns0:c r="K6" s="12" t="inlineStr">
        <ns0:is>
          <ns0:t>Source URL</ns0:t>
        </ns0:is>
      </ns0:c>
    </ns0:row>
    <ns0:row r="9" ht="40" customHeight="1">
      <ns0:c r="A9" s="8" t="inlineStr">
        <ns0:is>
          <ns0:t>ZERO NATIONAL MONTHLY ROWS LOADED. Missing observations have not been fabricated or spread evenly across months.</ns0:t>
        </ns0:is>
      </ns0:c>
    </ns0:row>
  </ns0:sheetData>
  <ns0:mergeCells count="3">
    <ns0:mergeCell ref="A1:K1"/>
    <ns0:mergeCell ref="A2:K3"/>
    <ns0:mergeCell ref="A9:K9"/>
  </ns0:mergeCells>
  <ns0:printOptions horizontalCentered="1"/>
  <ns0:pageMargins left="0.75" right="0.75" top="1" bottom="1" header="0.5" footer="0.5"/>
  <ns0:pageSetup orientation="landscape" paperSize="8" fitToHeight="0" fitToWidth="1"/>
  <ns0:headerFooter>
    <ns0:oddHeader/>
    <ns0:oddFooter>&amp;CColombia natural gas | Sources and limitations inside workbook&amp;RPage &amp;P</ns0:oddFooter>
    <ns0:evenHeader/>
    <ns0:evenFooter/>
    <ns0:firstHeader/>
    <ns0:firstFooter/>
  </ns0:headerFooter>
</ns0:worksheet>
</file>

<file path=xl/worksheets/sheet16.xml><?xml version="1.0" encoding="utf-8"?>
<ns0:worksheet xmlns:ns0="http://schemas.openxmlformats.org/spreadsheetml/2006/main" xmlns:ns1="http://schemas.openxmlformats.org/officeDocument/2006/relationships">
  <ns0:sheetPr>
    <ns0:outlinePr summaryBelow="1" summaryRight="0"/>
    <ns0:pageSetUpPr fitToPage="1"/>
  </ns0:sheetPr>
  <ns0:dimension ref="A1:I23"/>
  <ns0:sheetViews>
    <ns0:sheetView showGridLines="0" workbookViewId="0">
      <ns0:pane xSplit="2" ySplit="6" topLeftCell="C7" activePane="bottomRight" state="frozen"/>
      <ns0:selection pane="topRight" activeCell="A1" sqref="A1"/>
      <ns0:selection pane="bottomLeft" activeCell="A1" sqref="A1"/>
      <ns0:selection pane="bottomRight" activeCell="A1" sqref="A1"/>
    </ns0:sheetView>
  </ns0:sheetViews>
  <ns0:sheetFormatPr baseColWidth="8" defaultRowHeight="15"/>
  <ns0:cols>
    <ns0:col width="10" customWidth="1" min="1" max="1"/>
    <ns0:col width="13" customWidth="1" min="2" max="2"/>
    <ns0:col width="26" customWidth="1" min="3" max="3"/>
    <ns0:col width="28" customWidth="1" min="4" max="4"/>
    <ns0:col width="24" customWidth="1" min="5" max="5"/>
    <ns0:col width="23" customWidth="1" min="6" max="6"/>
    <ns0:col width="20" customWidth="1" min="7" max="7"/>
    <ns0:col width="26" customWidth="1" min="8" max="8"/>
    <ns0:col width="75" customWidth="1" min="9" max="9"/>
  </ns0:cols>
  <ns0:sheetData>
    <ns0:row r="1" ht="42" customHeight="1">
      <ns0:c r="A1" s="1" t="inlineStr">
        <ns0:is>
          <ns0:t>VALIDATION | RECONCILIATION</ns0:t>
        </ns0:is>
      </ns0:c>
    </ns0:row>
    <ns0:row r="2" ht="26" customHeight="1">
      <ns0:c r="A2" s="3" t="inlineStr">
        <ns0:is>
          <ns0:t>Dollar checks compare WITS world totals against their partner rows. Small differences arise because WITS values are rounded to US$10. Missing quantities are not imputed.</ns0:t>
        </ns0:is>
      </ns0:c>
    </ns0:row>
    <ns0:row r="3" ht="16" customHeight="1"/>
    <ns0:row r="6" ht="42" customHeight="1">
      <ns0:c r="A6" s="12" t="inlineStr">
        <ns0:is>
          <ns0:t>Year</ns0:t>
        </ns0:is>
      </ns0:c>
      <ns0:c r="B6" s="12" t="inlineStr">
        <ns0:is>
          <ns0:t>HS6</ns0:t>
        </ns0:is>
      </ns0:c>
      <ns0:c r="C6" s="12" t="inlineStr">
        <ns0:is>
          <ns0:t>World CIF (US$)</ns0:t>
        </ns0:is>
      </ns0:c>
      <ns0:c r="D6" s="12" t="inlineStr">
        <ns0:is>
          <ns0:t>Sum of partners (US$)</ns0:t>
        </ns0:is>
      </ns0:c>
      <ns0:c r="E6" s="12" t="inlineStr">
        <ns0:is>
          <ns0:t>Residual (US$)</ns0:t>
        </ns0:is>
      </ns0:c>
      <ns0:c r="F6" s="12" t="inlineStr">
        <ns0:is>
          <ns0:t>Tolerance (US$)</ns0:t>
        </ns0:is>
      </ns0:c>
      <ns0:c r="G6" s="12" t="inlineStr">
        <ns0:is>
          <ns0:t>Check</ns0:t>
        </ns0:is>
      </ns0:c>
      <ns0:c r="H6" s="12" t="inlineStr">
        <ns0:is>
          <ns0:t>Quantity missing?</ns0:t>
        </ns0:is>
      </ns0:c>
      <ns0:c r="I6" s="12" t="inlineStr">
        <ns0:is>
          <ns0:t>Source URL</ns0:t>
        </ns0:is>
      </ns0:c>
    </ns0:row>
    <ns0:row r="7" ht="36" customHeight="1">
      <ns0:c r="A7" s="13" t="n">
        <ns0:v>2017</ns0:v>
      </ns0:c>
      <ns0:c r="B7" s="18" t="inlineStr">
        <ns0:is>
          <ns0:t>271111</ns0:t>
        </ns0:is>
      </ns0:c>
      <ns0:c r="C7" s="28" t="n">
        <ns0:f>'Annual raw'!F7</ns0:f>
        <ns0:v>11925930</ns0:v>
      </ns0:c>
      <ns0:c r="D7" s="28" t="n">
        <ns0:f>SUMIFS(Partners!$F$7:$F$43,Partners!$A$7:$A$43,A7,Partners!$B$7:$B$43,B7)</ns0:f>
        <ns0:v>11925930</ns0:v>
      </ns0:c>
      <ns0:c r="E7" s="28" t="n">
        <ns0:f>C7-D7</ns0:f>
        <ns0:v>0</ns0:v>
      </ns0:c>
      <ns0:c r="F7" s="28" t="n">
        <ns0:f>Settings!$B$11</ns0:f>
        <ns0:v>50</ns0:v>
      </ns0:c>
      <ns0:c r="G7" s="28" t="str">
        <ns0:f>IF(ABS(E7)&lt;=F7,"PASS","REVIEW")</ns0:f>
        <ns0:v>PASS</ns0:v>
      </ns0:c>
      <ns0:c r="H7" s="18" t="inlineStr">
        <ns0:is>
          <ns0:t>NO</ns0:t>
        </ns0:is>
      </ns0:c>
      <ns0:c r="I7" s="18" t="inlineStr">
        <ns0:is>
          <ns0:t>https://wits.worldbank.org/trade/comtrade/en/country/COL/year/2017/tradeflow/Imports/partner/ALL/product/271111</ns0:t>
        </ns0:is>
      </ns0:c>
    </ns0:row>
    <ns0:row r="8" ht="36" customHeight="1">
      <ns0:c r="A8" s="19" t="n">
        <ns0:v>2018</ns0:v>
      </ns0:c>
      <ns0:c r="B8" s="24" t="inlineStr">
        <ns0:is>
          <ns0:t>271111</ns0:t>
        </ns0:is>
      </ns0:c>
      <ns0:c r="C8" s="30" t="n">
        <ns0:f>'Annual raw'!F8</ns0:f>
        <ns0:v>123747360</ns0:v>
      </ns0:c>
      <ns0:c r="D8" s="30" t="n">
        <ns0:f>SUMIFS(Partners!$F$7:$F$43,Partners!$A$7:$A$43,A8,Partners!$B$7:$B$43,B8)</ns0:f>
        <ns0:v>123747370</ns0:v>
      </ns0:c>
      <ns0:c r="E8" s="30" t="n">
        <ns0:f>C8-D8</ns0:f>
        <ns0:v>-10</ns0:v>
      </ns0:c>
      <ns0:c r="F8" s="30" t="n">
        <ns0:f>Settings!$B$11</ns0:f>
        <ns0:v>50</ns0:v>
      </ns0:c>
      <ns0:c r="G8" s="30" t="str">
        <ns0:f>IF(ABS(E8)&lt;=F8,"PASS","REVIEW")</ns0:f>
        <ns0:v>PASS</ns0:v>
      </ns0:c>
      <ns0:c r="H8" s="24" t="inlineStr">
        <ns0:is>
          <ns0:t>NO</ns0:t>
        </ns0:is>
      </ns0:c>
      <ns0:c r="I8" s="24" t="inlineStr">
        <ns0:is>
          <ns0:t>https://wits.worldbank.org/trade/comtrade/en/country/COL/year/2018/tradeflow/Imports/partner/ALL/product/271111</ns0:t>
        </ns0:is>
      </ns0:c>
    </ns0:row>
    <ns0:row r="9" ht="36" customHeight="1">
      <ns0:c r="A9" s="13" t="n">
        <ns0:v>2019</ns0:v>
      </ns0:c>
      <ns0:c r="B9" s="18" t="inlineStr">
        <ns0:is>
          <ns0:t>271111</ns0:t>
        </ns0:is>
      </ns0:c>
      <ns0:c r="C9" s="28" t="n">
        <ns0:f>'Annual raw'!F9</ns0:f>
        <ns0:v>57044060</ns0:v>
      </ns0:c>
      <ns0:c r="D9" s="28" t="n">
        <ns0:f>SUMIFS(Partners!$F$7:$F$43,Partners!$A$7:$A$43,A9,Partners!$B$7:$B$43,B9)</ns0:f>
        <ns0:v>57044050</ns0:v>
      </ns0:c>
      <ns0:c r="E9" s="28" t="n">
        <ns0:f>C9-D9</ns0:f>
        <ns0:v>10</ns0:v>
      </ns0:c>
      <ns0:c r="F9" s="28" t="n">
        <ns0:f>Settings!$B$11</ns0:f>
        <ns0:v>50</ns0:v>
      </ns0:c>
      <ns0:c r="G9" s="28" t="str">
        <ns0:f>IF(ABS(E9)&lt;=F9,"PASS","REVIEW")</ns0:f>
        <ns0:v>PASS</ns0:v>
      </ns0:c>
      <ns0:c r="H9" s="18" t="inlineStr">
        <ns0:is>
          <ns0:t>YES</ns0:t>
        </ns0:is>
      </ns0:c>
      <ns0:c r="I9" s="18" t="inlineStr">
        <ns0:is>
          <ns0:t>https://wits.worldbank.org/trade/comtrade/en/country/COL/year/2019/tradeflow/Imports/partner/ALL/product/271111</ns0:t>
        </ns0:is>
      </ns0:c>
    </ns0:row>
    <ns0:row r="10" ht="36" customHeight="1">
      <ns0:c r="A10" s="19" t="n">
        <ns0:v>2020</ns0:v>
      </ns0:c>
      <ns0:c r="B10" s="24" t="inlineStr">
        <ns0:is>
          <ns0:t>271111</ns0:t>
        </ns0:is>
      </ns0:c>
      <ns0:c r="C10" s="30" t="n">
        <ns0:f>'Annual raw'!F10</ns0:f>
        <ns0:v>59910330</ns0:v>
      </ns0:c>
      <ns0:c r="D10" s="30" t="n">
        <ns0:f>SUMIFS(Partners!$F$7:$F$43,Partners!$A$7:$A$43,A10,Partners!$B$7:$B$43,B10)</ns0:f>
        <ns0:v>59910320</ns0:v>
      </ns0:c>
      <ns0:c r="E10" s="30" t="n">
        <ns0:f>C10-D10</ns0:f>
        <ns0:v>10</ns0:v>
      </ns0:c>
      <ns0:c r="F10" s="30" t="n">
        <ns0:f>Settings!$B$11</ns0:f>
        <ns0:v>50</ns0:v>
      </ns0:c>
      <ns0:c r="G10" s="30" t="str">
        <ns0:f>IF(ABS(E10)&lt;=F10,"PASS","REVIEW")</ns0:f>
        <ns0:v>PASS</ns0:v>
      </ns0:c>
      <ns0:c r="H10" s="24" t="inlineStr">
        <ns0:is>
          <ns0:t>NO</ns0:t>
        </ns0:is>
      </ns0:c>
      <ns0:c r="I10" s="24" t="inlineStr">
        <ns0:is>
          <ns0:t>https://wits.worldbank.org/trade/comtrade/en/country/COL/year/2020/tradeflow/Imports/partner/ALL/product/271111</ns0:t>
        </ns0:is>
      </ns0:c>
    </ns0:row>
    <ns0:row r="11" ht="36" customHeight="1">
      <ns0:c r="A11" s="13" t="n">
        <ns0:v>2021</ns0:v>
      </ns0:c>
      <ns0:c r="B11" s="18" t="inlineStr">
        <ns0:is>
          <ns0:t>271111</ns0:t>
        </ns0:is>
      </ns0:c>
      <ns0:c r="C11" s="28" t="n">
        <ns0:f>'Annual raw'!F11</ns0:f>
        <ns0:v>27941490</ns0:v>
      </ns0:c>
      <ns0:c r="D11" s="28" t="n">
        <ns0:f>SUMIFS(Partners!$F$7:$F$43,Partners!$A$7:$A$43,A11,Partners!$B$7:$B$43,B11)</ns0:f>
        <ns0:v>27941490</ns0:v>
      </ns0:c>
      <ns0:c r="E11" s="28" t="n">
        <ns0:f>C11-D11</ns0:f>
        <ns0:v>0</ns0:v>
      </ns0:c>
      <ns0:c r="F11" s="28" t="n">
        <ns0:f>Settings!$B$11</ns0:f>
        <ns0:v>50</ns0:v>
      </ns0:c>
      <ns0:c r="G11" s="28" t="str">
        <ns0:f>IF(ABS(E11)&lt;=F11,"PASS","REVIEW")</ns0:f>
        <ns0:v>PASS</ns0:v>
      </ns0:c>
      <ns0:c r="H11" s="18" t="inlineStr">
        <ns0:is>
          <ns0:t>NO</ns0:t>
        </ns0:is>
      </ns0:c>
      <ns0:c r="I11" s="18" t="inlineStr">
        <ns0:is>
          <ns0:t>https://wits.worldbank.org/trade/comtrade/en/country/COL/year/2021/tradeflow/Imports/partner/ALL/product/271111</ns0:t>
        </ns0:is>
      </ns0:c>
    </ns0:row>
    <ns0:row r="12" ht="36" customHeight="1">
      <ns0:c r="A12" s="19" t="n">
        <ns0:v>2021</ns0:v>
      </ns0:c>
      <ns0:c r="B12" s="24" t="inlineStr">
        <ns0:is>
          <ns0:t>271121</ns0:t>
        </ns0:is>
      </ns0:c>
      <ns0:c r="C12" s="30" t="n">
        <ns0:f>'Annual raw'!F12</ns0:f>
        <ns0:v>43160</ns0:v>
      </ns0:c>
      <ns0:c r="D12" s="30" t="n">
        <ns0:f>SUMIFS(Partners!$F$7:$F$43,Partners!$A$7:$A$43,A12,Partners!$B$7:$B$43,B12)</ns0:f>
        <ns0:v>43150</ns0:v>
      </ns0:c>
      <ns0:c r="E12" s="30" t="n">
        <ns0:f>C12-D12</ns0:f>
        <ns0:v>10</ns0:v>
      </ns0:c>
      <ns0:c r="F12" s="30" t="n">
        <ns0:f>Settings!$B$11</ns0:f>
        <ns0:v>50</ns0:v>
      </ns0:c>
      <ns0:c r="G12" s="30" t="str">
        <ns0:f>IF(ABS(E12)&lt;=F12,"PASS","REVIEW")</ns0:f>
        <ns0:v>PASS</ns0:v>
      </ns0:c>
      <ns0:c r="H12" s="24" t="inlineStr">
        <ns0:is>
          <ns0:t>NO</ns0:t>
        </ns0:is>
      </ns0:c>
      <ns0:c r="I12" s="24" t="inlineStr">
        <ns0:is>
          <ns0:t>https://wits.worldbank.org/trade/comtrade/en/country/COL/year/2021/tradeflow/Imports/partner/ALL/product/271121</ns0:t>
        </ns0:is>
      </ns0:c>
    </ns0:row>
    <ns0:row r="13" ht="36" customHeight="1">
      <ns0:c r="A13" s="13" t="n">
        <ns0:v>2022</ns0:v>
      </ns0:c>
      <ns0:c r="B13" s="18" t="inlineStr">
        <ns0:is>
          <ns0:t>271111</ns0:t>
        </ns0:is>
      </ns0:c>
      <ns0:c r="C13" s="28" t="n">
        <ns0:f>'Annual raw'!F13</ns0:f>
        <ns0:v>87550640</ns0:v>
      </ns0:c>
      <ns0:c r="D13" s="28" t="n">
        <ns0:f>SUMIFS(Partners!$F$7:$F$43,Partners!$A$7:$A$43,A13,Partners!$B$7:$B$43,B13)</ns0:f>
        <ns0:v>87550640</ns0:v>
      </ns0:c>
      <ns0:c r="E13" s="28" t="n">
        <ns0:f>C13-D13</ns0:f>
        <ns0:v>0</ns0:v>
      </ns0:c>
      <ns0:c r="F13" s="28" t="n">
        <ns0:f>Settings!$B$11</ns0:f>
        <ns0:v>50</ns0:v>
      </ns0:c>
      <ns0:c r="G13" s="28" t="str">
        <ns0:f>IF(ABS(E13)&lt;=F13,"PASS","REVIEW")</ns0:f>
        <ns0:v>PASS</ns0:v>
      </ns0:c>
      <ns0:c r="H13" s="18" t="inlineStr">
        <ns0:is>
          <ns0:t>NO</ns0:t>
        </ns0:is>
      </ns0:c>
      <ns0:c r="I13" s="18" t="inlineStr">
        <ns0:is>
          <ns0:t>https://wits.worldbank.org/trade/comtrade/en/country/COL/year/2022/tradeflow/Imports/partner/ALL/product/271111</ns0:t>
        </ns0:is>
      </ns0:c>
    </ns0:row>
    <ns0:row r="14" ht="36" customHeight="1">
      <ns0:c r="A14" s="19" t="n">
        <ns0:v>2022</ns0:v>
      </ns0:c>
      <ns0:c r="B14" s="24" t="inlineStr">
        <ns0:is>
          <ns0:t>271121</ns0:t>
        </ns0:is>
      </ns0:c>
      <ns0:c r="C14" s="30" t="n">
        <ns0:f>'Annual raw'!F14</ns0:f>
        <ns0:v>84120</ns0:v>
      </ns0:c>
      <ns0:c r="D14" s="30" t="n">
        <ns0:f>SUMIFS(Partners!$F$7:$F$43,Partners!$A$7:$A$43,A14,Partners!$B$7:$B$43,B14)</ns0:f>
        <ns0:v>84120</ns0:v>
      </ns0:c>
      <ns0:c r="E14" s="30" t="n">
        <ns0:f>C14-D14</ns0:f>
        <ns0:v>0</ns0:v>
      </ns0:c>
      <ns0:c r="F14" s="30" t="n">
        <ns0:f>Settings!$B$11</ns0:f>
        <ns0:v>50</ns0:v>
      </ns0:c>
      <ns0:c r="G14" s="30" t="str">
        <ns0:f>IF(ABS(E14)&lt;=F14,"PASS","REVIEW")</ns0:f>
        <ns0:v>PASS</ns0:v>
      </ns0:c>
      <ns0:c r="H14" s="24" t="inlineStr">
        <ns0:is>
          <ns0:t>NO</ns0:t>
        </ns0:is>
      </ns0:c>
      <ns0:c r="I14" s="24" t="inlineStr">
        <ns0:is>
          <ns0:t>https://wits.worldbank.org/trade/comtrade/en/country/COL/year/2022/tradeflow/Imports/partner/ALL/product/271121</ns0:t>
        </ns0:is>
      </ns0:c>
    </ns0:row>
    <ns0:row r="15" ht="36" customHeight="1">
      <ns0:c r="A15" s="13" t="n">
        <ns0:v>2023</ns0:v>
      </ns0:c>
      <ns0:c r="B15" s="18" t="inlineStr">
        <ns0:is>
          <ns0:t>271111</ns0:t>
        </ns0:is>
      </ns0:c>
      <ns0:c r="C15" s="28" t="n">
        <ns0:f>'Annual raw'!F15</ns0:f>
        <ns0:v>441455970</ns0:v>
      </ns0:c>
      <ns0:c r="D15" s="28" t="n">
        <ns0:f>SUMIFS(Partners!$F$7:$F$43,Partners!$A$7:$A$43,A15,Partners!$B$7:$B$43,B15)</ns0:f>
        <ns0:v>441455970</ns0:v>
      </ns0:c>
      <ns0:c r="E15" s="28" t="n">
        <ns0:f>C15-D15</ns0:f>
        <ns0:v>0</ns0:v>
      </ns0:c>
      <ns0:c r="F15" s="28" t="n">
        <ns0:f>Settings!$B$11</ns0:f>
        <ns0:v>50</ns0:v>
      </ns0:c>
      <ns0:c r="G15" s="28" t="str">
        <ns0:f>IF(ABS(E15)&lt;=F15,"PASS","REVIEW")</ns0:f>
        <ns0:v>PASS</ns0:v>
      </ns0:c>
      <ns0:c r="H15" s="18" t="inlineStr">
        <ns0:is>
          <ns0:t>YES</ns0:t>
        </ns0:is>
      </ns0:c>
      <ns0:c r="I15" s="18" t="inlineStr">
        <ns0:is>
          <ns0:t>https://wits.worldbank.org/trade/comtrade/en/country/COL/year/2023/tradeflow/Imports/partner/ALL/product/271111</ns0:t>
        </ns0:is>
      </ns0:c>
    </ns0:row>
    <ns0:row r="16" ht="36" customHeight="1">
      <ns0:c r="A16" s="19" t="n">
        <ns0:v>2023</ns0:v>
      </ns0:c>
      <ns0:c r="B16" s="24" t="inlineStr">
        <ns0:is>
          <ns0:t>271121</ns0:t>
        </ns0:is>
      </ns0:c>
      <ns0:c r="C16" s="30" t="n">
        <ns0:f>'Annual raw'!F16</ns0:f>
        <ns0:v>4930</ns0:v>
      </ns0:c>
      <ns0:c r="D16" s="30" t="n">
        <ns0:f>SUMIFS(Partners!$F$7:$F$43,Partners!$A$7:$A$43,A16,Partners!$B$7:$B$43,B16)</ns0:f>
        <ns0:v>4930</ns0:v>
      </ns0:c>
      <ns0:c r="E16" s="30" t="n">
        <ns0:f>C16-D16</ns0:f>
        <ns0:v>0</ns0:v>
      </ns0:c>
      <ns0:c r="F16" s="30" t="n">
        <ns0:f>Settings!$B$11</ns0:f>
        <ns0:v>50</ns0:v>
      </ns0:c>
      <ns0:c r="G16" s="30" t="str">
        <ns0:f>IF(ABS(E16)&lt;=F16,"PASS","REVIEW")</ns0:f>
        <ns0:v>PASS</ns0:v>
      </ns0:c>
      <ns0:c r="H16" s="24" t="inlineStr">
        <ns0:is>
          <ns0:t>NO</ns0:t>
        </ns0:is>
      </ns0:c>
      <ns0:c r="I16" s="24" t="inlineStr">
        <ns0:is>
          <ns0:t>https://wits.worldbank.org/trade/comtrade/en/country/COL/year/2023/tradeflow/Imports/partner/ALL/product/271121</ns0:t>
        </ns0:is>
      </ns0:c>
    </ns0:row>
    <ns0:row r="17" ht="36" customHeight="1">
      <ns0:c r="A17" s="13" t="n">
        <ns0:v>2024</ns0:v>
      </ns0:c>
      <ns0:c r="B17" s="18" t="inlineStr">
        <ns0:is>
          <ns0:t>271111</ns0:t>
        </ns0:is>
      </ns0:c>
      <ns0:c r="C17" s="28" t="n">
        <ns0:f>'Annual raw'!F17</ns0:f>
        <ns0:v>945446540</ns0:v>
      </ns0:c>
      <ns0:c r="D17" s="28" t="n">
        <ns0:f>SUMIFS(Partners!$F$7:$F$43,Partners!$A$7:$A$43,A17,Partners!$B$7:$B$43,B17)</ns0:f>
        <ns0:v>945446540</ns0:v>
      </ns0:c>
      <ns0:c r="E17" s="28" t="n">
        <ns0:f>C17-D17</ns0:f>
        <ns0:v>0</ns0:v>
      </ns0:c>
      <ns0:c r="F17" s="28" t="n">
        <ns0:f>Settings!$B$11</ns0:f>
        <ns0:v>50</ns0:v>
      </ns0:c>
      <ns0:c r="G17" s="28" t="str">
        <ns0:f>IF(ABS(E17)&lt;=F17,"PASS","REVIEW")</ns0:f>
        <ns0:v>PASS</ns0:v>
      </ns0:c>
      <ns0:c r="H17" s="18" t="inlineStr">
        <ns0:is>
          <ns0:t>NO</ns0:t>
        </ns0:is>
      </ns0:c>
      <ns0:c r="I17" s="18" t="inlineStr">
        <ns0:is>
          <ns0:t>https://wits.worldbank.org/trade/comtrade/en/country/COL/year/2024/tradeflow/Imports/partner/ALL/product/271111</ns0:t>
        </ns0:is>
      </ns0:c>
    </ns0:row>
    <ns0:row r="18" ht="36" customHeight="1">
      <ns0:c r="A18" s="19" t="n">
        <ns0:v>2024</ns0:v>
      </ns0:c>
      <ns0:c r="B18" s="24" t="inlineStr">
        <ns0:is>
          <ns0:t>271121</ns0:t>
        </ns0:is>
      </ns0:c>
      <ns0:c r="C18" s="30" t="n">
        <ns0:f>'Annual raw'!F18</ns0:f>
        <ns0:v>31740</ns0:v>
      </ns0:c>
      <ns0:c r="D18" s="30" t="n">
        <ns0:f>SUMIFS(Partners!$F$7:$F$43,Partners!$A$7:$A$43,A18,Partners!$B$7:$B$43,B18)</ns0:f>
        <ns0:v>31740</ns0:v>
      </ns0:c>
      <ns0:c r="E18" s="30" t="n">
        <ns0:f>C18-D18</ns0:f>
        <ns0:v>0</ns0:v>
      </ns0:c>
      <ns0:c r="F18" s="30" t="n">
        <ns0:f>Settings!$B$11</ns0:f>
        <ns0:v>50</ns0:v>
      </ns0:c>
      <ns0:c r="G18" s="30" t="str">
        <ns0:f>IF(ABS(E18)&lt;=F18,"PASS","REVIEW")</ns0:f>
        <ns0:v>PASS</ns0:v>
      </ns0:c>
      <ns0:c r="H18" s="24" t="inlineStr">
        <ns0:is>
          <ns0:t>NO</ns0:t>
        </ns0:is>
      </ns0:c>
      <ns0:c r="I18" s="24" t="inlineStr">
        <ns0:is>
          <ns0:t>https://wits.worldbank.org/trade/comtrade/en/country/COL/year/2024/tradeflow/Imports/partner/ALL/product/271121</ns0:t>
        </ns0:is>
      </ns0:c>
    </ns0:row>
    <ns0:row r="19" ht="36" customHeight="1">
      <ns0:c r="A19" s="13" t="n">
        <ns0:v>2025</ns0:v>
      </ns0:c>
      <ns0:c r="B19" s="18" t="inlineStr">
        <ns0:is>
          <ns0:t>271111</ns0:t>
        </ns0:is>
      </ns0:c>
      <ns0:c r="C19" s="28" t="n">
        <ns0:f>'Annual raw'!F19</ns0:f>
        <ns0:v>779203660</ns0:v>
      </ns0:c>
      <ns0:c r="D19" s="28" t="n">
        <ns0:f>SUMIFS(Partners!$F$7:$F$43,Partners!$A$7:$A$43,A19,Partners!$B$7:$B$43,B19)</ns0:f>
        <ns0:v>779203660</ns0:v>
      </ns0:c>
      <ns0:c r="E19" s="28" t="n">
        <ns0:f>C19-D19</ns0:f>
        <ns0:v>0</ns0:v>
      </ns0:c>
      <ns0:c r="F19" s="28" t="n">
        <ns0:f>Settings!$B$11</ns0:f>
        <ns0:v>50</ns0:v>
      </ns0:c>
      <ns0:c r="G19" s="28" t="str">
        <ns0:f>IF(ABS(E19)&lt;=F19,"PASS","REVIEW")</ns0:f>
        <ns0:v>PASS</ns0:v>
      </ns0:c>
      <ns0:c r="H19" s="18" t="inlineStr">
        <ns0:is>
          <ns0:t>YES</ns0:t>
        </ns0:is>
      </ns0:c>
      <ns0:c r="I19" s="18" t="inlineStr">
        <ns0:is>
          <ns0:t>https://wits.worldbank.org/trade/comtrade/en/country/COL/year/2025/tradeflow/Imports/partner/ALL/product/271111</ns0:t>
        </ns0:is>
      </ns0:c>
    </ns0:row>
    <ns0:row r="20" ht="36" customHeight="1">
      <ns0:c r="A20" s="19" t="n">
        <ns0:v>2025</ns0:v>
      </ns0:c>
      <ns0:c r="B20" s="24" t="inlineStr">
        <ns0:is>
          <ns0:t>271121</ns0:t>
        </ns0:is>
      </ns0:c>
      <ns0:c r="C20" s="30" t="n">
        <ns0:f>'Annual raw'!F20</ns0:f>
        <ns0:v>27570</ns0:v>
      </ns0:c>
      <ns0:c r="D20" s="30" t="n">
        <ns0:f>SUMIFS(Partners!$F$7:$F$43,Partners!$A$7:$A$43,A20,Partners!$B$7:$B$43,B20)</ns0:f>
        <ns0:v>27570</ns0:v>
      </ns0:c>
      <ns0:c r="E20" s="30" t="n">
        <ns0:f>C20-D20</ns0:f>
        <ns0:v>0</ns0:v>
      </ns0:c>
      <ns0:c r="F20" s="30" t="n">
        <ns0:f>Settings!$B$11</ns0:f>
        <ns0:v>50</ns0:v>
      </ns0:c>
      <ns0:c r="G20" s="30" t="str">
        <ns0:f>IF(ABS(E20)&lt;=F20,"PASS","REVIEW")</ns0:f>
        <ns0:v>PASS</ns0:v>
      </ns0:c>
      <ns0:c r="H20" s="24" t="inlineStr">
        <ns0:is>
          <ns0:t>YES</ns0:t>
        </ns0:is>
      </ns0:c>
      <ns0:c r="I20" s="24" t="inlineStr">
        <ns0:is>
          <ns0:t>https://wits.worldbank.org/trade/comtrade/en/country/COL/year/2025/tradeflow/Imports/partner/ALL/product/271121</ns0:t>
        </ns0:is>
      </ns0:c>
    </ns0:row>
    <ns0:row r="23" ht="40" customHeight="1">
      <ns0:c r="A23" s="8" t="inlineStr">
        <ns0:is>
          <ns0:t>Additional checks: 14/14 BMC margins reconcile exactly. No national monthly customs observations were loaded. World LNG quantity is missing for 2019, 2023 and 2025.</ns0:t>
        </ns0:is>
      </ns0:c>
    </ns0:row>
  </ns0:sheetData>
  <ns0:mergeCells count="3">
    <ns0:mergeCell ref="A1:I1"/>
    <ns0:mergeCell ref="A2:I3"/>
    <ns0:mergeCell ref="A23:I23"/>
  </ns0:mergeCells>
  <ns0:printOptions horizontalCentered="1"/>
  <ns0:pageMargins left="0.75" right="0.75" top="1" bottom="1" header="0.5" footer="0.5"/>
  <ns0:pageSetup orientation="landscape" paperSize="8" fitToHeight="0" fitToWidth="1"/>
  <ns0:headerFooter>
    <ns0:oddHeader/>
    <ns0:oddFooter>&amp;CColombia natural gas | Sources and limitations inside workbook&amp;RPage &amp;P</ns0:oddFooter>
    <ns0:evenHeader/>
    <ns0:evenFooter/>
    <ns0:firstHeader/>
    <ns0:firstFooter/>
  </ns0:headerFooter>
  <ns0:tableParts count="1">
    <ns0:tablePart ns1:id="rId1"/>
  </ns0:tableParts>
</ns0:worksheet>
</file>

<file path=xl/worksheets/sheet17.xml><?xml version="1.0" encoding="utf-8"?>
<ns0:worksheet xmlns:ns0="http://schemas.openxmlformats.org/spreadsheetml/2006/main" xmlns:ns1="http://schemas.openxmlformats.org/officeDocument/2006/relationships">
  <ns0:sheetPr>
    <ns0:outlinePr summaryBelow="1" summaryRight="0"/>
    <ns0:pageSetUpPr fitToPage="1"/>
  </ns0:sheetPr>
  <ns0:dimension ref="A1:G31"/>
  <ns0:sheetViews>
    <ns0:sheetView showGridLines="0" workbookViewId="0">
      <ns0:pane xSplit="2" ySplit="6" topLeftCell="C7" activePane="bottomRight" state="frozen"/>
      <ns0:selection pane="topRight" activeCell="A1" sqref="A1"/>
      <ns0:selection pane="bottomLeft" activeCell="A1" sqref="A1"/>
      <ns0:selection pane="bottomRight" activeCell="A1" sqref="A1"/>
    </ns0:sheetView>
  </ns0:sheetViews>
  <ns0:sheetFormatPr baseColWidth="8" defaultRowHeight="15"/>
  <ns0:cols>
    <ns0:col width="25" customWidth="1" min="1" max="1"/>
    <ns0:col width="32" customWidth="1" min="2" max="2"/>
    <ns0:col width="65" customWidth="1" min="3" max="3"/>
    <ns0:col width="85" customWidth="1" min="4" max="4"/>
    <ns0:col width="17" customWidth="1" min="5" max="5"/>
    <ns0:col width="85" customWidth="1" min="6" max="6"/>
    <ns0:col width="85" customWidth="1" min="7" max="7"/>
  </ns0:cols>
  <ns0:sheetData>
    <ns0:row r="1" ht="42" customHeight="1">
      <ns0:c r="A1" s="1" t="inlineStr">
        <ns0:is>
          <ns0:t>SOURCE REGISTER | AUDIT TRAIL</ns0:t>
        </ns0:is>
      </ns0:c>
    </ns0:row>
    <ns0:row r="2" ht="26" customHeight="1">
      <ns0:c r="A2" s="3" t="inlineStr">
        <ns0:is>
          <ns0:t>URLs and retrieval status are retained. Public annual tables were read; this is not a transaction-level DANE archive extraction.</ns0:t>
        </ns0:is>
      </ns0:c>
    </ns0:row>
    <ns0:row r="3" ht="16" customHeight="1"/>
    <ns0:row r="6" ht="42" customHeight="1">
      <ns0:c r="A6" s="12" t="inlineStr">
        <ns0:is>
          <ns0:t>Source ID</ns0:t>
        </ns0:is>
      </ns0:c>
      <ns0:c r="B6" s="12" t="inlineStr">
        <ns0:is>
          <ns0:t>Publisher</ns0:t>
        </ns0:is>
      </ns0:c>
      <ns0:c r="C6" s="12" t="inlineStr">
        <ns0:is>
          <ns0:t>Document / table</ns0:t>
        </ns0:is>
      </ns0:c>
      <ns0:c r="D6" s="12" t="inlineStr">
        <ns0:is>
          <ns0:t>Source URL</ns0:t>
        </ns0:is>
      </ns0:c>
      <ns0:c r="E6" s="12" t="inlineStr">
        <ns0:is>
          <ns0:t>Accessed</ns0:t>
        </ns0:is>
      </ns0:c>
      <ns0:c r="F6" s="12" t="inlineStr">
        <ns0:is>
          <ns0:t>Scope</ns0:t>
        </ns0:is>
      </ns0:c>
      <ns0:c r="G6" s="12" t="inlineStr">
        <ns0:is>
          <ns0:t>Retrieval status</ns0:t>
        </ns0:is>
      </ns0:c>
    </ns0:row>
    <ns0:row r="7" ht="56" customHeight="1">
      <ns0:c r="A7" s="18" t="inlineStr">
        <ns0:is>
          <ns0:t>WITS_271111_2017</ns0:t>
        </ns0:is>
      </ns0:c>
      <ns0:c r="B7" s="18" t="inlineStr">
        <ns0:is>
          <ns0:t>World Bank WITS / UN Comtrade</ns0:t>
        </ns0:is>
      </ns0:c>
      <ns0:c r="C7" s="18" t="inlineStr">
        <ns0:is>
          <ns0:t>Colombia imports: HS 271111, 2017</ns0:t>
        </ns0:is>
      </ns0:c>
      <ns0:c r="D7" s="18" t="inlineStr">
        <ns0:is>
          <ns0:t>https://wits.worldbank.org/trade/comtrade/en/country/COL/year/2017/tradeflow/Imports/partner/ALL/product/271111</ns0:t>
        </ns0:is>
      </ns0:c>
      <ns0:c r="E7" s="18" t="inlineStr">
        <ns0:is>
          <ns0:t>2026-10-27</ns0:t>
        </ns0:is>
      </ns0:c>
      <ns0:c r="F7" s="18" t="inlineStr">
        <ns0:is>
          <ns0:t>Annual public summary; monetary values displayed to US$10 precision</ns0:t>
        </ns0:is>
      </ns0:c>
      <ns0:c r="G7" s="18" t="inlineStr">
        <ns0:is>
          <ns0:t>Table retrieved; not customs microdata</ns0:t>
        </ns0:is>
      </ns0:c>
    </ns0:row>
    <ns0:row r="8" ht="56" customHeight="1">
      <ns0:c r="A8" s="24" t="inlineStr">
        <ns0:is>
          <ns0:t>WITS_271111_2018</ns0:t>
        </ns0:is>
      </ns0:c>
      <ns0:c r="B8" s="24" t="inlineStr">
        <ns0:is>
          <ns0:t>World Bank WITS / UN Comtrade</ns0:t>
        </ns0:is>
      </ns0:c>
      <ns0:c r="C8" s="24" t="inlineStr">
        <ns0:is>
          <ns0:t>Colombia imports: HS 271111, 2018</ns0:t>
        </ns0:is>
      </ns0:c>
      <ns0:c r="D8" s="24" t="inlineStr">
        <ns0:is>
          <ns0:t>https://wits.worldbank.org/trade/comtrade/en/country/COL/year/2018/tradeflow/Imports/partner/ALL/product/271111</ns0:t>
        </ns0:is>
      </ns0:c>
      <ns0:c r="E8" s="24" t="inlineStr">
        <ns0:is>
          <ns0:t>2026-10-27</ns0:t>
        </ns0:is>
      </ns0:c>
      <ns0:c r="F8" s="24" t="inlineStr">
        <ns0:is>
          <ns0:t>Annual public summary; monetary values displayed to US$10 precision</ns0:t>
        </ns0:is>
      </ns0:c>
      <ns0:c r="G8" s="24" t="inlineStr">
        <ns0:is>
          <ns0:t>Table retrieved; not customs microdata</ns0:t>
        </ns0:is>
      </ns0:c>
    </ns0:row>
    <ns0:row r="9" ht="56" customHeight="1">
      <ns0:c r="A9" s="18" t="inlineStr">
        <ns0:is>
          <ns0:t>WITS_271111_2019</ns0:t>
        </ns0:is>
      </ns0:c>
      <ns0:c r="B9" s="18" t="inlineStr">
        <ns0:is>
          <ns0:t>World Bank WITS / UN Comtrade</ns0:t>
        </ns0:is>
      </ns0:c>
      <ns0:c r="C9" s="18" t="inlineStr">
        <ns0:is>
          <ns0:t>Colombia imports: HS 271111, 2019</ns0:t>
        </ns0:is>
      </ns0:c>
      <ns0:c r="D9" s="18" t="inlineStr">
        <ns0:is>
          <ns0:t>https://wits.worldbank.org/trade/comtrade/en/country/COL/year/2019/tradeflow/Imports/partner/ALL/product/271111</ns0:t>
        </ns0:is>
      </ns0:c>
      <ns0:c r="E9" s="18" t="inlineStr">
        <ns0:is>
          <ns0:t>2026-10-27</ns0:t>
        </ns0:is>
      </ns0:c>
      <ns0:c r="F9" s="18" t="inlineStr">
        <ns0:is>
          <ns0:t>Annual public summary; monetary values displayed to US$10 precision</ns0:t>
        </ns0:is>
      </ns0:c>
      <ns0:c r="G9" s="18" t="inlineStr">
        <ns0:is>
          <ns0:t>Table retrieved; not customs microdata</ns0:t>
        </ns0:is>
      </ns0:c>
    </ns0:row>
    <ns0:row r="10" ht="56" customHeight="1">
      <ns0:c r="A10" s="24" t="inlineStr">
        <ns0:is>
          <ns0:t>WITS_271111_2020</ns0:t>
        </ns0:is>
      </ns0:c>
      <ns0:c r="B10" s="24" t="inlineStr">
        <ns0:is>
          <ns0:t>World Bank WITS / UN Comtrade</ns0:t>
        </ns0:is>
      </ns0:c>
      <ns0:c r="C10" s="24" t="inlineStr">
        <ns0:is>
          <ns0:t>Colombia imports: HS 271111, 2020</ns0:t>
        </ns0:is>
      </ns0:c>
      <ns0:c r="D10" s="24" t="inlineStr">
        <ns0:is>
          <ns0:t>https://wits.worldbank.org/trade/comtrade/en/country/COL/year/2020/tradeflow/Imports/partner/ALL/product/271111</ns0:t>
        </ns0:is>
      </ns0:c>
      <ns0:c r="E10" s="24" t="inlineStr">
        <ns0:is>
          <ns0:t>2026-10-27</ns0:t>
        </ns0:is>
      </ns0:c>
      <ns0:c r="F10" s="24" t="inlineStr">
        <ns0:is>
          <ns0:t>Annual public summary; monetary values displayed to US$10 precision</ns0:t>
        </ns0:is>
      </ns0:c>
      <ns0:c r="G10" s="24" t="inlineStr">
        <ns0:is>
          <ns0:t>Table retrieved; not customs microdata</ns0:t>
        </ns0:is>
      </ns0:c>
    </ns0:row>
    <ns0:row r="11" ht="56" customHeight="1">
      <ns0:c r="A11" s="18" t="inlineStr">
        <ns0:is>
          <ns0:t>WITS_271111_2021</ns0:t>
        </ns0:is>
      </ns0:c>
      <ns0:c r="B11" s="18" t="inlineStr">
        <ns0:is>
          <ns0:t>World Bank WITS / UN Comtrade</ns0:t>
        </ns0:is>
      </ns0:c>
      <ns0:c r="C11" s="18" t="inlineStr">
        <ns0:is>
          <ns0:t>Colombia imports: HS 271111, 2021</ns0:t>
        </ns0:is>
      </ns0:c>
      <ns0:c r="D11" s="18" t="inlineStr">
        <ns0:is>
          <ns0:t>https://wits.worldbank.org/trade/comtrade/en/country/COL/year/2021/tradeflow/Imports/partner/ALL/product/271111</ns0:t>
        </ns0:is>
      </ns0:c>
      <ns0:c r="E11" s="18" t="inlineStr">
        <ns0:is>
          <ns0:t>2026-10-27</ns0:t>
        </ns0:is>
      </ns0:c>
      <ns0:c r="F11" s="18" t="inlineStr">
        <ns0:is>
          <ns0:t>Annual public summary; monetary values displayed to US$10 precision</ns0:t>
        </ns0:is>
      </ns0:c>
      <ns0:c r="G11" s="18" t="inlineStr">
        <ns0:is>
          <ns0:t>Table retrieved; not customs microdata</ns0:t>
        </ns0:is>
      </ns0:c>
    </ns0:row>
    <ns0:row r="12" ht="56" customHeight="1">
      <ns0:c r="A12" s="24" t="inlineStr">
        <ns0:is>
          <ns0:t>WITS_271121_2021</ns0:t>
        </ns0:is>
      </ns0:c>
      <ns0:c r="B12" s="24" t="inlineStr">
        <ns0:is>
          <ns0:t>World Bank WITS / UN Comtrade</ns0:t>
        </ns0:is>
      </ns0:c>
      <ns0:c r="C12" s="24" t="inlineStr">
        <ns0:is>
          <ns0:t>Colombia imports: HS 271121, 2021</ns0:t>
        </ns0:is>
      </ns0:c>
      <ns0:c r="D12" s="24" t="inlineStr">
        <ns0:is>
          <ns0:t>https://wits.worldbank.org/trade/comtrade/en/country/COL/year/2021/tradeflow/Imports/partner/ALL/product/271121</ns0:t>
        </ns0:is>
      </ns0:c>
      <ns0:c r="E12" s="24" t="inlineStr">
        <ns0:is>
          <ns0:t>2026-10-27</ns0:t>
        </ns0:is>
      </ns0:c>
      <ns0:c r="F12" s="24" t="inlineStr">
        <ns0:is>
          <ns0:t>Annual public summary; monetary values displayed to US$10 precision</ns0:t>
        </ns0:is>
      </ns0:c>
      <ns0:c r="G12" s="24" t="inlineStr">
        <ns0:is>
          <ns0:t>Table retrieved; not customs microdata</ns0:t>
        </ns0:is>
      </ns0:c>
    </ns0:row>
    <ns0:row r="13" ht="56" customHeight="1">
      <ns0:c r="A13" s="18" t="inlineStr">
        <ns0:is>
          <ns0:t>WITS_271111_2022</ns0:t>
        </ns0:is>
      </ns0:c>
      <ns0:c r="B13" s="18" t="inlineStr">
        <ns0:is>
          <ns0:t>World Bank WITS / UN Comtrade</ns0:t>
        </ns0:is>
      </ns0:c>
      <ns0:c r="C13" s="18" t="inlineStr">
        <ns0:is>
          <ns0:t>Colombia imports: HS 271111, 2022</ns0:t>
        </ns0:is>
      </ns0:c>
      <ns0:c r="D13" s="18" t="inlineStr">
        <ns0:is>
          <ns0:t>https://wits.worldbank.org/trade/comtrade/en/country/COL/year/2022/tradeflow/Imports/partner/ALL/product/271111</ns0:t>
        </ns0:is>
      </ns0:c>
      <ns0:c r="E13" s="18" t="inlineStr">
        <ns0:is>
          <ns0:t>2026-10-27</ns0:t>
        </ns0:is>
      </ns0:c>
      <ns0:c r="F13" s="18" t="inlineStr">
        <ns0:is>
          <ns0:t>Annual public summary; monetary values displayed to US$10 precision</ns0:t>
        </ns0:is>
      </ns0:c>
      <ns0:c r="G13" s="18" t="inlineStr">
        <ns0:is>
          <ns0:t>Table retrieved; not customs microdata</ns0:t>
        </ns0:is>
      </ns0:c>
    </ns0:row>
    <ns0:row r="14" ht="56" customHeight="1">
      <ns0:c r="A14" s="24" t="inlineStr">
        <ns0:is>
          <ns0:t>WITS_271121_2022</ns0:t>
        </ns0:is>
      </ns0:c>
      <ns0:c r="B14" s="24" t="inlineStr">
        <ns0:is>
          <ns0:t>World Bank WITS / UN Comtrade</ns0:t>
        </ns0:is>
      </ns0:c>
      <ns0:c r="C14" s="24" t="inlineStr">
        <ns0:is>
          <ns0:t>Colombia imports: HS 271121, 2022</ns0:t>
        </ns0:is>
      </ns0:c>
      <ns0:c r="D14" s="24" t="inlineStr">
        <ns0:is>
          <ns0:t>https://wits.worldbank.org/trade/comtrade/en/country/COL/year/2022/tradeflow/Imports/partner/ALL/product/271121</ns0:t>
        </ns0:is>
      </ns0:c>
      <ns0:c r="E14" s="24" t="inlineStr">
        <ns0:is>
          <ns0:t>2026-10-27</ns0:t>
        </ns0:is>
      </ns0:c>
      <ns0:c r="F14" s="24" t="inlineStr">
        <ns0:is>
          <ns0:t>Annual public summary; monetary values displayed to US$10 precision</ns0:t>
        </ns0:is>
      </ns0:c>
      <ns0:c r="G14" s="24" t="inlineStr">
        <ns0:is>
          <ns0:t>Table retrieved; not customs microdata</ns0:t>
        </ns0:is>
      </ns0:c>
    </ns0:row>
    <ns0:row r="15" ht="56" customHeight="1">
      <ns0:c r="A15" s="18" t="inlineStr">
        <ns0:is>
          <ns0:t>WITS_271111_2023</ns0:t>
        </ns0:is>
      </ns0:c>
      <ns0:c r="B15" s="18" t="inlineStr">
        <ns0:is>
          <ns0:t>World Bank WITS / UN Comtrade</ns0:t>
        </ns0:is>
      </ns0:c>
      <ns0:c r="C15" s="18" t="inlineStr">
        <ns0:is>
          <ns0:t>Colombia imports: HS 271111, 2023</ns0:t>
        </ns0:is>
      </ns0:c>
      <ns0:c r="D15" s="18" t="inlineStr">
        <ns0:is>
          <ns0:t>https://wits.worldbank.org/trade/comtrade/en/country/COL/year/2023/tradeflow/Imports/partner/ALL/product/271111</ns0:t>
        </ns0:is>
      </ns0:c>
      <ns0:c r="E15" s="18" t="inlineStr">
        <ns0:is>
          <ns0:t>2026-10-27</ns0:t>
        </ns0:is>
      </ns0:c>
      <ns0:c r="F15" s="18" t="inlineStr">
        <ns0:is>
          <ns0:t>Annual public summary; monetary values displayed to US$10 precision</ns0:t>
        </ns0:is>
      </ns0:c>
      <ns0:c r="G15" s="18" t="inlineStr">
        <ns0:is>
          <ns0:t>Table retrieved; not customs microdata</ns0:t>
        </ns0:is>
      </ns0:c>
    </ns0:row>
    <ns0:row r="16" ht="56" customHeight="1">
      <ns0:c r="A16" s="24" t="inlineStr">
        <ns0:is>
          <ns0:t>WITS_271121_2023</ns0:t>
        </ns0:is>
      </ns0:c>
      <ns0:c r="B16" s="24" t="inlineStr">
        <ns0:is>
          <ns0:t>World Bank WITS / UN Comtrade</ns0:t>
        </ns0:is>
      </ns0:c>
      <ns0:c r="C16" s="24" t="inlineStr">
        <ns0:is>
          <ns0:t>Colombia imports: HS 271121, 2023</ns0:t>
        </ns0:is>
      </ns0:c>
      <ns0:c r="D16" s="24" t="inlineStr">
        <ns0:is>
          <ns0:t>https://wits.worldbank.org/trade/comtrade/en/country/COL/year/2023/tradeflow/Imports/partner/ALL/product/271121</ns0:t>
        </ns0:is>
      </ns0:c>
      <ns0:c r="E16" s="24" t="inlineStr">
        <ns0:is>
          <ns0:t>2026-10-27</ns0:t>
        </ns0:is>
      </ns0:c>
      <ns0:c r="F16" s="24" t="inlineStr">
        <ns0:is>
          <ns0:t>Annual public summary; monetary values displayed to US$10 precision</ns0:t>
        </ns0:is>
      </ns0:c>
      <ns0:c r="G16" s="24" t="inlineStr">
        <ns0:is>
          <ns0:t>Table retrieved; not customs microdata</ns0:t>
        </ns0:is>
      </ns0:c>
    </ns0:row>
    <ns0:row r="17" ht="56" customHeight="1">
      <ns0:c r="A17" s="18" t="inlineStr">
        <ns0:is>
          <ns0:t>WITS_271111_2024</ns0:t>
        </ns0:is>
      </ns0:c>
      <ns0:c r="B17" s="18" t="inlineStr">
        <ns0:is>
          <ns0:t>World Bank WITS / UN Comtrade</ns0:t>
        </ns0:is>
      </ns0:c>
      <ns0:c r="C17" s="18" t="inlineStr">
        <ns0:is>
          <ns0:t>Colombia imports: HS 271111, 2024</ns0:t>
        </ns0:is>
      </ns0:c>
      <ns0:c r="D17" s="18" t="inlineStr">
        <ns0:is>
          <ns0:t>https://wits.worldbank.org/trade/comtrade/en/country/COL/year/2024/tradeflow/Imports/partner/ALL/product/271111</ns0:t>
        </ns0:is>
      </ns0:c>
      <ns0:c r="E17" s="18" t="inlineStr">
        <ns0:is>
          <ns0:t>2026-10-27</ns0:t>
        </ns0:is>
      </ns0:c>
      <ns0:c r="F17" s="18" t="inlineStr">
        <ns0:is>
          <ns0:t>Annual public summary; monetary values displayed to US$10 precision</ns0:t>
        </ns0:is>
      </ns0:c>
      <ns0:c r="G17" s="18" t="inlineStr">
        <ns0:is>
          <ns0:t>Table retrieved; not customs microdata</ns0:t>
        </ns0:is>
      </ns0:c>
    </ns0:row>
    <ns0:row r="18" ht="56" customHeight="1">
      <ns0:c r="A18" s="24" t="inlineStr">
        <ns0:is>
          <ns0:t>WITS_271121_2024</ns0:t>
        </ns0:is>
      </ns0:c>
      <ns0:c r="B18" s="24" t="inlineStr">
        <ns0:is>
          <ns0:t>World Bank WITS / UN Comtrade</ns0:t>
        </ns0:is>
      </ns0:c>
      <ns0:c r="C18" s="24" t="inlineStr">
        <ns0:is>
          <ns0:t>Colombia imports: HS 271121, 2024</ns0:t>
        </ns0:is>
      </ns0:c>
      <ns0:c r="D18" s="24" t="inlineStr">
        <ns0:is>
          <ns0:t>https://wits.worldbank.org/trade/comtrade/en/country/COL/year/2024/tradeflow/Imports/partner/ALL/product/271121</ns0:t>
        </ns0:is>
      </ns0:c>
      <ns0:c r="E18" s="24" t="inlineStr">
        <ns0:is>
          <ns0:t>2026-10-27</ns0:t>
        </ns0:is>
      </ns0:c>
      <ns0:c r="F18" s="24" t="inlineStr">
        <ns0:is>
          <ns0:t>Annual public summary; monetary values displayed to US$10 precision</ns0:t>
        </ns0:is>
      </ns0:c>
      <ns0:c r="G18" s="24" t="inlineStr">
        <ns0:is>
          <ns0:t>Table retrieved; not customs microdata</ns0:t>
        </ns0:is>
      </ns0:c>
    </ns0:row>
    <ns0:row r="19" ht="56" customHeight="1">
      <ns0:c r="A19" s="18" t="inlineStr">
        <ns0:is>
          <ns0:t>WITS_271111_2025</ns0:t>
        </ns0:is>
      </ns0:c>
      <ns0:c r="B19" s="18" t="inlineStr">
        <ns0:is>
          <ns0:t>World Bank WITS / UN Comtrade</ns0:t>
        </ns0:is>
      </ns0:c>
      <ns0:c r="C19" s="18" t="inlineStr">
        <ns0:is>
          <ns0:t>Colombia imports: HS 271111, 2025</ns0:t>
        </ns0:is>
      </ns0:c>
      <ns0:c r="D19" s="18" t="inlineStr">
        <ns0:is>
          <ns0:t>https://wits.worldbank.org/trade/comtrade/en/country/COL/year/2025/tradeflow/Imports/partner/ALL/product/271111</ns0:t>
        </ns0:is>
      </ns0:c>
      <ns0:c r="E19" s="18" t="inlineStr">
        <ns0:is>
          <ns0:t>2026-10-27</ns0:t>
        </ns0:is>
      </ns0:c>
      <ns0:c r="F19" s="18" t="inlineStr">
        <ns0:is>
          <ns0:t>Annual public summary; monetary values displayed to US$10 precision</ns0:t>
        </ns0:is>
      </ns0:c>
      <ns0:c r="G19" s="18" t="inlineStr">
        <ns0:is>
          <ns0:t>Table retrieved; not customs microdata</ns0:t>
        </ns0:is>
      </ns0:c>
    </ns0:row>
    <ns0:row r="20" ht="56" customHeight="1">
      <ns0:c r="A20" s="24" t="inlineStr">
        <ns0:is>
          <ns0:t>WITS_271121_2025</ns0:t>
        </ns0:is>
      </ns0:c>
      <ns0:c r="B20" s="24" t="inlineStr">
        <ns0:is>
          <ns0:t>World Bank WITS / UN Comtrade</ns0:t>
        </ns0:is>
      </ns0:c>
      <ns0:c r="C20" s="24" t="inlineStr">
        <ns0:is>
          <ns0:t>Colombia imports: HS 271121, 2025</ns0:t>
        </ns0:is>
      </ns0:c>
      <ns0:c r="D20" s="24" t="inlineStr">
        <ns0:is>
          <ns0:t>https://wits.worldbank.org/trade/comtrade/en/country/COL/year/2025/tradeflow/Imports/partner/ALL/product/271121</ns0:t>
        </ns0:is>
      </ns0:c>
      <ns0:c r="E20" s="24" t="inlineStr">
        <ns0:is>
          <ns0:t>2026-10-27</ns0:t>
        </ns0:is>
      </ns0:c>
      <ns0:c r="F20" s="24" t="inlineStr">
        <ns0:is>
          <ns0:t>Annual public summary; monetary values displayed to US$10 precision</ns0:t>
        </ns0:is>
      </ns0:c>
      <ns0:c r="G20" s="24" t="inlineStr">
        <ns0:is>
          <ns0:t>Table retrieved; not customs microdata</ns0:t>
        </ns0:is>
      </ns0:c>
    </ns0:row>
    <ns0:row r="21" ht="56" customHeight="1">
      <ns0:c r="A21" s="18" t="inlineStr">
        <ns0:is>
          <ns0:t>DANE_DEC2025</ns0:t>
        </ns0:is>
      </ns0:c>
      <ns0:c r="B21" s="18" t="inlineStr">
        <ns0:is>
          <ns0:t>DIAN / DANE</ns0:t>
        </ns0:is>
      </ns0:c>
      <ns0:c r="C21" s="18" t="inlineStr">
        <ns0:is>
          <ns0:t>Imports bulletin December 2025, page 11</ns0:t>
        </ns0:is>
      </ns0:c>
      <ns0:c r="D21" s="18" t="inlineStr">
        <ns0:is>
          <ns0:t>https://www.dane.gov.co/files/operaciones/IMP/bol-IMP-dic2025.pdf</ns0:t>
        </ns0:is>
      </ns0:c>
      <ns0:c r="E21" s="18" t="inlineStr">
        <ns0:is>
          <ns0:t>2026-10-27</ns0:t>
        </ns0:is>
      </ns0:c>
      <ns0:c r="F21" s="18" t="inlineStr">
        <ns0:is>
          <ns0:t>Partner reconciliation: T&amp;T LNG US$390.8m; USA US$388.4m in 2025</ns0:t>
        </ns0:is>
      </ns0:c>
      <ns0:c r="G21" s="18" t="inlineStr">
        <ns0:is>
          <ns0:t>Table and PDF screenshot verified</ns0:t>
        </ns0:is>
      </ns0:c>
    </ns0:row>
    <ns0:row r="22" ht="56" customHeight="1">
      <ns0:c r="A22" s="24" t="inlineStr">
        <ns0:is>
          <ns0:t>DANE_AUG2026</ns0:t>
        </ns0:is>
      </ns0:c>
      <ns0:c r="B22" s="24" t="inlineStr">
        <ns0:is>
          <ns0:t>DIAN / DANE</ns0:t>
        </ns0:is>
      </ns0:c>
      <ns0:c r="C22" s="24" t="inlineStr">
        <ns0:is>
          <ns0:t>Imports bulletin August 2026, page 9</ns0:t>
        </ns0:is>
      </ns0:c>
      <ns0:c r="D22" s="24" t="inlineStr">
        <ns0:is>
          <ns0:t>https://www.dane.gov.co/files/operaciones/IMP/bol-IMP-ago2026.pdf</ns0:t>
        </ns0:is>
      </ns0:c>
      <ns0:c r="E22" s="24" t="inlineStr">
        <ns0:is>
          <ns0:t>2026-10-27</ns0:t>
        </ns0:is>
      </ns0:c>
      <ns0:c r="F22" s="24" t="inlineStr">
        <ns0:is>
          <ns0:t>Selected LNG observations: T&amp;T August 2025 and August 2026</ns0:t>
        </ns0:is>
      </ns0:c>
      <ns0:c r="G22" s="24" t="inlineStr">
        <ns0:is>
          <ns0:t>Table and PDF screenshot verified; not national totals</ns0:t>
        </ns0:is>
      </ns0:c>
    </ns0:row>
    <ns0:row r="23" ht="56" customHeight="1">
      <ns0:c r="A23" s="18" t="inlineStr">
        <ns0:is>
          <ns0:t>DANE_MICRO</ns0:t>
        </ns0:is>
      </ns0:c>
      <ns0:c r="B23" s="18" t="inlineStr">
        <ns0:is>
          <ns0:t>DANE</ns0:t>
        </ns0:is>
      </ns0:c>
      <ns0:c r="C23" s="18" t="inlineStr">
        <ns0:is>
          <ns0:t>Import microdata 2025-2026</ns0:t>
        </ns0:is>
      </ns0:c>
      <ns0:c r="D23" s="18" t="inlineStr">
        <ns0:is>
          <ns0:t>https://microdatos.dane.gov.co/index.php/catalog/856/get-microdata</ns0:t>
        </ns0:is>
      </ns0:c>
      <ns0:c r="E23" s="18" t="inlineStr">
        <ns0:is>
          <ns0:t>2026-10-27</ns0:t>
        </ns0:is>
      </ns0:c>
      <ns0:c r="F23" s="18" t="inlineStr">
        <ns0:is>
          <ns0:t>Lists Impo_2025_1.zip, Impo_2025_2.zip, Impo_2026.zip</ns0:t>
        </ns0:is>
      </ns0:c>
      <ns0:c r="G23" s="18" t="inlineStr">
        <ns0:is>
          <ns0:t>Catalog verified; archives not downloaded</ns0:t>
        </ns0:is>
      </ns0:c>
    </ns0:row>
    <ns0:row r="24" ht="56" customHeight="1">
      <ns0:c r="A24" s="24" t="inlineStr">
        <ns0:is>
          <ns0:t>DANE_DICT</ns0:t>
        </ns0:is>
      </ns0:c>
      <ns0:c r="B24" s="24" t="inlineStr">
        <ns0:is>
          <ns0:t>DANE</ns0:t>
        </ns0:is>
      </ns0:c>
      <ns0:c r="C24" s="24" t="inlineStr">
        <ns0:is>
          <ns0:t>Import data dictionary</ns0:t>
        </ns0:is>
      </ns0:c>
      <ns0:c r="D24" s="24" t="inlineStr">
        <ns0:is>
          <ns0:t>https://microdatos.dane.gov.co/index.php/catalog/856/data-dictionary/F1?file_name=Impo_2025+A+2026</ns0:t>
        </ns0:is>
      </ns0:c>
      <ns0:c r="E24" s="24" t="inlineStr">
        <ns0:is>
          <ns0:t>2026-10-27</ns0:t>
        </ns0:is>
      </ns0:c>
      <ns0:c r="F24" s="24" t="inlineStr">
        <ns0:is>
          <ns0:t>FECH, NABAN, PAISGEN, VAFODO, VACID, PNK, FLETE, SEGUROS</ns0:t>
        </ns0:is>
      </ns0:c>
      <ns0:c r="G24" s="24" t="inlineStr">
        <ns0:is>
          <ns0:t>Variable names verified; monthly loader requires real-file validation</ns0:t>
        </ns0:is>
      </ns0:c>
    </ns0:row>
    <ns0:row r="25" ht="56" customHeight="1">
      <ns0:c r="A25" s="18" t="inlineStr">
        <ns0:is>
          <ns0:t>DANE_CODES</ns0:t>
        </ns0:is>
      </ns0:c>
      <ns0:c r="B25" s="18" t="inlineStr">
        <ns0:is>
          <ns0:t>DANE</ns0:t>
        </ns0:is>
      </ns0:c>
      <ns0:c r="C25" s="18" t="inlineStr">
        <ns0:is>
          <ns0:t>Import statistics and country-code transition</ns0:t>
        </ns0:is>
      </ns0:c>
      <ns0:c r="D25" s="18" t="inlineStr">
        <ns0:is>
          <ns0:t>https://www.dane.gov.co/index.php/estadisticas-por-tema/comercio-internacional/importaciones</ns0:t>
        </ns0:is>
      </ns0:c>
      <ns0:c r="E25" s="18" t="inlineStr">
        <ns0:is>
          <ns0:t>2026-10-27</ns0:t>
        </ns0:is>
      </ns0:c>
      <ns0:c r="F25" s="18" t="inlineStr">
        <ns0:is>
          <ns0:t>M49 country codes from January 2025; ALADI/M49 crosswalk in catalog</ns0:t>
        </ns0:is>
      </ns0:c>
      <ns0:c r="G25" s="18" t="inlineStr">
        <ns0:is>
          <ns0:t>Methodology note retrieved</ns0:t>
        </ns0:is>
      </ns0:c>
    </ns0:row>
    <ns0:row r="26" ht="56" customHeight="1">
      <ns0:c r="A26" s="24" t="inlineStr">
        <ns0:is>
          <ns0:t>BMC_SCREENSHOT</ns0:t>
        </ns0:is>
      </ns0:c>
      <ns0:c r="B26" s="24" t="inlineStr">
        <ns0:is>
          <ns0:t>BMC / user-supplied image</ns0:t>
        </ns0:is>
      </ns0:c>
      <ns0:c r="C26" s="24" t="inlineStr">
        <ns0:is>
          <ns0:t>Prospective supply-demand scenario: UPME + OEF XM</ns0:t>
        </ns0:is>
      </ns0:c>
      <ns0:c r="D26" s="24" t="inlineStr">
        <ns0:is>
          <ns0:t>https://www.bmcbec.com.co/</ns0:t>
        </ns0:is>
      </ns0:c>
      <ns0:c r="E26" s="24" t="inlineStr">
        <ns0:is>
          <ns0:t>2026-10-27</ns0:t>
        </ns0:is>
      </ns0:c>
      <ns0:c r="F26" s="24" t="inlineStr">
        <ns0:is>
          <ns0:t>14 visible rows: Oct 2026 through Nov 2027</ns0:t>
        </ns0:is>
      </ns0:c>
      <ns0:c r="G26" s="24" t="inlineStr">
        <ns0:is>
          <ns0:t>Manually transcribed and arithmetic checked; underlying dashboard export not obtained</ns0:t>
        </ns0:is>
      </ns0:c>
    </ns0:row>
    <ns0:row r="27" ht="56" customHeight="1">
      <ns0:c r="A27" s="18" t="inlineStr">
        <ns0:is>
          <ns0:t>BMC_LOGIN</ns0:t>
        </ns0:is>
      </ns0:c>
      <ns0:c r="B27" s="18" t="inlineStr">
        <ns0:is>
          <ns0:t>BMC</ns0:t>
        </ns0:is>
      </ns0:c>
      <ns0:c r="C27" s="18" t="inlineStr">
        <ns0:is>
          <ns0:t>BI Gas portal</ns0:t>
        </ns0:is>
      </ns0:c>
      <ns0:c r="D27" s="18" t="inlineStr">
        <ns0:is>
          <ns0:t>https://www.bmcbec.com.co/cuadros-power-bi/inicio</ns0:t>
        </ns0:is>
      </ns0:c>
      <ns0:c r="E27" s="18" t="inlineStr">
        <ns0:is>
          <ns0:t>2026-10-27</ns0:t>
        </ns0:is>
      </ns0:c>
      <ns0:c r="F27" s="18" t="inlineStr">
        <ns0:is>
          <ns0:t>Public link redirected to login in this session</ns0:t>
        </ns0:is>
      </ns0:c>
      <ns0:c r="G27" s="18" t="inlineStr">
        <ns0:is>
          <ns0:t>No terminal-level time series exported</ns0:t>
        </ns0:is>
      </ns0:c>
    </ns0:row>
    <ns0:row r="28" ht="64" customHeight="1">
      <ns0:c r="A28" s="97" t="inlineStr">
        <ns0:is>
          <ns0:t>USER_DIAN_SCREENSHOTS_20261027</ns0:t>
        </ns0:is>
      </ns0:c>
      <ns0:c r="B28" s="97" t="inlineStr">
        <ns0:is>
          <ns0:t>User / DIAN dashboard</ns0:t>
        </ns0:is>
      </ns0:c>
      <ns0:c r="C28" s="97" t="inlineStr">
        <ns0:is>
          <ns0:t>FOB and net-weight screenshots, Jan-Oct 2025/2026</ns0:t>
        </ns0:is>
      </ns0:c>
      <ns0:c r="D28" s="97" t="inlineStr">
        <ns0:is>
          <ns0:t>https://www.dian.gov.co/dian/cifras/Paginas/EstadisticasComEx.aspx</ns0:t>
        </ns0:is>
      </ns0:c>
      <ns0:c r="E28" s="97" t="inlineStr">
        <ns0:is>
          <ns0:t>2026-10-27</ns0:t>
        </ns0:is>
      </ns0:c>
      <ns0:c r="F28" s="97" t="inlineStr">
        <ns0:is>
          <ns0:t>20 year-month observations; filters not visible</ns0:t>
        </ns0:is>
      </ns0:c>
      <ns0:c r="G28" s="97" t="inlineStr">
        <ns0:is>
          <ns0:t>Visually transcribed; originals embedded in DIAN evidence</ns0:t>
        </ns0:is>
      </ns0:c>
    </ns0:row>
    <ns0:row r="29" ht="64" customHeight="1">
      <ns0:c r="A29" s="97" t="inlineStr">
        <ns0:is>
          <ns0:t>DIAN_METHOD</ns0:t>
        </ns0:is>
      </ns0:c>
      <ns0:c r="B29" s="97" t="inlineStr">
        <ns0:is>
          <ns0:t>DIAN</ns0:t>
        </ns0:is>
      </ns0:c>
      <ns0:c r="C29" s="97" t="inlineStr">
        <ns0:is>
          <ns0:t>Dashboard methodology</ns0:t>
        </ns0:is>
      </ns0:c>
      <ns0:c r="D29" s="97" t="inlineStr">
        <ns0:is>
          <ns0:t>https://www.dian.gov.co/dian/cifras/Documents/Ficha-tecnica-visualizador-de-datos-de-comercio-exterior.pdf</ns0:t>
        </ns0:is>
      </ns0:c>
      <ns0:c r="E29" s="97" t="inlineStr">
        <ns0:is>
          <ns0:t>2026-10-27</ns0:t>
        </ns0:is>
      </ns0:c>
      <ns0:c r="F29" s="97" t="inlineStr">
        <ns0:is>
          <ns0:t>USD million; million kg; C/O definitions; pp.2,9</ns0:t>
        </ns0:is>
      </ns0:c>
      <ns0:c r="G29" s="97" t="inlineStr">
        <ns0:is>
          <ns0:t>Web text and PDF screenshots checked</ns0:t>
        </ns0:is>
      </ns0:c>
    </ns0:row>
    <ns0:row r="30" ht="64" customHeight="1">
      <ns0:c r="A30" s="97" t="inlineStr">
        <ns0:is>
          <ns0:t>DIAN_ADVANCE</ns0:t>
        </ns0:is>
      </ns0:c>
      <ns0:c r="B30" s="97" t="inlineStr">
        <ns0:is>
          <ns0:t>DIAN</ns0:t>
        </ns0:is>
      </ns0:c>
      <ns0:c r="C30" s="97" t="inlineStr">
        <ns0:is>
          <ns0:t>Advance trade statistics</ns0:t>
        </ns0:is>
      </ns0:c>
      <ns0:c r="D30" s="97" t="inlineStr">
        <ns0:is>
          <ns0:t>https://www.dian.gov.co/dian/cifras/Paginas/Avance-de-Comercio-Exterior.aspx</ns0:t>
        </ns0:is>
      </ns0:c>
      <ns0:c r="E30" s="97" t="inlineStr">
        <ns0:is>
          <ns0:t>2026-10-27</ns0:t>
        </ns0:is>
      </ns0:c>
      <ns0:c r="F30" s="97" t="inlineStr">
        <ns0:is>
          <ns0:t>Advance figures through latest processed week</ns0:t>
        </ns0:is>
      </ns0:c>
      <ns0:c r="G30" s="97" t="inlineStr">
        <ns0:is>
          <ns0:t>Page inspected; no additional numeric rows scraped</ns0:t>
        </ns0:is>
      </ns0:c>
    </ns0:row>
    <ns0:row r="31" ht="64" customHeight="1">
      <ns0:c r="A31" s="97" t="inlineStr">
        <ns0:is>
          <ns0:t>DANE_AUG2026_BALANCE</ns0:t>
        </ns0:is>
      </ns0:c>
      <ns0:c r="B31" s="97" t="inlineStr">
        <ns0:is>
          <ns0:t>DANE</ns0:t>
        </ns0:is>
      </ns0:c>
      <ns0:c r="C31" s="97" t="inlineStr">
        <ns0:is>
          <ns0:t>Imports bulletin August 2026, p.13</ns0:t>
        </ns0:is>
      </ns0:c>
      <ns0:c r="D31" s="97" t="inlineStr">
        <ns0:is>
          <ns0:t>https://www.dane.gov.co/files/operaciones/IMP/bol-IMP-ago2026.pdf</ns0:t>
        </ns0:is>
      </ns0:c>
      <ns0:c r="E31" s="97" t="inlineStr">
        <ns0:is>
          <ns0:t>2026-10-27</ns0:t>
        </ns0:is>
      </ns0:c>
      <ns0:c r="F31" s="97" t="inlineStr">
        <ns0:is>
          <ns0:t>Jan-Aug national FOB trade deficit, 2025 and 2026</ns0:t>
        </ns0:is>
      </ns0:c>
      <ns0:c r="G31" s="97" t="inlineStr">
        <ns0:is>
          <ns0:t>Text and chart page verified</ns0:t>
        </ns0:is>
      </ns0:c>
    </ns0:row>
  </ns0:sheetData>
  <ns0:mergeCells count="2">
    <ns0:mergeCell ref="A1:G1"/>
    <ns0:mergeCell ref="A2:G3"/>
  </ns0:mergeCells>
  <ns0:printOptions horizontalCentered="1"/>
  <ns0:pageMargins left="0.75" right="0.75" top="1" bottom="1" header="0.5" footer="0.5"/>
  <ns0:pageSetup orientation="landscape" paperSize="8" fitToHeight="0" fitToWidth="1"/>
  <ns0:headerFooter>
    <ns0:oddHeader/>
    <ns0:oddFooter>&amp;CColombia natural gas | Sources and limitations inside workbook&amp;RPage &amp;P</ns0:oddFooter>
    <ns0:evenHeader/>
    <ns0:evenFooter/>
    <ns0:firstHeader/>
    <ns0:firstFooter/>
  </ns0:headerFooter>
  <ns0:tableParts count="1">
    <ns0:tablePart ns1:id="rId1"/>
  </ns0:tableParts>
</ns0:worksheet>
</file>

<file path=xl/worksheets/sheet18.xml><?xml version="1.0" encoding="utf-8"?>
<ns0:worksheet xmlns:ns0="http://schemas.openxmlformats.org/spreadsheetml/2006/main" xmlns:ns1="http://schemas.openxmlformats.org/officeDocument/2006/relationships">
  <ns0:sheetPr>
    <ns0:outlinePr summaryBelow="1" summaryRight="0"/>
    <ns0:pageSetUpPr fitToPage="1"/>
  </ns0:sheetPr>
  <ns0:dimension ref="A1:D32"/>
  <ns0:sheetViews>
    <ns0:sheetView showGridLines="0" workbookViewId="0">
      <ns0:pane xSplit="2" ySplit="6" topLeftCell="C7" activePane="bottomRight" state="frozen"/>
      <ns0:selection pane="topRight" activeCell="A1" sqref="A1"/>
      <ns0:selection pane="bottomLeft" activeCell="A1" sqref="A1"/>
      <ns0:selection pane="bottomRight" activeCell="A1" sqref="A1"/>
    </ns0:sheetView>
  </ns0:sheetViews>
  <ns0:sheetFormatPr baseColWidth="8" defaultRowHeight="15"/>
  <ns0:cols>
    <ns0:col width="31" customWidth="1" min="1" max="1"/>
    <ns0:col width="75" customWidth="1" min="2" max="2"/>
    <ns0:col width="35" customWidth="1" min="3" max="3"/>
    <ns0:col width="85" customWidth="1" min="4" max="4"/>
  </ns0:cols>
  <ns0:sheetData>
    <ns0:row r="1" ht="42" customHeight="1">
      <ns0:c r="A1" s="1" t="inlineStr">
        <ns0:is>
          <ns0:t>DATA DICTIONARY | USE AND LIMITS</ns0:t>
        </ns0:is>
      </ns0:c>
    </ns0:row>
    <ns0:row r="2" ht="26" customHeight="1">
      <ns0:c r="A2" s="3" t="inlineStr">
        <ns0:is>
          <ns0:t>Trade values, physical supply and forward scenarios have different units and scopes. Keep those distinctions when building graphs or estimating the external-account impact.</ns0:t>
        </ns0:is>
      </ns0:c>
    </ns0:row>
    <ns0:row r="3" ht="16" customHeight="1"/>
    <ns0:row r="6" ht="42" customHeight="1">
      <ns0:c r="A6" s="12" t="inlineStr">
        <ns0:is>
          <ns0:t>Dataset / field</ns0:t>
        </ns0:is>
      </ns0:c>
      <ns0:c r="B6" s="12" t="inlineStr">
        <ns0:is>
          <ns0:t>Definition</ns0:t>
        </ns0:is>
      </ns0:c>
      <ns0:c r="C6" s="12" t="inlineStr">
        <ns0:is>
          <ns0:t>Unit / coding</ns0:t>
        </ns0:is>
      </ns0:c>
      <ns0:c r="D6" s="12" t="inlineStr">
        <ns0:is>
          <ns0:t>Treatment / limitation</ns0:t>
        </ns0:is>
      </ns0:c>
    </ns0:row>
    <ns0:row r="7" ht="62" customHeight="1">
      <ns0:c r="A7" s="18" t="inlineStr">
        <ns0:is>
          <ns0:t>Annual world / partner</ns0:t>
        </ns0:is>
      </ns0:c>
      <ns0:c r="B7" s="18" t="inlineStr">
        <ns0:is>
          <ns0:t>WITS public annual summaries; world records and partner records are separate.</ns0:t>
        </ns0:is>
      </ns0:c>
      <ns0:c r="C7" s="18" t="inlineStr">
        <ns0:is>
          <ns0:t>Calendar year; HS6</ns0:t>
        </ns0:is>
      </ns0:c>
      <ns0:c r="D7" s="18" t="inlineStr">
        <ns0:is>
          <ns0:t>Do not add world totals to countries. This is not declaration-level microdata.</ns0:t>
        </ns0:is>
      </ns0:c>
    </ns0:row>
    <ns0:row r="8" ht="62" customHeight="1">
      <ns0:c r="A8" s="24" t="inlineStr">
        <ns0:is>
          <ns0:t>HS 271111 / 2711110000</ns0:t>
        </ns0:is>
      </ns0:c>
      <ns0:c r="B8" s="24" t="inlineStr">
        <ns0:is>
          <ns0:t>Natural gas, liquefied (LNG).</ns0:t>
        </ns0:is>
      </ns0:c>
      <ns0:c r="C8" s="24" t="inlineStr">
        <ns0:is>
          <ns0:t>HS6 / Colombian HS10</ns0:t>
        </ns0:is>
      </ns0:c>
      <ns0:c r="D8" s="24" t="inlineStr">
        <ns0:is>
          <ns0:t>Used for the LNG series. LPG is excluded.</ns0:t>
        </ns0:is>
      </ns0:c>
    </ns0:row>
    <ns0:row r="9" ht="62" customHeight="1">
      <ns0:c r="A9" s="18" t="inlineStr">
        <ns0:is>
          <ns0:t>HS 271121 / 2711210000</ns0:t>
        </ns0:is>
      </ns0:c>
      <ns0:c r="B9" s="18" t="inlineStr">
        <ns0:is>
          <ns0:t>Natural gas in gaseous state.</ns0:t>
        </ns0:is>
      </ns0:c>
      <ns0:c r="C9" s="18" t="inlineStr">
        <ns0:is>
          <ns0:t>HS6 / Colombian HS10</ns0:t>
        </ns0:is>
      </ns0:c>
      <ns0:c r="D9" s="18" t="inlineStr">
        <ns0:is>
          <ns0:t>Separate from LNG. 2017-2020 were not retrieved in this extraction.</ns0:t>
        </ns0:is>
      </ns0:c>
    </ns0:row>
    <ns0:row r="10" ht="62" customHeight="1">
      <ns0:c r="A10" s="24" t="inlineStr">
        <ns0:is>
          <ns0:t>CIF value</ns0:t>
        </ns0:is>
      </ns0:c>
      <ns0:c r="B10" s="24" t="inlineStr">
        <ns0:is>
          <ns0:t>Customs value including cost, insurance and freight.</ns0:t>
        </ns0:is>
      </ns0:c>
      <ns0:c r="C10" s="24" t="inlineStr">
        <ns0:is>
          <ns0:t>US$</ns0:t>
        </ns0:is>
      </ns0:c>
      <ns0:c r="D10" s="24" t="inlineStr">
        <ns0:is>
          <ns0:t>Annual WITS values are CIF import values; do not use as exact FOB trade-balance contributions.</ns0:t>
        </ns0:is>
      </ns0:c>
    </ns0:row>
    <ns0:row r="11" ht="62" customHeight="1">
      <ns0:c r="A11" s="18" t="inlineStr">
        <ns0:is>
          <ns0:t>FOB value</ns0:t>
        </ns0:is>
      </ns0:c>
      <ns0:c r="B11" s="18" t="inlineStr">
        <ns0:is>
          <ns0:t>Value excluding international freight and insurance.</ns0:t>
        </ns0:is>
      </ns0:c>
      <ns0:c r="C11" s="18" t="inlineStr">
        <ns0:is>
          <ns0:t>US$; DANE field VAFODO</ns0:t>
        </ns0:is>
      </ns0:c>
      <ns0:c r="D11" s="18" t="inlineStr">
        <ns0:is>
          <ns0:t>Required for an exact comparison with the FOB merchandise-trade balance. Not available in the populated annual tables.</ns0:t>
        </ns0:is>
      </ns0:c>
    </ns0:row>
    <ns0:row r="12" ht="62" customHeight="1">
      <ns0:c r="A12" s="24" t="inlineStr">
        <ns0:is>
          <ns0:t>Reported quantity</ns0:t>
        </ns0:is>
      </ns0:c>
      <ns0:c r="B12" s="24" t="inlineStr">
        <ns0:is>
          <ns0:t>WITS quantity field, where provided in kg.</ns0:t>
        </ns0:is>
      </ns0:c>
      <ns0:c r="C12" s="24" t="inlineStr">
        <ns0:is>
          <ns0:t>kg; converted to metric tonnes</ns0:t>
        </ns0:is>
      </ns0:c>
      <ns0:c r="D12" s="24" t="inlineStr">
        <ns0:is>
          <ns0:t>Missing quantities remain null. Do not sum incomplete partners into a world quantity.</ns0:t>
        </ns0:is>
      </ns0:c>
    </ns0:row>
    <ns0:row r="13" ht="62" customHeight="1">
      <ns0:c r="A13" s="18" t="inlineStr">
        <ns0:is>
          <ns0:t>CIF unit value</ns0:t>
        </ns0:is>
      </ns0:c>
      <ns0:c r="B13" s="18" t="inlineStr">
        <ns0:is>
          <ns0:t>CIF dollar value divided by reported quantity in tonnes.</ns0:t>
        </ns0:is>
      </ns0:c>
      <ns0:c r="C13" s="18" t="inlineStr">
        <ns0:is>
          <ns0:t>US$/tonne</ns0:t>
        </ns0:is>
      </ns0:c>
      <ns0:c r="D13" s="18" t="inlineStr">
        <ns0:is>
          <ns0:t>Not a spot LNG price or a domestic tariff. Very small gaseous-gas trade may be non-bulk shipments.</ns0:t>
        </ns0:is>
      </ns0:c>
    </ns0:row>
    <ns0:row r="14" ht="62" customHeight="1">
      <ns0:c r="A14" s="24" t="inlineStr">
        <ns0:is>
          <ns0:t>Partner reported</ns0:t>
        </ns0:is>
      </ns0:c>
      <ns0:c r="B14" s="24" t="inlineStr">
        <ns0:is>
          <ns0:t>Country label exactly as displayed by WITS.</ns0:t>
        </ns0:is>
      </ns0:c>
      <ns0:c r="C14" s="24" t="inlineStr">
        <ns0:is>
          <ns0:t>Text</ns0:t>
        </ns0:is>
      </ns0:c>
      <ns0:c r="D14" s="24" t="inlineStr">
        <ns0:is>
          <ns0:t>May not identify the liquefaction country. Labels such as Switzerland and Ireland should not be relabelled without evidence.</ns0:t>
        </ns0:is>
      </ns0:c>
    </ns0:row>
    <ns0:row r="15" ht="62" customHeight="1">
      <ns0:c r="A15" s="18" t="inlineStr">
        <ns0:is>
          <ns0:t>Partner for analysis</ns0:t>
        </ns0:is>
      </ns0:c>
      <ns0:c r="B15" s="18" t="inlineStr">
        <ns0:is>
          <ns0:t>Reported label except the flagged 2025 LNG reconciliation.</ns0:t>
        </ns0:is>
      </ns0:c>
      <ns0:c r="C15" s="18" t="inlineStr">
        <ns0:is>
          <ns0:t>Text</ns0:t>
        </ns0:is>
      </ns0:c>
      <ns0:c r="D15" s="18" t="inlineStr">
        <ns0:is>
          <ns0:t>Tanzania -&gt; Trinidad and Tobago is supported by DANE December 2025 p11. Raw label remains available.</ns0:t>
        </ns0:is>
      </ns0:c>
    </ns0:row>
    <ns0:row r="16" ht="62" customHeight="1">
      <ns0:c r="A16" s="24" t="inlineStr">
        <ns0:is>
          <ns0:t>FECH</ns0:t>
        </ns0:is>
      </ns0:c>
      <ns0:c r="B16" s="24" t="inlineStr">
        <ns0:is>
          <ns0:t>DANE date field; dictionary example 2501.</ns0:t>
        </ns0:is>
      </ns0:c>
      <ns0:c r="C16" s="24" t="inlineStr">
        <ns0:is>
          <ns0:t>YYMM, e.g. 2501 = January 2025</ns0:t>
        </ns0:is>
      </ns0:c>
      <ns0:c r="D16" s="24" t="inlineStr">
        <ns0:is>
          <ns0:t>Loader also supports YYYYMM and common explicit date formats; ambiguous dates fail rather than silently convert.</ns0:t>
        </ns0:is>
      </ns0:c>
    </ns0:row>
    <ns0:row r="17" ht="62" customHeight="1">
      <ns0:c r="A17" s="18" t="inlineStr">
        <ns0:is>
          <ns0:t>NABAN</ns0:t>
        </ns0:is>
      </ns0:c>
      <ns0:c r="B17" s="18" t="inlineStr">
        <ns0:is>
          <ns0:t>Colombian customs commodity code.</ns0:t>
        </ns0:is>
      </ns0:c>
      <ns0:c r="C17" s="18" t="inlineStr">
        <ns0:is>
          <ns0:t>10-digit text</ns0:t>
        </ns0:is>
      </ns0:c>
      <ns0:c r="D17" s="18" t="inlineStr">
        <ns0:is>
          <ns0:t>Keep as text; filter exactly 2711110000 / 2711210000.</ns0:t>
        </ns0:is>
      </ns0:c>
    </ns0:row>
    <ns0:row r="18" ht="62" customHeight="1">
      <ns0:c r="A18" s="24" t="inlineStr">
        <ns0:is>
          <ns0:t>PAISGEN</ns0:t>
        </ns0:is>
      </ns0:c>
      <ns0:c r="B18" s="24" t="inlineStr">
        <ns0:is>
          <ns0:t>Country-of-origin code used in the proposed loader.</ns0:t>
        </ns0:is>
      </ns0:c>
      <ns0:c r="C18" s="24" t="inlineStr">
        <ns0:is>
          <ns0:t>M49 from January 2025; ALADI before</ns0:t>
        </ns0:is>
      </ns0:c>
      <ns0:c r="D18" s="24" t="inlineStr">
        <ns0:is>
          <ns0:t>Do not apply a single country-code mapping across the 2025 change. Older ALADI labels remain codes unless mapped separately.</ns0:t>
        </ns0:is>
      </ns0:c>
    </ns0:row>
    <ns0:row r="19" ht="62" customHeight="1">
      <ns0:c r="A19" s="18" t="inlineStr">
        <ns0:is>
          <ns0:t>VACID / VAFODO / PNK</ns0:t>
        </ns0:is>
      </ns0:c>
      <ns0:c r="B19" s="18" t="inlineStr">
        <ns0:is>
          <ns0:t>CIF dollars / FOB dollars / net weight.</ns0:t>
        </ns0:is>
      </ns0:c>
      <ns0:c r="C19" s="18" t="inlineStr">
        <ns0:is>
          <ns0:t>US$ / US$ / kg</ns0:t>
        </ns0:is>
      </ns0:c>
      <ns0:c r="D19" s="18" t="inlineStr">
        <ns0:is>
          <ns0:t>DANE field names verified; loader still needs validation on live source archives.</ns0:t>
        </ns0:is>
      </ns0:c>
    </ns0:row>
    <ns0:row r="20" ht="62" customHeight="1">
      <ns0:c r="A20" s="24" t="inlineStr">
        <ns0:is>
          <ns0:t>BMC MBTUD</ns0:t>
        </ns0:is>
      </ns0:c>
      <ns0:c r="B20" s="24" t="inlineStr">
        <ns0:is>
          <ns0:t>Million British thermal units per day, as labelled in the BMC chart.</ns0:t>
        </ns0:is>
      </ns0:c>
      <ns0:c r="C20" s="24" t="inlineStr">
        <ns0:is>
          <ns0:t>MBtu/day; energy flow</ns0:t>
        </ns0:is>
      </ns0:c>
      <ns0:c r="D20" s="24" t="inlineStr">
        <ns0:is>
          <ns0:t>Not money and not physical cubic-foot production. Do not mix with monthly customs mass.</ns0:t>
        </ns0:is>
      </ns0:c>
    </ns0:row>
    <ns0:row r="21" ht="62" customHeight="1">
      <ns0:c r="A21" s="18" t="inlineStr">
        <ns0:is>
          <ns0:t>BMC supply</ns0:t>
        </ns0:is>
      </ns0:c>
      <ns0:c r="B21" s="18" t="inlineStr">
        <ns0:is>
          <ns0:t>Total scenario supply displayed in the screenshot.</ns0:t>
        </ns0:is>
      </ns0:c>
      <ns0:c r="C21" s="18" t="inlineStr">
        <ns0:is>
          <ns0:t>MBtu/day</ns0:t>
        </ns0:is>
      </ns0:c>
      <ns0:c r="D21" s="18" t="inlineStr">
        <ns0:is>
          <ns0:t>Includes import-related components; not a domestic-production series or an LNG forecast.</ns0:t>
        </ns0:is>
      </ns0:c>
    </ns0:row>
    <ns0:row r="22" ht="62" customHeight="1">
      <ns0:c r="A22" s="24" t="inlineStr">
        <ns0:is>
          <ns0:t>BMC demand</ns0:t>
        </ns0:is>
      </ns0:c>
      <ns0:c r="B22" s="24" t="inlineStr">
        <ns0:is>
          <ns0:t>Selected projection: UPME + OEF XM.</ns0:t>
        </ns0:is>
      </ns0:c>
      <ns0:c r="C22" s="24" t="inlineStr">
        <ns0:is>
          <ns0:t>MBtu/day</ns0:t>
        </ns0:is>
      </ns0:c>
      <ns0:c r="D22" s="24" t="inlineStr">
        <ns0:is>
          <ns0:t>Only the exact 14 visible rows are included; the vintage was not visible.</ns0:t>
        </ns0:is>
      </ns0:c>
    </ns0:row>
    <ns0:row r="23" ht="62" customHeight="1">
      <ns0:c r="A23" s="18" t="inlineStr">
        <ns0:is>
          <ns0:t>Monthly importer</ns0:t>
        </ns0:is>
      </ns0:c>
      <ns0:c r="B23" s="18" t="inlineStr">
        <ns0:is>
          <ns0:t>Local-file loader plus optional direct public ZIP downloading.</ns0:t>
        </ns0:is>
      </ns0:c>
      <ns0:c r="C23" s="18" t="inlineStr">
        <ns0:is>
          <ns0:t>Python 3.10+; CSV/TSV/TXT in ZIP</ns0:t>
        </ns0:is>
      </ns0:c>
      <ns0:c r="D23" s="18" t="inlineStr">
        <ns0:is>
          <ns0:t>Synthetic tests passed. Live DANE ZIP downloading did not succeed in this session. Overlapping file-months are blocked by default.</ns0:t>
        </ns0:is>
      </ns0:c>
    </ns0:row>
    <ns0:row r="24" ht="62" customHeight="1">
      <ns0:c r="A24" s="24" t="inlineStr">
        <ns0:is>
          <ns0:t>Coverage / missing</ns0:t>
        </ns0:is>
      </ns0:c>
      <ns0:c r="B24" s="24" t="inlineStr">
        <ns0:is>
          <ns0:t>Absent cells are not assumed zero.</ns0:t>
        </ns0:is>
      </ns0:c>
      <ns0:c r="C24" s="24" t="inlineStr">
        <ns0:is>
          <ns0:t>null / blank</ns0:t>
        </ns0:is>
      </ns0:c>
      <ns0:c r="D24" s="24" t="inlineStr">
        <ns0:is>
          <ns0:t>No annual-to-monthly interpolation; no terminal-volume estimates from pixels; no fabricated 2026 national totals.</ns0:t>
        </ns0:is>
      </ns0:c>
    </ns0:row>
    <ns0:row r="25" ht="62" customHeight="1">
      <ns0:c r="A25" s="97" t="inlineStr">
        <ns0:is>
          <ns0:t>Monthly screenshots</ns0:t>
        </ns0:is>
      </ns0:c>
      <ns0:c r="B25" s="97" t="inlineStr">
        <ns0:is>
          <ns0:t>Exact transcription from the user images; not a bulk customs scrape.</ns0:t>
        </ns0:is>
      </ns0:c>
      <ns0:c r="C25" s="97" t="inlineStr">
        <ns0:is>
          <ns0:t>USD million / million kg</ns0:t>
        </ns0:is>
      </ns0:c>
      <ns0:c r="D25" s="97" t="inlineStr">
        <ns0:is>
          <ns0:t>Original negative signs retained; product and flow filters unverified.</ns0:t>
        </ns0:is>
      </ns0:c>
    </ns0:row>
    <ns0:row r="26" ht="62" customHeight="1">
      <ns0:c r="A26" s="97" t="inlineStr">
        <ns0:is>
          <ns0:t>Row status C/O</ns0:t>
        </ns0:is>
      </ns0:c>
      <ns0:c r="B26" s="97" t="inlineStr">
        <ns0:is>
          <ns0:t>Status shown once for each year-comparison row.</ns0:t>
        </ns0:is>
      </ns0:c>
      <ns0:c r="C26" s="97" t="inlineStr">
        <ns0:is>
          <ns0:t>C = certificadas; O = observadas</ns0:t>
        </ns0:is>
      </ns0:c>
      <ns0:c r="D26" s="97" t="inlineStr">
        <ns0:is>
          <ns0:t>Shared label retained; not independently verified for each year; C is not a guarantee against future revisions.</ns0:t>
        </ns0:is>
      </ns0:c>
    </ns0:row>
    <ns0:row r="27" ht="62" customHeight="1">
      <ns0:c r="A27" s="97" t="inlineStr">
        <ns0:is>
          <ns0:t>FOB magnitude / weight magnitude</ns0:t>
        </ns0:is>
      </ns0:c>
      <ns0:c r="B27" s="97" t="inlineStr">
        <ns0:is>
          <ns0:t>Absolute value of the signed display.</ns0:t>
        </ns0:is>
      </ns0:c>
      <ns0:c r="C27" s="97" t="inlineStr">
        <ns0:is>
          <ns0:t>ABS(raw signed value)</ns0:t>
        </ns0:is>
      </ns0:c>
      <ns0:c r="D27" s="97" t="inlineStr">
        <ns0:is>
          <ns0:t>Not automatically equivalent to gross imports when the source is a trade balance.</ns0:t>
        </ns0:is>
      </ns0:c>
    </ns0:row>
    <ns0:row r="28" ht="62" customHeight="1">
      <ns0:c r="A28" s="97" t="inlineStr">
        <ns0:is>
          <ns0:t>FOB / weight ratio</ns0:t>
        </ns0:is>
      </ns0:c>
      <ns0:c r="B28" s="97" t="inlineStr">
        <ns0:is>
          <ns0:t>Ratio of summed magnitudes, weighted by mass.</ns0:t>
        </ns0:is>
      </ns0:c>
      <ns0:c r="C28" s="97" t="inlineStr">
        <ns0:is>
          <ns0:t>USD/kg</ns0:t>
        </ns0:is>
      </ns0:c>
      <ns0:c r="D28" s="97" t="inlineStr">
        <ns0:is>
          <ns0:t>Not the simple average of monthly ratios; not a price when using net-trade values.</ns0:t>
        </ns0:is>
      </ns0:c>
    </ns0:row>
    <ns0:row r="29" ht="62" customHeight="1">
      <ns0:c r="A29" s="97" t="inlineStr">
        <ns0:is>
          <ns0:t>2025 total discrepancies</ns0:t>
        </ns0:is>
      </ns0:c>
      <ns0:c r="B29" s="97" t="inlineStr">
        <ns0:is>
          <ns0:t>Displayed total minus the sum of the ten visible months.</ns0:t>
        </ns0:is>
      </ns0:c>
      <ns0:c r="C29" s="97" t="inlineStr">
        <ns0:is>
          <ns0:t>USD 33.37m; 69.66m kg in magnitude</ns0:t>
        </ns0:is>
      </ns0:c>
      <ns0:c r="D29" s="97" t="inlineStr">
        <ns0:is>
          <ns0:t>Unresolved; too large for rounding. Do not allocate to invented missing rows.</ns0:t>
        </ns0:is>
      </ns0:c>
    </ns0:row>
    <ns0:row r="30" ht="62" customHeight="1">
      <ns0:c r="A30" s="97" t="inlineStr">
        <ns0:is>
          <ns0:t>Monthly data cutoff</ns0:t>
        </ns0:is>
      </ns0:c>
      <ns0:c r="B30" s="97" t="inlineStr">
        <ns0:is>
          <ns0:t>The exact processed-week cutoff is not visible.</ns0:t>
        </ns0:is>
      </ns0:c>
      <ns0:c r="C30" s="97" t="inlineStr">
        <ns0:is>
          <ns0:t>Unknown; snapshot 27 Oct 2026</ns0:t>
        </ns0:is>
      </ns0:c>
      <ns0:c r="D30" s="97" t="inlineStr">
        <ns0:is>
          <ns0:t>October 2026 is incomplete; prior-year comparable-day cutoff is unknown.</ns0:t>
        </ns0:is>
      </ns0:c>
    </ns0:row>
    <ns0:row r="31" ht="62" customHeight="1">
      <ns0:c r="A31" s="97" t="inlineStr">
        <ns0:is>
          <ns0:t>Mechanical decomposition</ns0:t>
        </ns0:is>
      </ns0:c>
      <ns0:c r="B31" s="97" t="inlineStr">
        <ns0:is>
          <ns0:t>Delta V = P25 x delta Q + Q26 x delta P.</ns0:t>
        </ns0:is>
      </ns0:c>
      <ns0:c r="C31" s="97" t="inlineStr">
        <ns0:is>
          <ns0:t>USD million</ns0:t>
        </ns0:is>
      </ns0:c>
      <ns0:c r="D31" s="97" t="inlineStr">
        <ns0:is>
          <ns0:t>Interaction assigned to ratio effect. Accounting split, not a causal estimate.</ns0:t>
        </ns0:is>
      </ns0:c>
    </ns0:row>
    <ns0:row r="32" ht="62" customHeight="1">
      <ns0:c r="A32" s="97" t="inlineStr">
        <ns0:is>
          <ns0:t>Macro comparison</ns0:t>
        </ns0:is>
      </ns0:c>
      <ns0:c r="B32" s="97" t="inlineStr">
        <ns0:is>
          <ns0:t>Selected-series FOB increase / overall FOB deficit widening.</ns0:t>
        </ns0:is>
      </ns0:c>
      <ns0:c r="C32" s="97" t="inlineStr">
        <ns0:is>
          <ns0:t>January-August only</ns0:t>
        </ns0:is>
      </ns0:c>
      <ns0:c r="D32" s="97" t="inlineStr">
        <ns0:is>
          <ns0:t>Conditional scale measure; not a verified causal contribution or COP forecast.</ns0:t>
        </ns0:is>
      </ns0:c>
    </ns0:row>
  </ns0:sheetData>
  <ns0:mergeCells count="2">
    <ns0:mergeCell ref="A1:D1"/>
    <ns0:mergeCell ref="A2:D3"/>
  </ns0:mergeCells>
  <ns0:printOptions horizontalCentered="1"/>
  <ns0:pageMargins left="0.75" right="0.75" top="1" bottom="1" header="0.5" footer="0.5"/>
  <ns0:pageSetup orientation="landscape" paperSize="8" fitToHeight="0" fitToWidth="1"/>
  <ns0:headerFooter>
    <ns0:oddHeader/>
    <ns0:oddFooter>&amp;CColombia natural gas | Sources and limitations inside workbook&amp;RPage &amp;P</ns0:oddFooter>
    <ns0:evenHeader/>
    <ns0:evenFooter/>
    <ns0:firstHeader/>
    <ns0:firstFooter/>
  </ns0:headerFooter>
  <ns0:tableParts count="1">
    <ns0:tablePart ns1:id="rId1"/>
  </ns0:tableParts>
</ns0:worksheet>
</file>

<file path=xl/worksheets/sheet19.xml><?xml version="1.0" encoding="utf-8"?>
<ns0:worksheet xmlns:ns0="http://schemas.openxmlformats.org/spreadsheetml/2006/main" xmlns:ns1="http://schemas.openxmlformats.org/officeDocument/2006/relationships">
  <ns0:sheetPr>
    <ns0:outlinePr summaryBelow="1" summaryRight="0"/>
    <ns0:pageSetUpPr fitToPage="1"/>
  </ns0:sheetPr>
  <ns0:dimension ref="A1:C11"/>
  <ns0:sheetViews>
    <ns0:sheetView showGridLines="0" workbookViewId="0">
      <ns0:pane xSplit="2" ySplit="6" topLeftCell="C7" activePane="bottomRight" state="frozen"/>
      <ns0:selection pane="topRight" activeCell="A1" sqref="A1"/>
      <ns0:selection pane="bottomLeft" activeCell="A1" sqref="A1"/>
      <ns0:selection pane="bottomRight" activeCell="A1" sqref="A1"/>
    </ns0:sheetView>
  </ns0:sheetViews>
  <ns0:sheetFormatPr baseColWidth="8" defaultRowHeight="15"/>
  <ns0:cols>
    <ns0:col width="42" customWidth="1" min="1" max="1"/>
    <ns0:col width="25" customWidth="1" min="2" max="2"/>
    <ns0:col width="95" customWidth="1" min="3" max="3"/>
  </ns0:cols>
  <ns0:sheetData>
    <ns0:row r="1" ht="42" customHeight="1">
      <ns0:c r="A1" s="1" t="inlineStr">
        <ns0:is>
          <ns0:t>SETTINGS | CONVERSIONS AND INPUTS</ns0:t>
        </ns0:is>
      </ns0:c>
    </ns0:row>
    <ns0:row r="2" ht="26" customHeight="1">
      <ns0:c r="A2" s="3" t="inlineStr">
        <ns0:is>
          <ns0:t>Blue numeric cells are editable assumptions. Unit factors are constants; the price is an illustration, not a market forecast.</ns0:t>
        </ns0:is>
      </ns0:c>
    </ns0:row>
    <ns0:row r="3" ht="16" customHeight="1"/>
    <ns0:row r="6" ht="42" customHeight="1">
      <ns0:c r="A6" s="12" t="inlineStr">
        <ns0:is>
          <ns0:t>Setting</ns0:t>
        </ns0:is>
      </ns0:c>
      <ns0:c r="B6" s="12" t="inlineStr">
        <ns0:is>
          <ns0:t>Value</ns0:t>
        </ns0:is>
      </ns0:c>
      <ns0:c r="C6" s="12" t="inlineStr">
        <ns0:is>
          <ns0:t>Meaning / source</ns0:t>
        </ns0:is>
      </ns0:c>
    </ns0:row>
    <ns0:row r="7" ht="34" customHeight="1">
      <ns0:c r="A7" s="18" t="inlineStr">
        <ns0:is>
          <ns0:t>US$ thousands to US$</ns0:t>
        </ns0:is>
      </ns0:c>
      <ns0:c r="B7" s="98" t="n">
        <ns0:v>1000</ns0:v>
      </ns0:c>
      <ns0:c r="C7" s="18" t="inlineStr">
        <ns0:is>
          <ns0:t>Exact unit conversion.</ns0:t>
        </ns0:is>
      </ns0:c>
    </ns0:row>
    <ns0:row r="8" ht="34" customHeight="1">
      <ns0:c r="A8" s="24" t="inlineStr">
        <ns0:is>
          <ns0:t>US$ to US$ million</ns0:t>
        </ns0:is>
      </ns0:c>
      <ns0:c r="B8" s="99" t="n">
        <ns0:v>1000000</ns0:v>
      </ns0:c>
      <ns0:c r="C8" s="24" t="inlineStr">
        <ns0:is>
          <ns0:t>Exact unit conversion.</ns0:t>
        </ns0:is>
      </ns0:c>
    </ns0:row>
    <ns0:row r="9" ht="34" customHeight="1">
      <ns0:c r="A9" s="18" t="inlineStr">
        <ns0:is>
          <ns0:t>kg per metric tonne</ns0:t>
        </ns0:is>
      </ns0:c>
      <ns0:c r="B9" s="98" t="n">
        <ns0:v>1000</ns0:v>
      </ns0:c>
      <ns0:c r="C9" s="18" t="inlineStr">
        <ns0:is>
          <ns0:t>Exact unit conversion.</ns0:t>
        </ns0:is>
      </ns0:c>
    </ns0:row>
    <ns0:row r="10" ht="34" customHeight="1">
      <ns0:c r="A10" s="24" t="inlineStr">
        <ns0:is>
          <ns0:t>Illustrative LNG border price</ns0:t>
        </ns0:is>
      </ns0:c>
      <ns0:c r="B10" s="100" t="n">
        <ns0:v>12</ns0:v>
      </ns0:c>
      <ns0:c r="C10" s="24" t="inlineStr">
        <ns0:is>
          <ns0:t>US$/MMBtu; analyst input only, not observed or forecast.</ns0:t>
        </ns0:is>
      </ns0:c>
    </ns0:row>
    <ns0:row r="11" ht="34" customHeight="1">
      <ns0:c r="A11" s="18" t="inlineStr">
        <ns0:is>
          <ns0:t>Published-value rounding tolerance</ns0:t>
        </ns0:is>
      </ns0:c>
      <ns0:c r="B11" s="98" t="n">
        <ns0:v>50</ns0:v>
      </ns0:c>
      <ns0:c r="C11" s="18" t="inlineStr">
        <ns0:is>
          <ns0:t>US$; allows small rounded partner/world differences.</ns0:t>
        </ns0:is>
      </ns0:c>
    </ns0:row>
  </ns0:sheetData>
  <ns0:mergeCells count="2">
    <ns0:mergeCell ref="A1:C1"/>
    <ns0:mergeCell ref="A2:C3"/>
  </ns0:mergeCells>
  <ns0:printOptions horizontalCentered="1"/>
  <ns0:pageMargins left="0.75" right="0.75" top="1" bottom="1" header="0.5" footer="0.5"/>
  <ns0:pageSetup orientation="landscape" paperSize="8" fitToHeight="0" fitToWidth="1"/>
  <ns0:headerFooter>
    <ns0:oddHeader/>
    <ns0:oddFooter>&amp;CColombia natural gas | Sources and limitations inside workbook&amp;RPage &amp;P</ns0:oddFooter>
    <ns0:evenHeader/>
    <ns0:evenFooter/>
    <ns0:firstHeader/>
    <ns0:firstFooter/>
  </ns0:headerFooter>
  <ns0:legacyDrawing ns1:id="anysvml"/>
</ns0: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Research data compilation</dc:creator>
  <dc:title xmlns:dc="http://purl.org/dc/elements/1.1/">Colombia Natural Gas Import Database</dc:title>
  <dc:subject xmlns:dc="http://purl.org/dc/elements/1.1/">Verified annual customs summaries; selected monthly bulletin observations; BMC screenshot scenario</dc:subject>
  <dcterms:created xmlns:dcterms="http://purl.org/dc/terms/" xmlns:xsi="http://www.w3.org/2001/XMLSchema-instance" xsi:type="dcterms:W3CDTF">2026-10-27T12:50:11Z</dcterms:created>
  <dcterms:modified xmlns:dcterms="http://purl.org/dc/terms/" xmlns:xsi="http://www.w3.org/2001/XMLSchema-instance" xsi:type="dcterms:W3CDTF">2026-10-27T13:32:45Z</dcterms:modified>
</cp:coreProperties>
</file>