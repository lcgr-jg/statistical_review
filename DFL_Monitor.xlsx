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londonbusinessschool1000-my.sharepoint.com/personal/luiscarg_mifft2025_london_edu/Documents/commods_analyst/"/>
    </mc:Choice>
  </mc:AlternateContent>
  <xr:revisionPtr revIDLastSave="1" documentId="11_7BE0932288D330122FAD7D357AF28ED0042AE135" xr6:coauthVersionLast="47" xr6:coauthVersionMax="47" xr10:uidLastSave="{46AAB1CC-1614-495F-AD30-792589C94B8A}"/>
  <bookViews>
    <workbookView xWindow="-108" yWindow="-108" windowWidth="23256" windowHeight="12456" tabRatio="500" activeTab="4" xr2:uid="{00000000-000D-0000-FFFF-FFFF00000000}"/>
  </bookViews>
  <sheets>
    <sheet name="Dashboard" sheetId="1" r:id="rId1"/>
    <sheet name="CFD Curve" sheetId="2" r:id="rId2"/>
    <sheet name="Cargo Tracker" sheetId="3" r:id="rId3"/>
    <sheet name="Grade Diffs" sheetId="4" r:id="rId4"/>
    <sheet name="Arb Economics" sheetId="5" r:id="rId5"/>
    <sheet name="Refinery Runs" sheetId="6" r:id="rId6"/>
    <sheet name="Signals" sheetId="7" r:id="rId7"/>
    <sheet name="Historical DFL" sheetId="8" r:id="rId8"/>
    <sheet name="Reference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21" i="5" l="1"/>
  <c r="E21" i="5" s="1"/>
  <c r="D63" i="8"/>
  <c r="H62" i="8"/>
  <c r="I62" i="8" s="1"/>
  <c r="D62" i="8"/>
  <c r="H61" i="8"/>
  <c r="I61" i="8" s="1"/>
  <c r="D61" i="8"/>
  <c r="H60" i="8"/>
  <c r="I60" i="8" s="1"/>
  <c r="D60" i="8"/>
  <c r="H59" i="8"/>
  <c r="I59" i="8" s="1"/>
  <c r="D59" i="8"/>
  <c r="G63" i="8" s="1"/>
  <c r="H58" i="8"/>
  <c r="I58" i="8" s="1"/>
  <c r="D58" i="8"/>
  <c r="G62" i="8" s="1"/>
  <c r="H57" i="8"/>
  <c r="I57" i="8" s="1"/>
  <c r="D57" i="8"/>
  <c r="G61" i="8" s="1"/>
  <c r="H56" i="8"/>
  <c r="I56" i="8" s="1"/>
  <c r="D56" i="8"/>
  <c r="G60" i="8" s="1"/>
  <c r="H55" i="8"/>
  <c r="I55" i="8" s="1"/>
  <c r="D55" i="8"/>
  <c r="G59" i="8" s="1"/>
  <c r="H54" i="8"/>
  <c r="I54" i="8" s="1"/>
  <c r="D54" i="8"/>
  <c r="G58" i="8" s="1"/>
  <c r="H53" i="8"/>
  <c r="I53" i="8" s="1"/>
  <c r="D53" i="8"/>
  <c r="G57" i="8" s="1"/>
  <c r="H52" i="8"/>
  <c r="I52" i="8" s="1"/>
  <c r="D52" i="8"/>
  <c r="G56" i="8" s="1"/>
  <c r="H51" i="8"/>
  <c r="I51" i="8" s="1"/>
  <c r="D51" i="8"/>
  <c r="G55" i="8" s="1"/>
  <c r="H50" i="8"/>
  <c r="I50" i="8" s="1"/>
  <c r="D50" i="8"/>
  <c r="G54" i="8" s="1"/>
  <c r="H49" i="8"/>
  <c r="I49" i="8" s="1"/>
  <c r="D49" i="8"/>
  <c r="G53" i="8" s="1"/>
  <c r="H48" i="8"/>
  <c r="I48" i="8" s="1"/>
  <c r="D48" i="8"/>
  <c r="G52" i="8" s="1"/>
  <c r="H47" i="8"/>
  <c r="I47" i="8" s="1"/>
  <c r="D47" i="8"/>
  <c r="G51" i="8" s="1"/>
  <c r="H46" i="8"/>
  <c r="I46" i="8" s="1"/>
  <c r="D46" i="8"/>
  <c r="G50" i="8" s="1"/>
  <c r="H45" i="8"/>
  <c r="I45" i="8" s="1"/>
  <c r="D45" i="8"/>
  <c r="G49" i="8" s="1"/>
  <c r="H44" i="8"/>
  <c r="I44" i="8" s="1"/>
  <c r="D44" i="8"/>
  <c r="H63" i="8" s="1"/>
  <c r="I63" i="8" s="1"/>
  <c r="H43" i="8"/>
  <c r="I43" i="8" s="1"/>
  <c r="D43" i="8"/>
  <c r="G47" i="8" s="1"/>
  <c r="H42" i="8"/>
  <c r="I42" i="8" s="1"/>
  <c r="D42" i="8"/>
  <c r="G46" i="8" s="1"/>
  <c r="D41" i="8"/>
  <c r="G45" i="8" s="1"/>
  <c r="D40" i="8"/>
  <c r="G44" i="8" s="1"/>
  <c r="D39" i="8"/>
  <c r="G43" i="8" s="1"/>
  <c r="D38" i="8"/>
  <c r="G42" i="8" s="1"/>
  <c r="D37" i="8"/>
  <c r="G41" i="8" s="1"/>
  <c r="D36" i="8"/>
  <c r="G40" i="8" s="1"/>
  <c r="D35" i="8"/>
  <c r="G39" i="8" s="1"/>
  <c r="D34" i="8"/>
  <c r="G38" i="8" s="1"/>
  <c r="D33" i="8"/>
  <c r="G37" i="8" s="1"/>
  <c r="D32" i="8"/>
  <c r="G36" i="8" s="1"/>
  <c r="D31" i="8"/>
  <c r="G35" i="8" s="1"/>
  <c r="D30" i="8"/>
  <c r="G34" i="8" s="1"/>
  <c r="D29" i="8"/>
  <c r="G33" i="8" s="1"/>
  <c r="D28" i="8"/>
  <c r="G32" i="8" s="1"/>
  <c r="D27" i="8"/>
  <c r="G31" i="8" s="1"/>
  <c r="D26" i="8"/>
  <c r="G30" i="8" s="1"/>
  <c r="D25" i="8"/>
  <c r="G29" i="8" s="1"/>
  <c r="D24" i="8"/>
  <c r="G28" i="8" s="1"/>
  <c r="D23" i="8"/>
  <c r="G27" i="8" s="1"/>
  <c r="D22" i="8"/>
  <c r="H41" i="8" s="1"/>
  <c r="I41" i="8" s="1"/>
  <c r="D21" i="8"/>
  <c r="G25" i="8" s="1"/>
  <c r="D20" i="8"/>
  <c r="H39" i="8" s="1"/>
  <c r="I39" i="8" s="1"/>
  <c r="D19" i="8"/>
  <c r="G23" i="8" s="1"/>
  <c r="D18" i="8"/>
  <c r="G22" i="8" s="1"/>
  <c r="D17" i="8"/>
  <c r="G21" i="8" s="1"/>
  <c r="D16" i="8"/>
  <c r="G20" i="8" s="1"/>
  <c r="D15" i="8"/>
  <c r="G19" i="8" s="1"/>
  <c r="D14" i="8"/>
  <c r="G18" i="8" s="1"/>
  <c r="D13" i="8"/>
  <c r="G17" i="8" s="1"/>
  <c r="D12" i="8"/>
  <c r="G16" i="8" s="1"/>
  <c r="D11" i="8"/>
  <c r="G15" i="8" s="1"/>
  <c r="D10" i="8"/>
  <c r="G14" i="8" s="1"/>
  <c r="D9" i="8"/>
  <c r="G13" i="8" s="1"/>
  <c r="D8" i="8"/>
  <c r="G12" i="8" s="1"/>
  <c r="D7" i="8"/>
  <c r="G11" i="8" s="1"/>
  <c r="D6" i="8"/>
  <c r="G10" i="8" s="1"/>
  <c r="D5" i="8"/>
  <c r="D4" i="8"/>
  <c r="G8" i="8" s="1"/>
  <c r="G11" i="7"/>
  <c r="G10" i="7"/>
  <c r="G9" i="7"/>
  <c r="G8" i="7"/>
  <c r="G7" i="7"/>
  <c r="G6" i="7"/>
  <c r="G13" i="7" s="1"/>
  <c r="G14" i="7" s="1"/>
  <c r="G5" i="7"/>
  <c r="F16" i="6"/>
  <c r="C16" i="6"/>
  <c r="F15" i="6"/>
  <c r="C15" i="6"/>
  <c r="F14" i="6"/>
  <c r="C14" i="6"/>
  <c r="F13" i="6"/>
  <c r="C13" i="6"/>
  <c r="F12" i="6"/>
  <c r="C12" i="6"/>
  <c r="F11" i="6"/>
  <c r="C11" i="6"/>
  <c r="F10" i="6"/>
  <c r="C10" i="6"/>
  <c r="F9" i="6"/>
  <c r="C9" i="6"/>
  <c r="F8" i="6"/>
  <c r="C8" i="6"/>
  <c r="F7" i="6"/>
  <c r="C7" i="6"/>
  <c r="F6" i="6"/>
  <c r="C6" i="6"/>
  <c r="F5" i="6"/>
  <c r="D40" i="5"/>
  <c r="E40" i="5" s="1"/>
  <c r="D39" i="5"/>
  <c r="E39" i="5" s="1"/>
  <c r="D38" i="5"/>
  <c r="E38" i="5" s="1"/>
  <c r="D37" i="5"/>
  <c r="E37" i="5" s="1"/>
  <c r="D36" i="5"/>
  <c r="E36" i="5" s="1"/>
  <c r="D35" i="5"/>
  <c r="E35" i="5" s="1"/>
  <c r="D34" i="5"/>
  <c r="E34" i="5" s="1"/>
  <c r="D33" i="5"/>
  <c r="E33" i="5" s="1"/>
  <c r="D32" i="5"/>
  <c r="E32" i="5" s="1"/>
  <c r="D31" i="5"/>
  <c r="E31" i="5" s="1"/>
  <c r="D30" i="5"/>
  <c r="E30" i="5" s="1"/>
  <c r="D29" i="5"/>
  <c r="E29" i="5" s="1"/>
  <c r="D28" i="5"/>
  <c r="E28" i="5" s="1"/>
  <c r="D27" i="5"/>
  <c r="E27" i="5" s="1"/>
  <c r="D26" i="5"/>
  <c r="E26" i="5" s="1"/>
  <c r="D25" i="5"/>
  <c r="E25" i="5" s="1"/>
  <c r="D24" i="5"/>
  <c r="E24" i="5" s="1"/>
  <c r="D23" i="5"/>
  <c r="E23" i="5" s="1"/>
  <c r="D22" i="5"/>
  <c r="E22" i="5" s="1"/>
  <c r="B11" i="5"/>
  <c r="B6" i="5"/>
  <c r="B13" i="5" s="1"/>
  <c r="B14" i="5" s="1"/>
  <c r="H23" i="4"/>
  <c r="H22" i="4"/>
  <c r="H21" i="4"/>
  <c r="H20" i="4"/>
  <c r="H19" i="4"/>
  <c r="H18" i="4"/>
  <c r="H17" i="4"/>
  <c r="H16" i="4"/>
  <c r="H15" i="4"/>
  <c r="H14" i="4"/>
  <c r="H13" i="4"/>
  <c r="H12" i="4"/>
  <c r="H11" i="4"/>
  <c r="H10" i="4"/>
  <c r="H9" i="4"/>
  <c r="H8" i="4"/>
  <c r="H7" i="4"/>
  <c r="H6" i="4"/>
  <c r="H5" i="4"/>
  <c r="H4" i="4"/>
  <c r="H16" i="3"/>
  <c r="I16" i="3" s="1"/>
  <c r="H15" i="3"/>
  <c r="I15" i="3" s="1"/>
  <c r="H14" i="3"/>
  <c r="I14" i="3" s="1"/>
  <c r="H13" i="3"/>
  <c r="I13" i="3" s="1"/>
  <c r="H12" i="3"/>
  <c r="I12" i="3" s="1"/>
  <c r="H11" i="3"/>
  <c r="I11" i="3" s="1"/>
  <c r="H10" i="3"/>
  <c r="I10" i="3" s="1"/>
  <c r="H9" i="3"/>
  <c r="I9" i="3" s="1"/>
  <c r="H8" i="3"/>
  <c r="I8" i="3" s="1"/>
  <c r="H7" i="3"/>
  <c r="I7" i="3" s="1"/>
  <c r="H6" i="3"/>
  <c r="I6" i="3" s="1"/>
  <c r="H5" i="3"/>
  <c r="K25" i="2"/>
  <c r="J25" i="2"/>
  <c r="K24" i="2"/>
  <c r="J24" i="2"/>
  <c r="K23" i="2"/>
  <c r="J23" i="2"/>
  <c r="K22" i="2"/>
  <c r="J22" i="2"/>
  <c r="K21" i="2"/>
  <c r="J21" i="2"/>
  <c r="K20" i="2"/>
  <c r="J20" i="2"/>
  <c r="K19" i="2"/>
  <c r="J19" i="2"/>
  <c r="K18" i="2"/>
  <c r="J18" i="2"/>
  <c r="K17" i="2"/>
  <c r="J17" i="2"/>
  <c r="K16" i="2"/>
  <c r="J16" i="2"/>
  <c r="K15" i="2"/>
  <c r="J15" i="2"/>
  <c r="K14" i="2"/>
  <c r="J14" i="2"/>
  <c r="K13" i="2"/>
  <c r="J13" i="2"/>
  <c r="K12" i="2"/>
  <c r="J12" i="2"/>
  <c r="K11" i="2"/>
  <c r="J11" i="2"/>
  <c r="K10" i="2"/>
  <c r="J10" i="2"/>
  <c r="K9" i="2"/>
  <c r="J9" i="2"/>
  <c r="K8" i="2"/>
  <c r="J8" i="2"/>
  <c r="K7" i="2"/>
  <c r="J7" i="2"/>
  <c r="K6" i="2"/>
  <c r="J6" i="2"/>
  <c r="B31" i="1"/>
  <c r="B26" i="1"/>
  <c r="E24" i="1"/>
  <c r="D24" i="1"/>
  <c r="E23" i="1"/>
  <c r="D23" i="1"/>
  <c r="E22" i="1"/>
  <c r="D22" i="1"/>
  <c r="E21" i="1"/>
  <c r="D21" i="1"/>
  <c r="E20" i="1"/>
  <c r="D20" i="1"/>
  <c r="E19" i="1"/>
  <c r="D19" i="1"/>
  <c r="E18" i="1"/>
  <c r="D18" i="1"/>
  <c r="E17" i="1"/>
  <c r="D17" i="1"/>
  <c r="H12" i="1"/>
  <c r="E12" i="1"/>
  <c r="D12" i="1"/>
  <c r="H11" i="1"/>
  <c r="E11" i="1"/>
  <c r="D11" i="1"/>
  <c r="E10" i="1"/>
  <c r="C10" i="1"/>
  <c r="B10" i="1"/>
  <c r="D10" i="1" s="1"/>
  <c r="C9" i="1"/>
  <c r="E9" i="1" s="1"/>
  <c r="B9" i="1"/>
  <c r="D9" i="1" s="1"/>
  <c r="H8" i="1"/>
  <c r="E8" i="1"/>
  <c r="D8" i="1"/>
  <c r="H7" i="1"/>
  <c r="E7" i="1"/>
  <c r="D7" i="1"/>
  <c r="H6" i="1"/>
  <c r="E6" i="1"/>
  <c r="D6" i="1"/>
  <c r="H9" i="1" l="1"/>
  <c r="H10" i="1"/>
  <c r="B30" i="1"/>
  <c r="B32" i="1" s="1"/>
  <c r="B33" i="1" s="1"/>
  <c r="G9" i="8"/>
  <c r="G24" i="8"/>
  <c r="G26" i="8"/>
  <c r="G48" i="8"/>
  <c r="H23" i="8"/>
  <c r="I23" i="8" s="1"/>
  <c r="H24" i="8"/>
  <c r="I24" i="8" s="1"/>
  <c r="H25" i="8"/>
  <c r="I25" i="8" s="1"/>
  <c r="H26" i="8"/>
  <c r="I26" i="8" s="1"/>
  <c r="H27" i="8"/>
  <c r="I27" i="8" s="1"/>
  <c r="H28" i="8"/>
  <c r="I28" i="8" s="1"/>
  <c r="H29" i="8"/>
  <c r="I29" i="8" s="1"/>
  <c r="H30" i="8"/>
  <c r="I30" i="8" s="1"/>
  <c r="H31" i="8"/>
  <c r="I31" i="8" s="1"/>
  <c r="H32" i="8"/>
  <c r="I32" i="8" s="1"/>
  <c r="H33" i="8"/>
  <c r="I33" i="8" s="1"/>
  <c r="H34" i="8"/>
  <c r="I34" i="8" s="1"/>
  <c r="H35" i="8"/>
  <c r="I35" i="8" s="1"/>
  <c r="H36" i="8"/>
  <c r="I36" i="8" s="1"/>
  <c r="H37" i="8"/>
  <c r="I37" i="8" s="1"/>
  <c r="H38" i="8"/>
  <c r="I38" i="8" s="1"/>
  <c r="H40" i="8"/>
  <c r="I40" i="8" s="1"/>
</calcChain>
</file>

<file path=xl/sharedStrings.xml><?xml version="1.0" encoding="utf-8"?>
<sst xmlns="http://schemas.openxmlformats.org/spreadsheetml/2006/main" count="270" uniqueCount="239">
  <si>
    <t>DFL MONITOR — BRENT COMPLEX</t>
  </si>
  <si>
    <t>Daily snapshot — all inputs in BLUE are manual entry, BLACK cells are formulas</t>
  </si>
  <si>
    <t>KEY PRICES</t>
  </si>
  <si>
    <t>Today</t>
  </si>
  <si>
    <t>Yesterday</t>
  </si>
  <si>
    <t>Chg</t>
  </si>
  <si>
    <t>Chg %</t>
  </si>
  <si>
    <t>5d Avg</t>
  </si>
  <si>
    <t>20d Avg</t>
  </si>
  <si>
    <t>vs 20d Avg</t>
  </si>
  <si>
    <t>Dated Brent (Platts 16:30)</t>
  </si>
  <si>
    <t>ICE Brent M1 Settlement</t>
  </si>
  <si>
    <t>ICE Brent M2 Settlement</t>
  </si>
  <si>
    <t>M1-M2 Timespread</t>
  </si>
  <si>
    <t>DFL (Realized)</t>
  </si>
  <si>
    <t>EFP (Fwd vs Futures)</t>
  </si>
  <si>
    <t>Brent 1st Line Swap</t>
  </si>
  <si>
    <t>CFD CURVE SNAPSHOT (Dated vs M2 Forward)</t>
  </si>
  <si>
    <t>Week</t>
  </si>
  <si>
    <t>CFD Value ($/bbl)</t>
  </si>
  <si>
    <t>Prev Week</t>
  </si>
  <si>
    <t>Implied Dated Strip</t>
  </si>
  <si>
    <t>Wk 1</t>
  </si>
  <si>
    <t>Wk 2</t>
  </si>
  <si>
    <t>Wk 3</t>
  </si>
  <si>
    <t>Wk 4</t>
  </si>
  <si>
    <t>Wk 5</t>
  </si>
  <si>
    <t>Wk 6</t>
  </si>
  <si>
    <t>Wk 7</t>
  </si>
  <si>
    <t>Wk 8</t>
  </si>
  <si>
    <t>CFD Curve Shape:</t>
  </si>
  <si>
    <t>IMPLIED vs REALIZED DFL</t>
  </si>
  <si>
    <t>Metric</t>
  </si>
  <si>
    <t>Value ($/bbl)</t>
  </si>
  <si>
    <t>Comment</t>
  </si>
  <si>
    <t>Realized DFL (today)</t>
  </si>
  <si>
    <t>Dated minus M1 settlement</t>
  </si>
  <si>
    <t>Implied DFL from CFDs</t>
  </si>
  <si>
    <t>Avg CFD adjusted for M1-M2</t>
  </si>
  <si>
    <t>DFL Mispricing</t>
  </si>
  <si>
    <t>Realized minus Implied</t>
  </si>
  <si>
    <t>Signal</t>
  </si>
  <si>
    <t>WEEKLY CFD CURVE — TIME SERIES</t>
  </si>
  <si>
    <t>Track the weekly CFD values over time to spot trends in physical tightness/softness</t>
  </si>
  <si>
    <t>Date</t>
  </si>
  <si>
    <t>Wk1</t>
  </si>
  <si>
    <t>Wk2</t>
  </si>
  <si>
    <t>Wk3</t>
  </si>
  <si>
    <t>Wk4</t>
  </si>
  <si>
    <t>Wk5</t>
  </si>
  <si>
    <t>Wk6</t>
  </si>
  <si>
    <t>Wk7</t>
  </si>
  <si>
    <t>Wk8</t>
  </si>
  <si>
    <t>Wk1-Wk8 Spread</t>
  </si>
  <si>
    <t>Curve Slope</t>
  </si>
  <si>
    <t>BFOET LOADING PROGRAM &amp; CARGO COUNT</t>
  </si>
  <si>
    <t>MONTHLY CARGO COUNTS BY GRADE</t>
  </si>
  <si>
    <t>Month</t>
  </si>
  <si>
    <t>Brent</t>
  </si>
  <si>
    <t>Forties</t>
  </si>
  <si>
    <t>Oseberg</t>
  </si>
  <si>
    <t>Ekofisk</t>
  </si>
  <si>
    <t>Troll</t>
  </si>
  <si>
    <t>WTI Midland (CIF)</t>
  </si>
  <si>
    <t>Total Cargoes</t>
  </si>
  <si>
    <t>vs Prev Month</t>
  </si>
  <si>
    <t>Jan-26</t>
  </si>
  <si>
    <t>Feb-26</t>
  </si>
  <si>
    <t>Mar-26</t>
  </si>
  <si>
    <t>Apr-26</t>
  </si>
  <si>
    <t>May-26</t>
  </si>
  <si>
    <t>Jun-26</t>
  </si>
  <si>
    <t>Jul-26</t>
  </si>
  <si>
    <t>Aug-26</t>
  </si>
  <si>
    <t>Sep-26</t>
  </si>
  <si>
    <t>Oct-26</t>
  </si>
  <si>
    <t>Nov-26</t>
  </si>
  <si>
    <t>Dec-26</t>
  </si>
  <si>
    <t>INDIVIDUAL CARGO LOG (current month)</t>
  </si>
  <si>
    <t>Cargo #</t>
  </si>
  <si>
    <t>Grade</t>
  </si>
  <si>
    <t>Loading Window</t>
  </si>
  <si>
    <t>Volume (kbbl)</t>
  </si>
  <si>
    <t>Buyer</t>
  </si>
  <si>
    <t>Diff to Dated</t>
  </si>
  <si>
    <t>Status</t>
  </si>
  <si>
    <t>Notes</t>
  </si>
  <si>
    <t>BFOET GRADE DIFFERENTIALS &amp; CHEAPEST-TO-DELIVER</t>
  </si>
  <si>
    <t>(Diff to Dated Strip, $/bbl — from Platts)</t>
  </si>
  <si>
    <t>Brent Ninian</t>
  </si>
  <si>
    <t>WTI Midland</t>
  </si>
  <si>
    <t>CTD Grade</t>
  </si>
  <si>
    <t>FORTIES QUALITY TRACKER</t>
  </si>
  <si>
    <t>Sulfur (ppm)</t>
  </si>
  <si>
    <t>De-escalator ($/bbl)</t>
  </si>
  <si>
    <t>Adjusted Forties Diff</t>
  </si>
  <si>
    <t>TRANSATLANTIC ARB — WTI MIDLAND TO NWE</t>
  </si>
  <si>
    <t>ARB CALCULATOR</t>
  </si>
  <si>
    <t>WTI MEH Price ($/bbl)</t>
  </si>
  <si>
    <t>Brent M1 ($/bbl)</t>
  </si>
  <si>
    <t>WTI-Brent Spread</t>
  </si>
  <si>
    <t>Freight USGC→Rotterdam ($/bbl)</t>
  </si>
  <si>
    <t>Insurance &amp; Losses ($/bbl)</t>
  </si>
  <si>
    <t>Quality Premium Midland vs Dated ($/bbl)</t>
  </si>
  <si>
    <t>Total Delivery Cost ($/bbl)</t>
  </si>
  <si>
    <t>Net Arb ($/bbl)</t>
  </si>
  <si>
    <t>Arb Status</t>
  </si>
  <si>
    <t>ARB HISTORY</t>
  </si>
  <si>
    <t>Freight</t>
  </si>
  <si>
    <t>Net Arb</t>
  </si>
  <si>
    <t>Arb Open?</t>
  </si>
  <si>
    <t>NWE REFINERY RUNS &amp; TURNAROUND SCHEDULE</t>
  </si>
  <si>
    <t>NWE CRUDE RUNS (kb/d)</t>
  </si>
  <si>
    <t>NWE Crude Runs</t>
  </si>
  <si>
    <t>vs Seasonal Avg</t>
  </si>
  <si>
    <t>3-2-1 Crack ($/bbl)</t>
  </si>
  <si>
    <t>Refinery Demand Signal</t>
  </si>
  <si>
    <t>TURNAROUND SCHEDULE</t>
  </si>
  <si>
    <t>Refinery</t>
  </si>
  <si>
    <t>Location</t>
  </si>
  <si>
    <t>Capacity (kb/d)</t>
  </si>
  <si>
    <t>Start Date</t>
  </si>
  <si>
    <t>End Date</t>
  </si>
  <si>
    <t>Duration (days)</t>
  </si>
  <si>
    <t>CDU Offline?</t>
  </si>
  <si>
    <t>DFL TRADE SIGNALS — COMPOSITE SCORECARD</t>
  </si>
  <si>
    <t>SIGNAL INPUTS (update daily)</t>
  </si>
  <si>
    <t>Current Value</t>
  </si>
  <si>
    <t>Threshold (Buy DFL)</t>
  </si>
  <si>
    <t>Threshold (Sell DFL)</t>
  </si>
  <si>
    <t>Score (-2 to +2)</t>
  </si>
  <si>
    <t>Weight</t>
  </si>
  <si>
    <t>Weighted Score</t>
  </si>
  <si>
    <t>1. CFD Curve Shape (Wk1-Wk8)</t>
  </si>
  <si>
    <t>Wk1 &gt; Wk8 (backwd)</t>
  </si>
  <si>
    <t>Wk1 &lt; Wk8 (contango)</t>
  </si>
  <si>
    <t>2. Cargo Count vs Seasonal</t>
  </si>
  <si>
    <t>Below avg = tight</t>
  </si>
  <si>
    <t>Above avg = loose</t>
  </si>
  <si>
    <t>3. NWE Refinery Runs Trend</t>
  </si>
  <si>
    <t>Rising runs</t>
  </si>
  <si>
    <t>Falling runs</t>
  </si>
  <si>
    <t>4. Transatlantic Arb Status</t>
  </si>
  <si>
    <t>Arb closed</t>
  </si>
  <si>
    <t>Arb wide open</t>
  </si>
  <si>
    <t>5. Grade Switch Risk</t>
  </si>
  <si>
    <t>CTD changing</t>
  </si>
  <si>
    <t>CTD stable</t>
  </si>
  <si>
    <t>6. DFL vs 20d Moving Avg</t>
  </si>
  <si>
    <t>Below 20d</t>
  </si>
  <si>
    <t>Above 20d</t>
  </si>
  <si>
    <t>7. 3-2-1 Crack Spread</t>
  </si>
  <si>
    <t>Cracks rising</t>
  </si>
  <si>
    <t>Cracks falling</t>
  </si>
  <si>
    <t>COMPOSITE SCORE</t>
  </si>
  <si>
    <t>SIGNAL</t>
  </si>
  <si>
    <t>SCORING GUIDE</t>
  </si>
  <si>
    <t>+2</t>
  </si>
  <si>
    <t>Strongly supports buying DFL (physical tightening)</t>
  </si>
  <si>
    <t>+1</t>
  </si>
  <si>
    <t>Mildly supports buying DFL</t>
  </si>
  <si>
    <t>0</t>
  </si>
  <si>
    <t>Neutral / no signal</t>
  </si>
  <si>
    <t>-1</t>
  </si>
  <si>
    <t>Mildly supports selling DFL (physical softening)</t>
  </si>
  <si>
    <t>-2</t>
  </si>
  <si>
    <t>Strongly supports selling DFL</t>
  </si>
  <si>
    <t>HISTORICAL DFL TIME SERIES</t>
  </si>
  <si>
    <t>Dated Brent</t>
  </si>
  <si>
    <t>ICE M1</t>
  </si>
  <si>
    <t>DFL</t>
  </si>
  <si>
    <t>M1-M2</t>
  </si>
  <si>
    <t>EFP</t>
  </si>
  <si>
    <t>5d MA</t>
  </si>
  <si>
    <t>20d MA</t>
  </si>
  <si>
    <t>DFL Z-Score (20d)</t>
  </si>
  <si>
    <t>BRENT COMPLEX — QUICK REFERENCE</t>
  </si>
  <si>
    <t>INSTRUMENT MAP</t>
  </si>
  <si>
    <t>Instrument</t>
  </si>
  <si>
    <t>Definition</t>
  </si>
  <si>
    <t>Settlement</t>
  </si>
  <si>
    <t>Key Use</t>
  </si>
  <si>
    <t>Physical cargoes with loading dates (10d-1m fwd)</t>
  </si>
  <si>
    <t>Physical delivery</t>
  </si>
  <si>
    <t>Global crude pricing benchmark</t>
  </si>
  <si>
    <t>Forward Brent (Cash BFOE)</t>
  </si>
  <si>
    <t>600kb cargo contracts, 1-4 months ahead</t>
  </si>
  <si>
    <t>Physical (EFP)</t>
  </si>
  <si>
    <t>Physical market price discovery</t>
  </si>
  <si>
    <t>ICE Brent Futures</t>
  </si>
  <si>
    <t>Exchange-traded, 1000bbl lots</t>
  </si>
  <si>
    <t>Cash-settled vs ICE Brent Index</t>
  </si>
  <si>
    <t>Hedging &amp; speculation</t>
  </si>
  <si>
    <t>CFD (weekly)</t>
  </si>
  <si>
    <t>Dated Brent vs M2 Forward, weekly buckets</t>
  </si>
  <si>
    <t>Cash-settled</t>
  </si>
  <si>
    <t>Hedge dated exposure, build fwd curve</t>
  </si>
  <si>
    <t>DFL / BFL</t>
  </si>
  <si>
    <t>Dated Brent vs M1 ICE Futures</t>
  </si>
  <si>
    <t>Hedge basis risk, spec on physical premium</t>
  </si>
  <si>
    <t>Premium of Forward over Futures</t>
  </si>
  <si>
    <t>Physical delivery mechanism</t>
  </si>
  <si>
    <t>Futures→physical conversion</t>
  </si>
  <si>
    <t>Brent Partials</t>
  </si>
  <si>
    <t>100kb forward contracts (6 = 1 cargo)</t>
  </si>
  <si>
    <t>Physical (if 6 partials aggregate)</t>
  </si>
  <si>
    <t>Smaller lot access to fwd market</t>
  </si>
  <si>
    <t>PRICE CONSTRUCTION WATERFALL</t>
  </si>
  <si>
    <t>Step</t>
  </si>
  <si>
    <t>Description</t>
  </si>
  <si>
    <t>Formula</t>
  </si>
  <si>
    <t>1. Forward Brent</t>
  </si>
  <si>
    <t>Monthly BFOE forward price</t>
  </si>
  <si>
    <t>Traded in OTC market</t>
  </si>
  <si>
    <t>2. + Weekly CFDs</t>
  </si>
  <si>
    <t>Forward Dated Brent strip</t>
  </si>
  <si>
    <t>Forward Brent + CFD per week</t>
  </si>
  <si>
    <t>3. Grade Diffs</t>
  </si>
  <si>
    <t>Each BFOET grade priced vs strip</t>
  </si>
  <si>
    <t>Assessed by Platts in MOC window</t>
  </si>
  <si>
    <t>4. = Dated Brent</t>
  </si>
  <si>
    <t>Most competitive (cheapest) grade</t>
  </si>
  <si>
    <t>MIN(Brent, Forties, Oseberg, Ekofisk, Troll, Midland)</t>
  </si>
  <si>
    <t>5. DFL</t>
  </si>
  <si>
    <t>Physical premium vs futures</t>
  </si>
  <si>
    <t>Dated Brent − ICE M1 Futures</t>
  </si>
  <si>
    <t>KEY DAILY TIMINGS (London)</t>
  </si>
  <si>
    <t>Time</t>
  </si>
  <si>
    <t>Event</t>
  </si>
  <si>
    <t>16:00</t>
  </si>
  <si>
    <t>Platts MOC window opens — bids/offers for BFOET grades</t>
  </si>
  <si>
    <t>16:25</t>
  </si>
  <si>
    <t>Last modification of bids/offers</t>
  </si>
  <si>
    <t>16:30</t>
  </si>
  <si>
    <t>Platts Dated Brent assessment published</t>
  </si>
  <si>
    <t>19:30</t>
  </si>
  <si>
    <t>ICE Brent futures settlement</t>
  </si>
  <si>
    <t>Thursday</t>
  </si>
  <si>
    <t>Prompt CFD rolls to next week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</si>
</sst>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dd\-mmm\-yy"/>
    <numFmt numFmtId="166" formatCode="0.000"/>
  </numFmts>
  <fonts count="17" x14ac:knownFonts="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i/>
      <sz val="9"/>
      <color rgb="FF666666"/>
      <name val="Arial"/>
      <charset val="1"/>
    </font>
    <font>
      <b/>
      <sz val="12"/>
      <color rgb="FF1B2A4A"/>
      <name val="Arial"/>
      <charset val="1"/>
    </font>
    <font>
      <b/>
      <sz val="11"/>
      <color rgb="FFFFFFFF"/>
      <name val="Arial"/>
      <charset val="1"/>
    </font>
    <font>
      <sz val="10"/>
      <color rgb="FF333333"/>
      <name val="Arial"/>
      <charset val="1"/>
    </font>
    <font>
      <sz val="10"/>
      <color rgb="FF0000FF"/>
      <name val="Arial"/>
      <charset val="1"/>
    </font>
    <font>
      <sz val="10"/>
      <color rgb="FF000000"/>
      <name val="Arial"/>
      <charset val="1"/>
    </font>
    <font>
      <b/>
      <sz val="10"/>
      <color rgb="FF1B2A4A"/>
      <name val="Arial"/>
      <charset val="1"/>
    </font>
    <font>
      <b/>
      <sz val="10"/>
      <name val="Arial"/>
      <charset val="1"/>
    </font>
    <font>
      <i/>
      <sz val="9"/>
      <color rgb="FF888888"/>
      <name val="Arial"/>
      <charset val="1"/>
    </font>
    <font>
      <b/>
      <sz val="10"/>
      <color rgb="FF000000"/>
      <name val="Arial"/>
      <charset val="1"/>
    </font>
    <font>
      <sz val="9"/>
      <color rgb="FF2E7D32"/>
      <name val="Arial"/>
      <charset val="1"/>
    </font>
    <font>
      <sz val="9"/>
      <color rgb="FFC62828"/>
      <name val="Arial"/>
      <charset val="1"/>
    </font>
    <font>
      <b/>
      <sz val="14"/>
      <name val="Arial"/>
      <charset val="1"/>
    </font>
    <font>
      <b/>
      <sz val="11"/>
      <name val="Arial"/>
      <charset val="1"/>
    </font>
    <font>
      <sz val="9"/>
      <name val="Arial"/>
      <charset val="1"/>
    </font>
  </fonts>
  <fills count="6">
    <fill>
      <patternFill patternType="none"/>
    </fill>
    <fill>
      <patternFill patternType="gray125"/>
    </fill>
    <fill>
      <patternFill patternType="solid">
        <fgColor rgb="FF1B2A4A"/>
        <bgColor rgb="FF333333"/>
      </patternFill>
    </fill>
    <fill>
      <patternFill patternType="solid">
        <fgColor rgb="FFFFF8E1"/>
        <bgColor rgb="FFFFFFFF"/>
      </patternFill>
    </fill>
    <fill>
      <patternFill patternType="solid">
        <fgColor rgb="FFFFFFFF"/>
        <bgColor rgb="FFFFF8E1"/>
      </patternFill>
    </fill>
    <fill>
      <patternFill patternType="solid">
        <fgColor rgb="FF2D4A7A"/>
        <bgColor rgb="FF333333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6" fillId="0" borderId="0" xfId="0" applyFont="1"/>
    <xf numFmtId="0" fontId="1" fillId="2" borderId="0" xfId="0" applyFont="1" applyFill="1" applyAlignment="1">
      <alignment horizontal="center"/>
    </xf>
    <xf numFmtId="0" fontId="9" fillId="0" borderId="0" xfId="0" applyFont="1"/>
    <xf numFmtId="0" fontId="3" fillId="0" borderId="0" xfId="0" applyFont="1"/>
    <xf numFmtId="0" fontId="2" fillId="0" borderId="0" xfId="0" applyFont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/>
    <xf numFmtId="2" fontId="6" fillId="3" borderId="1" xfId="0" applyNumberFormat="1" applyFont="1" applyFill="1" applyBorder="1" applyAlignment="1">
      <alignment horizontal="center"/>
    </xf>
    <xf numFmtId="2" fontId="7" fillId="4" borderId="1" xfId="0" applyNumberFormat="1" applyFont="1" applyFill="1" applyBorder="1" applyAlignment="1">
      <alignment horizontal="center"/>
    </xf>
    <xf numFmtId="164" fontId="7" fillId="4" borderId="1" xfId="0" applyNumberFormat="1" applyFont="1" applyFill="1" applyBorder="1" applyAlignment="1">
      <alignment horizontal="center"/>
    </xf>
    <xf numFmtId="2" fontId="7" fillId="3" borderId="1" xfId="0" applyNumberFormat="1" applyFont="1" applyFill="1" applyBorder="1" applyAlignment="1">
      <alignment horizontal="center"/>
    </xf>
    <xf numFmtId="0" fontId="8" fillId="0" borderId="0" xfId="0" applyFont="1"/>
    <xf numFmtId="0" fontId="10" fillId="0" borderId="1" xfId="0" applyFont="1" applyBorder="1"/>
    <xf numFmtId="49" fontId="7" fillId="4" borderId="1" xfId="0" applyNumberFormat="1" applyFont="1" applyFill="1" applyBorder="1" applyAlignment="1">
      <alignment horizontal="center"/>
    </xf>
    <xf numFmtId="0" fontId="2" fillId="0" borderId="0" xfId="0" applyFont="1"/>
    <xf numFmtId="165" fontId="6" fillId="3" borderId="1" xfId="0" applyNumberFormat="1" applyFont="1" applyFill="1" applyBorder="1" applyAlignment="1">
      <alignment horizontal="center"/>
    </xf>
    <xf numFmtId="166" fontId="7" fillId="4" borderId="1" xfId="0" applyNumberFormat="1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7" fillId="4" borderId="1" xfId="0" applyFont="1" applyFill="1" applyBorder="1" applyAlignment="1">
      <alignment horizontal="center"/>
    </xf>
    <xf numFmtId="0" fontId="10" fillId="0" borderId="0" xfId="0" applyFont="1"/>
    <xf numFmtId="0" fontId="11" fillId="4" borderId="1" xfId="0" applyFont="1" applyFill="1" applyBorder="1" applyAlignment="1">
      <alignment horizontal="center"/>
    </xf>
    <xf numFmtId="49" fontId="0" fillId="0" borderId="0" xfId="0" applyNumberFormat="1"/>
    <xf numFmtId="3" fontId="6" fillId="3" borderId="1" xfId="0" applyNumberFormat="1" applyFont="1" applyFill="1" applyBorder="1" applyAlignment="1">
      <alignment horizontal="center"/>
    </xf>
    <xf numFmtId="3" fontId="7" fillId="4" borderId="1" xfId="0" applyNumberFormat="1" applyFont="1" applyFill="1" applyBorder="1" applyAlignment="1">
      <alignment horizontal="center"/>
    </xf>
    <xf numFmtId="0" fontId="12" fillId="0" borderId="1" xfId="0" applyFont="1" applyBorder="1"/>
    <xf numFmtId="0" fontId="13" fillId="0" borderId="1" xfId="0" applyFont="1" applyBorder="1"/>
    <xf numFmtId="9" fontId="7" fillId="4" borderId="1" xfId="0" applyNumberFormat="1" applyFont="1" applyFill="1" applyBorder="1" applyAlignment="1">
      <alignment horizontal="center"/>
    </xf>
    <xf numFmtId="0" fontId="3" fillId="0" borderId="1" xfId="0" applyFont="1" applyBorder="1"/>
    <xf numFmtId="2" fontId="14" fillId="0" borderId="1" xfId="0" applyNumberFormat="1" applyFont="1" applyBorder="1"/>
    <xf numFmtId="0" fontId="15" fillId="0" borderId="0" xfId="0" applyFont="1"/>
    <xf numFmtId="0" fontId="9" fillId="0" borderId="1" xfId="0" applyFont="1" applyBorder="1"/>
    <xf numFmtId="0" fontId="4" fillId="2" borderId="1" xfId="0" applyFont="1" applyFill="1" applyBorder="1"/>
    <xf numFmtId="0" fontId="16" fillId="0" borderId="1" xfId="0" applyFont="1" applyBorder="1"/>
    <xf numFmtId="0" fontId="4" fillId="5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2E7D32"/>
      <rgbColor rgb="FF000080"/>
      <rgbColor rgb="FF808000"/>
      <rgbColor rgb="FF800080"/>
      <rgbColor rgb="FF008080"/>
      <rgbColor rgb="FFCCCCCC"/>
      <rgbColor rgb="FF888888"/>
      <rgbColor rgb="FF9999FF"/>
      <rgbColor rgb="FF9C27B0"/>
      <rgbColor rgb="FFFFF8E1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CD4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800"/>
      <rgbColor rgb="FFF44336"/>
      <rgbColor rgb="FF666666"/>
      <rgbColor rgb="FF607D8B"/>
      <rgbColor rgb="FF1B2A4A"/>
      <rgbColor rgb="FF4CAF50"/>
      <rgbColor rgb="FF003300"/>
      <rgbColor rgb="FF333300"/>
      <rgbColor rgb="FFC62828"/>
      <rgbColor rgb="FF795548"/>
      <rgbColor rgb="FF2D4A7A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B2A4A"/>
  </sheetPr>
  <dimension ref="A1:H33"/>
  <sheetViews>
    <sheetView zoomScaleNormal="100" workbookViewId="0">
      <pane ySplit="2" topLeftCell="A11" activePane="bottomLeft" state="frozen"/>
      <selection pane="bottomLeft" activeCell="C30" sqref="C30"/>
    </sheetView>
  </sheetViews>
  <sheetFormatPr defaultColWidth="8.6640625" defaultRowHeight="14.4" x14ac:dyDescent="0.3"/>
  <cols>
    <col min="1" max="1" width="32" customWidth="1"/>
    <col min="2" max="8" width="16" customWidth="1"/>
  </cols>
  <sheetData>
    <row r="1" spans="1:8" ht="39.75" customHeight="1" x14ac:dyDescent="0.3">
      <c r="A1" s="6" t="s">
        <v>0</v>
      </c>
      <c r="B1" s="6"/>
      <c r="C1" s="6"/>
      <c r="D1" s="6"/>
      <c r="E1" s="6"/>
      <c r="F1" s="6"/>
      <c r="G1" s="6"/>
      <c r="H1" s="6"/>
    </row>
    <row r="2" spans="1:8" x14ac:dyDescent="0.3">
      <c r="A2" s="5" t="s">
        <v>1</v>
      </c>
      <c r="B2" s="5"/>
      <c r="C2" s="5"/>
      <c r="D2" s="5"/>
      <c r="E2" s="5"/>
      <c r="F2" s="5"/>
      <c r="G2" s="5"/>
      <c r="H2" s="5"/>
    </row>
    <row r="4" spans="1:8" ht="15.6" x14ac:dyDescent="0.3">
      <c r="A4" s="4" t="s">
        <v>2</v>
      </c>
      <c r="B4" s="4"/>
    </row>
    <row r="5" spans="1:8" x14ac:dyDescent="0.3">
      <c r="A5" s="8"/>
      <c r="B5" s="8" t="s">
        <v>3</v>
      </c>
      <c r="C5" s="8" t="s">
        <v>4</v>
      </c>
      <c r="D5" s="8" t="s">
        <v>5</v>
      </c>
      <c r="E5" s="8" t="s">
        <v>6</v>
      </c>
      <c r="F5" s="8" t="s">
        <v>7</v>
      </c>
      <c r="G5" s="8" t="s">
        <v>8</v>
      </c>
      <c r="H5" s="8" t="s">
        <v>9</v>
      </c>
    </row>
    <row r="6" spans="1:8" x14ac:dyDescent="0.3">
      <c r="A6" s="9" t="s">
        <v>10</v>
      </c>
      <c r="B6" s="10"/>
      <c r="C6" s="10"/>
      <c r="D6" s="11">
        <f t="shared" ref="D6:D12" si="0">B6-C6</f>
        <v>0</v>
      </c>
      <c r="E6" s="12" t="str">
        <f t="shared" ref="E6:E12" si="1">IF(C6&lt;&gt;0,D6/ABS(C6),"-")</f>
        <v>-</v>
      </c>
      <c r="F6" s="10"/>
      <c r="G6" s="10"/>
      <c r="H6" s="11">
        <f t="shared" ref="H6:H12" si="2">B6-G6</f>
        <v>0</v>
      </c>
    </row>
    <row r="7" spans="1:8" x14ac:dyDescent="0.3">
      <c r="A7" s="9" t="s">
        <v>11</v>
      </c>
      <c r="B7" s="10"/>
      <c r="C7" s="10"/>
      <c r="D7" s="11">
        <f t="shared" si="0"/>
        <v>0</v>
      </c>
      <c r="E7" s="12" t="str">
        <f t="shared" si="1"/>
        <v>-</v>
      </c>
      <c r="F7" s="10"/>
      <c r="G7" s="10"/>
      <c r="H7" s="11">
        <f t="shared" si="2"/>
        <v>0</v>
      </c>
    </row>
    <row r="8" spans="1:8" x14ac:dyDescent="0.3">
      <c r="A8" s="9" t="s">
        <v>12</v>
      </c>
      <c r="B8" s="10"/>
      <c r="C8" s="10"/>
      <c r="D8" s="11">
        <f t="shared" si="0"/>
        <v>0</v>
      </c>
      <c r="E8" s="12" t="str">
        <f t="shared" si="1"/>
        <v>-</v>
      </c>
      <c r="F8" s="10"/>
      <c r="G8" s="10"/>
      <c r="H8" s="11">
        <f t="shared" si="2"/>
        <v>0</v>
      </c>
    </row>
    <row r="9" spans="1:8" x14ac:dyDescent="0.3">
      <c r="A9" s="9" t="s">
        <v>13</v>
      </c>
      <c r="B9" s="10">
        <f>B7-B8</f>
        <v>0</v>
      </c>
      <c r="C9" s="10">
        <f>C7-C8</f>
        <v>0</v>
      </c>
      <c r="D9" s="11">
        <f t="shared" si="0"/>
        <v>0</v>
      </c>
      <c r="E9" s="12" t="str">
        <f t="shared" si="1"/>
        <v>-</v>
      </c>
      <c r="F9" s="10"/>
      <c r="G9" s="10"/>
      <c r="H9" s="11">
        <f t="shared" si="2"/>
        <v>0</v>
      </c>
    </row>
    <row r="10" spans="1:8" x14ac:dyDescent="0.3">
      <c r="A10" s="9" t="s">
        <v>14</v>
      </c>
      <c r="B10" s="13">
        <f>B6-B7</f>
        <v>0</v>
      </c>
      <c r="C10" s="13">
        <f>C6-C7</f>
        <v>0</v>
      </c>
      <c r="D10" s="11">
        <f t="shared" si="0"/>
        <v>0</v>
      </c>
      <c r="E10" s="12" t="str">
        <f t="shared" si="1"/>
        <v>-</v>
      </c>
      <c r="F10" s="10"/>
      <c r="G10" s="10"/>
      <c r="H10" s="11">
        <f t="shared" si="2"/>
        <v>0</v>
      </c>
    </row>
    <row r="11" spans="1:8" x14ac:dyDescent="0.3">
      <c r="A11" s="9" t="s">
        <v>15</v>
      </c>
      <c r="B11" s="10"/>
      <c r="C11" s="10"/>
      <c r="D11" s="11">
        <f t="shared" si="0"/>
        <v>0</v>
      </c>
      <c r="E11" s="12" t="str">
        <f t="shared" si="1"/>
        <v>-</v>
      </c>
      <c r="F11" s="10"/>
      <c r="G11" s="10"/>
      <c r="H11" s="11">
        <f t="shared" si="2"/>
        <v>0</v>
      </c>
    </row>
    <row r="12" spans="1:8" x14ac:dyDescent="0.3">
      <c r="A12" s="9" t="s">
        <v>16</v>
      </c>
      <c r="B12" s="10"/>
      <c r="C12" s="10"/>
      <c r="D12" s="11">
        <f t="shared" si="0"/>
        <v>0</v>
      </c>
      <c r="E12" s="12" t="str">
        <f t="shared" si="1"/>
        <v>-</v>
      </c>
      <c r="F12" s="10"/>
      <c r="G12" s="10"/>
      <c r="H12" s="11">
        <f t="shared" si="2"/>
        <v>0</v>
      </c>
    </row>
    <row r="15" spans="1:8" ht="15.6" x14ac:dyDescent="0.3">
      <c r="A15" s="4" t="s">
        <v>17</v>
      </c>
      <c r="B15" s="4"/>
      <c r="C15" s="4"/>
      <c r="D15" s="4"/>
      <c r="E15" s="4"/>
    </row>
    <row r="16" spans="1:8" ht="27.6" x14ac:dyDescent="0.3">
      <c r="A16" s="8" t="s">
        <v>18</v>
      </c>
      <c r="B16" s="8" t="s">
        <v>19</v>
      </c>
      <c r="C16" s="8" t="s">
        <v>20</v>
      </c>
      <c r="D16" s="8" t="s">
        <v>5</v>
      </c>
      <c r="E16" s="8" t="s">
        <v>21</v>
      </c>
    </row>
    <row r="17" spans="1:5" x14ac:dyDescent="0.3">
      <c r="A17" s="9" t="s">
        <v>22</v>
      </c>
      <c r="B17" s="10"/>
      <c r="C17" s="10"/>
      <c r="D17" s="11">
        <f t="shared" ref="D17:D24" si="3">B17-C17</f>
        <v>0</v>
      </c>
      <c r="E17" s="11">
        <f t="shared" ref="E17:E24" si="4">B$8+B17</f>
        <v>0</v>
      </c>
    </row>
    <row r="18" spans="1:5" x14ac:dyDescent="0.3">
      <c r="A18" s="9" t="s">
        <v>23</v>
      </c>
      <c r="B18" s="10"/>
      <c r="C18" s="10"/>
      <c r="D18" s="11">
        <f t="shared" si="3"/>
        <v>0</v>
      </c>
      <c r="E18" s="11">
        <f t="shared" si="4"/>
        <v>0</v>
      </c>
    </row>
    <row r="19" spans="1:5" x14ac:dyDescent="0.3">
      <c r="A19" s="9" t="s">
        <v>24</v>
      </c>
      <c r="B19" s="10"/>
      <c r="C19" s="10"/>
      <c r="D19" s="11">
        <f t="shared" si="3"/>
        <v>0</v>
      </c>
      <c r="E19" s="11">
        <f t="shared" si="4"/>
        <v>0</v>
      </c>
    </row>
    <row r="20" spans="1:5" x14ac:dyDescent="0.3">
      <c r="A20" s="9" t="s">
        <v>25</v>
      </c>
      <c r="B20" s="10"/>
      <c r="C20" s="10"/>
      <c r="D20" s="11">
        <f t="shared" si="3"/>
        <v>0</v>
      </c>
      <c r="E20" s="11">
        <f t="shared" si="4"/>
        <v>0</v>
      </c>
    </row>
    <row r="21" spans="1:5" x14ac:dyDescent="0.3">
      <c r="A21" s="9" t="s">
        <v>26</v>
      </c>
      <c r="B21" s="10"/>
      <c r="C21" s="10"/>
      <c r="D21" s="11">
        <f t="shared" si="3"/>
        <v>0</v>
      </c>
      <c r="E21" s="11">
        <f t="shared" si="4"/>
        <v>0</v>
      </c>
    </row>
    <row r="22" spans="1:5" x14ac:dyDescent="0.3">
      <c r="A22" s="9" t="s">
        <v>27</v>
      </c>
      <c r="B22" s="10"/>
      <c r="C22" s="10"/>
      <c r="D22" s="11">
        <f t="shared" si="3"/>
        <v>0</v>
      </c>
      <c r="E22" s="11">
        <f t="shared" si="4"/>
        <v>0</v>
      </c>
    </row>
    <row r="23" spans="1:5" x14ac:dyDescent="0.3">
      <c r="A23" s="9" t="s">
        <v>28</v>
      </c>
      <c r="B23" s="10"/>
      <c r="C23" s="10"/>
      <c r="D23" s="11">
        <f t="shared" si="3"/>
        <v>0</v>
      </c>
      <c r="E23" s="11">
        <f t="shared" si="4"/>
        <v>0</v>
      </c>
    </row>
    <row r="24" spans="1:5" x14ac:dyDescent="0.3">
      <c r="A24" s="9" t="s">
        <v>29</v>
      </c>
      <c r="B24" s="10"/>
      <c r="C24" s="10"/>
      <c r="D24" s="11">
        <f t="shared" si="3"/>
        <v>0</v>
      </c>
      <c r="E24" s="11">
        <f t="shared" si="4"/>
        <v>0</v>
      </c>
    </row>
    <row r="26" spans="1:5" x14ac:dyDescent="0.3">
      <c r="A26" s="14" t="s">
        <v>30</v>
      </c>
      <c r="B26" s="3" t="str">
        <f>IF(B17&gt;B24,"BACKWARDATED (physical tight)",IF(B17&lt;B24,"CONTANGO (physical soft)","FLAT"))</f>
        <v>FLAT</v>
      </c>
      <c r="C26" s="3"/>
      <c r="D26" s="3"/>
      <c r="E26" s="3"/>
    </row>
    <row r="28" spans="1:5" ht="15.6" x14ac:dyDescent="0.3">
      <c r="A28" s="4" t="s">
        <v>31</v>
      </c>
      <c r="B28" s="4"/>
      <c r="C28" s="4"/>
      <c r="D28" s="4"/>
    </row>
    <row r="29" spans="1:5" x14ac:dyDescent="0.3">
      <c r="A29" s="8" t="s">
        <v>32</v>
      </c>
      <c r="B29" s="8" t="s">
        <v>33</v>
      </c>
      <c r="C29" s="8" t="s">
        <v>34</v>
      </c>
      <c r="D29" s="8"/>
    </row>
    <row r="30" spans="1:5" x14ac:dyDescent="0.3">
      <c r="A30" s="9" t="s">
        <v>35</v>
      </c>
      <c r="B30" s="11">
        <f>B10</f>
        <v>0</v>
      </c>
      <c r="C30" s="15" t="s">
        <v>36</v>
      </c>
    </row>
    <row r="31" spans="1:5" x14ac:dyDescent="0.3">
      <c r="A31" s="9" t="s">
        <v>37</v>
      </c>
      <c r="B31" s="11" t="str">
        <f>IFERROR(AVERAGE(B17:B24)-(B8-B7),"")</f>
        <v/>
      </c>
      <c r="C31" s="15" t="s">
        <v>38</v>
      </c>
    </row>
    <row r="32" spans="1:5" x14ac:dyDescent="0.3">
      <c r="A32" s="9" t="s">
        <v>39</v>
      </c>
      <c r="B32" s="11" t="str">
        <f>IFERROR(B30-B31,"")</f>
        <v/>
      </c>
      <c r="C32" s="15" t="s">
        <v>40</v>
      </c>
    </row>
    <row r="33" spans="1:3" x14ac:dyDescent="0.3">
      <c r="A33" s="9" t="s">
        <v>41</v>
      </c>
      <c r="B33" s="16" t="str">
        <f>IFERROR(IF(ABS(B32)&gt;0.3,IF(B32&gt;0,"RICH — consider selling","CHEAP — consider buying"),"FAIR VALUE"),"")</f>
        <v/>
      </c>
      <c r="C33" s="15"/>
    </row>
  </sheetData>
  <mergeCells count="6">
    <mergeCell ref="A28:D28"/>
    <mergeCell ref="A1:H1"/>
    <mergeCell ref="A2:H2"/>
    <mergeCell ref="A4:B4"/>
    <mergeCell ref="A15:E15"/>
    <mergeCell ref="B26:E26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D4A7A"/>
  </sheetPr>
  <dimension ref="A1:K25"/>
  <sheetViews>
    <sheetView zoomScaleNormal="100" workbookViewId="0">
      <pane ySplit="5" topLeftCell="A6" activePane="bottomLeft" state="frozen"/>
      <selection pane="bottomLeft" activeCell="J6" sqref="J6"/>
    </sheetView>
  </sheetViews>
  <sheetFormatPr defaultColWidth="8.6640625" defaultRowHeight="14.4" x14ac:dyDescent="0.3"/>
  <cols>
    <col min="1" max="1" width="14" customWidth="1"/>
    <col min="2" max="11" width="12" customWidth="1"/>
  </cols>
  <sheetData>
    <row r="1" spans="1:11" ht="34.5" customHeight="1" x14ac:dyDescent="0.3">
      <c r="A1" s="2" t="s">
        <v>42</v>
      </c>
      <c r="B1" s="2"/>
      <c r="C1" s="2"/>
      <c r="D1" s="2"/>
      <c r="E1" s="2"/>
      <c r="F1" s="2"/>
      <c r="G1" s="2"/>
      <c r="H1" s="2"/>
      <c r="I1" s="2"/>
      <c r="J1" s="2"/>
    </row>
    <row r="3" spans="1:11" x14ac:dyDescent="0.3">
      <c r="A3" s="17" t="s">
        <v>43</v>
      </c>
    </row>
    <row r="5" spans="1:11" ht="27.6" x14ac:dyDescent="0.3">
      <c r="A5" s="8" t="s">
        <v>44</v>
      </c>
      <c r="B5" s="8" t="s">
        <v>45</v>
      </c>
      <c r="C5" s="8" t="s">
        <v>46</v>
      </c>
      <c r="D5" s="8" t="s">
        <v>47</v>
      </c>
      <c r="E5" s="8" t="s">
        <v>48</v>
      </c>
      <c r="F5" s="8" t="s">
        <v>49</v>
      </c>
      <c r="G5" s="8" t="s">
        <v>50</v>
      </c>
      <c r="H5" s="8" t="s">
        <v>51</v>
      </c>
      <c r="I5" s="8" t="s">
        <v>52</v>
      </c>
      <c r="J5" s="8" t="s">
        <v>53</v>
      </c>
      <c r="K5" s="8" t="s">
        <v>54</v>
      </c>
    </row>
    <row r="6" spans="1:11" x14ac:dyDescent="0.3">
      <c r="A6" s="18"/>
      <c r="B6" s="10"/>
      <c r="C6" s="10"/>
      <c r="D6" s="10"/>
      <c r="E6" s="10"/>
      <c r="F6" s="10"/>
      <c r="G6" s="10"/>
      <c r="H6" s="10"/>
      <c r="I6" s="10"/>
      <c r="J6" s="11">
        <f t="shared" ref="J6:J25" si="0">B6-I6</f>
        <v>0</v>
      </c>
      <c r="K6" s="19" t="str">
        <f t="shared" ref="K6:K25" si="1">IF(COUNT(B6:I6)&gt;=2,(I6-B6)/7,"-")</f>
        <v>-</v>
      </c>
    </row>
    <row r="7" spans="1:11" x14ac:dyDescent="0.3">
      <c r="A7" s="18"/>
      <c r="B7" s="10"/>
      <c r="C7" s="10"/>
      <c r="D7" s="10"/>
      <c r="E7" s="10"/>
      <c r="F7" s="10"/>
      <c r="G7" s="10"/>
      <c r="H7" s="10"/>
      <c r="I7" s="10"/>
      <c r="J7" s="11">
        <f t="shared" si="0"/>
        <v>0</v>
      </c>
      <c r="K7" s="19" t="str">
        <f t="shared" si="1"/>
        <v>-</v>
      </c>
    </row>
    <row r="8" spans="1:11" x14ac:dyDescent="0.3">
      <c r="A8" s="18"/>
      <c r="B8" s="10"/>
      <c r="C8" s="10"/>
      <c r="D8" s="10"/>
      <c r="E8" s="10"/>
      <c r="F8" s="10"/>
      <c r="G8" s="10"/>
      <c r="H8" s="10"/>
      <c r="I8" s="10"/>
      <c r="J8" s="11">
        <f t="shared" si="0"/>
        <v>0</v>
      </c>
      <c r="K8" s="19" t="str">
        <f t="shared" si="1"/>
        <v>-</v>
      </c>
    </row>
    <row r="9" spans="1:11" x14ac:dyDescent="0.3">
      <c r="A9" s="18"/>
      <c r="B9" s="10"/>
      <c r="C9" s="10"/>
      <c r="D9" s="10"/>
      <c r="E9" s="10"/>
      <c r="F9" s="10"/>
      <c r="G9" s="10"/>
      <c r="H9" s="10"/>
      <c r="I9" s="10"/>
      <c r="J9" s="11">
        <f t="shared" si="0"/>
        <v>0</v>
      </c>
      <c r="K9" s="19" t="str">
        <f t="shared" si="1"/>
        <v>-</v>
      </c>
    </row>
    <row r="10" spans="1:11" x14ac:dyDescent="0.3">
      <c r="A10" s="18"/>
      <c r="B10" s="10"/>
      <c r="C10" s="10"/>
      <c r="D10" s="10"/>
      <c r="E10" s="10"/>
      <c r="F10" s="10"/>
      <c r="G10" s="10"/>
      <c r="H10" s="10"/>
      <c r="I10" s="10"/>
      <c r="J10" s="11">
        <f t="shared" si="0"/>
        <v>0</v>
      </c>
      <c r="K10" s="19" t="str">
        <f t="shared" si="1"/>
        <v>-</v>
      </c>
    </row>
    <row r="11" spans="1:11" x14ac:dyDescent="0.3">
      <c r="A11" s="18"/>
      <c r="B11" s="10"/>
      <c r="C11" s="10"/>
      <c r="D11" s="10"/>
      <c r="E11" s="10"/>
      <c r="F11" s="10"/>
      <c r="G11" s="10"/>
      <c r="H11" s="10"/>
      <c r="I11" s="10"/>
      <c r="J11" s="11">
        <f t="shared" si="0"/>
        <v>0</v>
      </c>
      <c r="K11" s="19" t="str">
        <f t="shared" si="1"/>
        <v>-</v>
      </c>
    </row>
    <row r="12" spans="1:11" x14ac:dyDescent="0.3">
      <c r="A12" s="18"/>
      <c r="B12" s="10"/>
      <c r="C12" s="10"/>
      <c r="D12" s="10"/>
      <c r="E12" s="10"/>
      <c r="F12" s="10"/>
      <c r="G12" s="10"/>
      <c r="H12" s="10"/>
      <c r="I12" s="10"/>
      <c r="J12" s="11">
        <f t="shared" si="0"/>
        <v>0</v>
      </c>
      <c r="K12" s="19" t="str">
        <f t="shared" si="1"/>
        <v>-</v>
      </c>
    </row>
    <row r="13" spans="1:11" x14ac:dyDescent="0.3">
      <c r="A13" s="18"/>
      <c r="B13" s="10"/>
      <c r="C13" s="10"/>
      <c r="D13" s="10"/>
      <c r="E13" s="10"/>
      <c r="F13" s="10"/>
      <c r="G13" s="10"/>
      <c r="H13" s="10"/>
      <c r="I13" s="10"/>
      <c r="J13" s="11">
        <f t="shared" si="0"/>
        <v>0</v>
      </c>
      <c r="K13" s="19" t="str">
        <f t="shared" si="1"/>
        <v>-</v>
      </c>
    </row>
    <row r="14" spans="1:11" x14ac:dyDescent="0.3">
      <c r="A14" s="18"/>
      <c r="B14" s="10"/>
      <c r="C14" s="10"/>
      <c r="D14" s="10"/>
      <c r="E14" s="10"/>
      <c r="F14" s="10"/>
      <c r="G14" s="10"/>
      <c r="H14" s="10"/>
      <c r="I14" s="10"/>
      <c r="J14" s="11">
        <f t="shared" si="0"/>
        <v>0</v>
      </c>
      <c r="K14" s="19" t="str">
        <f t="shared" si="1"/>
        <v>-</v>
      </c>
    </row>
    <row r="15" spans="1:11" x14ac:dyDescent="0.3">
      <c r="A15" s="18"/>
      <c r="B15" s="10"/>
      <c r="C15" s="10"/>
      <c r="D15" s="10"/>
      <c r="E15" s="10"/>
      <c r="F15" s="10"/>
      <c r="G15" s="10"/>
      <c r="H15" s="10"/>
      <c r="I15" s="10"/>
      <c r="J15" s="11">
        <f t="shared" si="0"/>
        <v>0</v>
      </c>
      <c r="K15" s="19" t="str">
        <f t="shared" si="1"/>
        <v>-</v>
      </c>
    </row>
    <row r="16" spans="1:11" x14ac:dyDescent="0.3">
      <c r="A16" s="18"/>
      <c r="B16" s="10"/>
      <c r="C16" s="10"/>
      <c r="D16" s="10"/>
      <c r="E16" s="10"/>
      <c r="F16" s="10"/>
      <c r="G16" s="10"/>
      <c r="H16" s="10"/>
      <c r="I16" s="10"/>
      <c r="J16" s="11">
        <f t="shared" si="0"/>
        <v>0</v>
      </c>
      <c r="K16" s="19" t="str">
        <f t="shared" si="1"/>
        <v>-</v>
      </c>
    </row>
    <row r="17" spans="1:11" x14ac:dyDescent="0.3">
      <c r="A17" s="18"/>
      <c r="B17" s="10"/>
      <c r="C17" s="10"/>
      <c r="D17" s="10"/>
      <c r="E17" s="10"/>
      <c r="F17" s="10"/>
      <c r="G17" s="10"/>
      <c r="H17" s="10"/>
      <c r="I17" s="10"/>
      <c r="J17" s="11">
        <f t="shared" si="0"/>
        <v>0</v>
      </c>
      <c r="K17" s="19" t="str">
        <f t="shared" si="1"/>
        <v>-</v>
      </c>
    </row>
    <row r="18" spans="1:11" x14ac:dyDescent="0.3">
      <c r="A18" s="18"/>
      <c r="B18" s="10"/>
      <c r="C18" s="10"/>
      <c r="D18" s="10"/>
      <c r="E18" s="10"/>
      <c r="F18" s="10"/>
      <c r="G18" s="10"/>
      <c r="H18" s="10"/>
      <c r="I18" s="10"/>
      <c r="J18" s="11">
        <f t="shared" si="0"/>
        <v>0</v>
      </c>
      <c r="K18" s="19" t="str">
        <f t="shared" si="1"/>
        <v>-</v>
      </c>
    </row>
    <row r="19" spans="1:11" x14ac:dyDescent="0.3">
      <c r="A19" s="18"/>
      <c r="B19" s="10"/>
      <c r="C19" s="10"/>
      <c r="D19" s="10"/>
      <c r="E19" s="10"/>
      <c r="F19" s="10"/>
      <c r="G19" s="10"/>
      <c r="H19" s="10"/>
      <c r="I19" s="10"/>
      <c r="J19" s="11">
        <f t="shared" si="0"/>
        <v>0</v>
      </c>
      <c r="K19" s="19" t="str">
        <f t="shared" si="1"/>
        <v>-</v>
      </c>
    </row>
    <row r="20" spans="1:11" x14ac:dyDescent="0.3">
      <c r="A20" s="18"/>
      <c r="B20" s="10"/>
      <c r="C20" s="10"/>
      <c r="D20" s="10"/>
      <c r="E20" s="10"/>
      <c r="F20" s="10"/>
      <c r="G20" s="10"/>
      <c r="H20" s="10"/>
      <c r="I20" s="10"/>
      <c r="J20" s="11">
        <f t="shared" si="0"/>
        <v>0</v>
      </c>
      <c r="K20" s="19" t="str">
        <f t="shared" si="1"/>
        <v>-</v>
      </c>
    </row>
    <row r="21" spans="1:11" x14ac:dyDescent="0.3">
      <c r="A21" s="18"/>
      <c r="B21" s="10"/>
      <c r="C21" s="10"/>
      <c r="D21" s="10"/>
      <c r="E21" s="10"/>
      <c r="F21" s="10"/>
      <c r="G21" s="10"/>
      <c r="H21" s="10"/>
      <c r="I21" s="10"/>
      <c r="J21" s="11">
        <f t="shared" si="0"/>
        <v>0</v>
      </c>
      <c r="K21" s="19" t="str">
        <f t="shared" si="1"/>
        <v>-</v>
      </c>
    </row>
    <row r="22" spans="1:11" x14ac:dyDescent="0.3">
      <c r="A22" s="18"/>
      <c r="B22" s="10"/>
      <c r="C22" s="10"/>
      <c r="D22" s="10"/>
      <c r="E22" s="10"/>
      <c r="F22" s="10"/>
      <c r="G22" s="10"/>
      <c r="H22" s="10"/>
      <c r="I22" s="10"/>
      <c r="J22" s="11">
        <f t="shared" si="0"/>
        <v>0</v>
      </c>
      <c r="K22" s="19" t="str">
        <f t="shared" si="1"/>
        <v>-</v>
      </c>
    </row>
    <row r="23" spans="1:11" x14ac:dyDescent="0.3">
      <c r="A23" s="18"/>
      <c r="B23" s="10"/>
      <c r="C23" s="10"/>
      <c r="D23" s="10"/>
      <c r="E23" s="10"/>
      <c r="F23" s="10"/>
      <c r="G23" s="10"/>
      <c r="H23" s="10"/>
      <c r="I23" s="10"/>
      <c r="J23" s="11">
        <f t="shared" si="0"/>
        <v>0</v>
      </c>
      <c r="K23" s="19" t="str">
        <f t="shared" si="1"/>
        <v>-</v>
      </c>
    </row>
    <row r="24" spans="1:11" x14ac:dyDescent="0.3">
      <c r="A24" s="18"/>
      <c r="B24" s="10"/>
      <c r="C24" s="10"/>
      <c r="D24" s="10"/>
      <c r="E24" s="10"/>
      <c r="F24" s="10"/>
      <c r="G24" s="10"/>
      <c r="H24" s="10"/>
      <c r="I24" s="10"/>
      <c r="J24" s="11">
        <f t="shared" si="0"/>
        <v>0</v>
      </c>
      <c r="K24" s="19" t="str">
        <f t="shared" si="1"/>
        <v>-</v>
      </c>
    </row>
    <row r="25" spans="1:11" x14ac:dyDescent="0.3">
      <c r="A25" s="18"/>
      <c r="B25" s="10"/>
      <c r="C25" s="10"/>
      <c r="D25" s="10"/>
      <c r="E25" s="10"/>
      <c r="F25" s="10"/>
      <c r="G25" s="10"/>
      <c r="H25" s="10"/>
      <c r="I25" s="10"/>
      <c r="J25" s="11">
        <f t="shared" si="0"/>
        <v>0</v>
      </c>
      <c r="K25" s="19" t="str">
        <f t="shared" si="1"/>
        <v>-</v>
      </c>
    </row>
  </sheetData>
  <mergeCells count="1">
    <mergeCell ref="A1:J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4CAF50"/>
  </sheetPr>
  <dimension ref="A1:I40"/>
  <sheetViews>
    <sheetView zoomScaleNormal="100" workbookViewId="0">
      <pane ySplit="4" topLeftCell="A5" activePane="bottomLeft" state="frozen"/>
      <selection pane="bottomLeft" activeCell="B7" sqref="B7"/>
    </sheetView>
  </sheetViews>
  <sheetFormatPr defaultColWidth="8.6640625" defaultRowHeight="14.4" x14ac:dyDescent="0.3"/>
  <cols>
    <col min="1" max="2" width="14" customWidth="1"/>
    <col min="3" max="3" width="18" customWidth="1"/>
    <col min="4" max="4" width="14" customWidth="1"/>
    <col min="5" max="5" width="16" customWidth="1"/>
    <col min="6" max="6" width="14" customWidth="1"/>
    <col min="7" max="7" width="16" customWidth="1"/>
    <col min="8" max="8" width="12" customWidth="1"/>
    <col min="9" max="9" width="14" customWidth="1"/>
  </cols>
  <sheetData>
    <row r="1" spans="1:9" ht="34.5" customHeight="1" x14ac:dyDescent="0.3">
      <c r="A1" s="2" t="s">
        <v>55</v>
      </c>
      <c r="B1" s="2"/>
      <c r="C1" s="2"/>
      <c r="D1" s="2"/>
      <c r="E1" s="2"/>
      <c r="F1" s="2"/>
      <c r="G1" s="2"/>
      <c r="H1" s="2"/>
      <c r="I1" s="2"/>
    </row>
    <row r="3" spans="1:9" ht="15.6" x14ac:dyDescent="0.3">
      <c r="A3" s="7" t="s">
        <v>56</v>
      </c>
    </row>
    <row r="4" spans="1:9" ht="27.6" x14ac:dyDescent="0.3">
      <c r="A4" s="8" t="s">
        <v>57</v>
      </c>
      <c r="B4" s="8" t="s">
        <v>58</v>
      </c>
      <c r="C4" s="8" t="s">
        <v>59</v>
      </c>
      <c r="D4" s="8" t="s">
        <v>60</v>
      </c>
      <c r="E4" s="8" t="s">
        <v>61</v>
      </c>
      <c r="F4" s="8" t="s">
        <v>62</v>
      </c>
      <c r="G4" s="8" t="s">
        <v>63</v>
      </c>
      <c r="H4" s="8" t="s">
        <v>64</v>
      </c>
      <c r="I4" s="8" t="s">
        <v>65</v>
      </c>
    </row>
    <row r="5" spans="1:9" x14ac:dyDescent="0.3">
      <c r="A5" s="9" t="s">
        <v>66</v>
      </c>
      <c r="B5" s="20"/>
      <c r="C5" s="20"/>
      <c r="D5" s="20"/>
      <c r="E5" s="20"/>
      <c r="F5" s="20"/>
      <c r="G5" s="20"/>
      <c r="H5" s="21">
        <f t="shared" ref="H5:H16" si="0">SUM(B5:G5)</f>
        <v>0</v>
      </c>
      <c r="I5" s="21"/>
    </row>
    <row r="6" spans="1:9" x14ac:dyDescent="0.3">
      <c r="A6" s="9" t="s">
        <v>67</v>
      </c>
      <c r="B6" s="20"/>
      <c r="C6" s="20"/>
      <c r="D6" s="20"/>
      <c r="E6" s="20"/>
      <c r="F6" s="20"/>
      <c r="G6" s="20"/>
      <c r="H6" s="21">
        <f t="shared" si="0"/>
        <v>0</v>
      </c>
      <c r="I6" s="21">
        <f t="shared" ref="I6:I16" si="1">H6-H5</f>
        <v>0</v>
      </c>
    </row>
    <row r="7" spans="1:9" x14ac:dyDescent="0.3">
      <c r="A7" s="9" t="s">
        <v>68</v>
      </c>
      <c r="B7" s="20"/>
      <c r="C7" s="20"/>
      <c r="D7" s="20"/>
      <c r="E7" s="20"/>
      <c r="F7" s="20"/>
      <c r="G7" s="20"/>
      <c r="H7" s="21">
        <f t="shared" si="0"/>
        <v>0</v>
      </c>
      <c r="I7" s="21">
        <f t="shared" si="1"/>
        <v>0</v>
      </c>
    </row>
    <row r="8" spans="1:9" x14ac:dyDescent="0.3">
      <c r="A8" s="9" t="s">
        <v>69</v>
      </c>
      <c r="B8" s="20"/>
      <c r="C8" s="20"/>
      <c r="D8" s="20"/>
      <c r="E8" s="20"/>
      <c r="F8" s="20"/>
      <c r="G8" s="20"/>
      <c r="H8" s="21">
        <f t="shared" si="0"/>
        <v>0</v>
      </c>
      <c r="I8" s="21">
        <f t="shared" si="1"/>
        <v>0</v>
      </c>
    </row>
    <row r="9" spans="1:9" x14ac:dyDescent="0.3">
      <c r="A9" s="9" t="s">
        <v>70</v>
      </c>
      <c r="B9" s="20"/>
      <c r="C9" s="20"/>
      <c r="D9" s="20"/>
      <c r="E9" s="20"/>
      <c r="F9" s="20"/>
      <c r="G9" s="20"/>
      <c r="H9" s="21">
        <f t="shared" si="0"/>
        <v>0</v>
      </c>
      <c r="I9" s="21">
        <f t="shared" si="1"/>
        <v>0</v>
      </c>
    </row>
    <row r="10" spans="1:9" x14ac:dyDescent="0.3">
      <c r="A10" s="9" t="s">
        <v>71</v>
      </c>
      <c r="B10" s="20"/>
      <c r="C10" s="20"/>
      <c r="D10" s="20"/>
      <c r="E10" s="20"/>
      <c r="F10" s="20"/>
      <c r="G10" s="20"/>
      <c r="H10" s="21">
        <f t="shared" si="0"/>
        <v>0</v>
      </c>
      <c r="I10" s="21">
        <f t="shared" si="1"/>
        <v>0</v>
      </c>
    </row>
    <row r="11" spans="1:9" x14ac:dyDescent="0.3">
      <c r="A11" s="9" t="s">
        <v>72</v>
      </c>
      <c r="B11" s="20"/>
      <c r="C11" s="20"/>
      <c r="D11" s="20"/>
      <c r="E11" s="20"/>
      <c r="F11" s="20"/>
      <c r="G11" s="20"/>
      <c r="H11" s="21">
        <f t="shared" si="0"/>
        <v>0</v>
      </c>
      <c r="I11" s="21">
        <f t="shared" si="1"/>
        <v>0</v>
      </c>
    </row>
    <row r="12" spans="1:9" x14ac:dyDescent="0.3">
      <c r="A12" s="9" t="s">
        <v>73</v>
      </c>
      <c r="B12" s="20"/>
      <c r="C12" s="20"/>
      <c r="D12" s="20"/>
      <c r="E12" s="20"/>
      <c r="F12" s="20"/>
      <c r="G12" s="20"/>
      <c r="H12" s="21">
        <f t="shared" si="0"/>
        <v>0</v>
      </c>
      <c r="I12" s="21">
        <f t="shared" si="1"/>
        <v>0</v>
      </c>
    </row>
    <row r="13" spans="1:9" x14ac:dyDescent="0.3">
      <c r="A13" s="9" t="s">
        <v>74</v>
      </c>
      <c r="B13" s="20"/>
      <c r="C13" s="20"/>
      <c r="D13" s="20"/>
      <c r="E13" s="20"/>
      <c r="F13" s="20"/>
      <c r="G13" s="20"/>
      <c r="H13" s="21">
        <f t="shared" si="0"/>
        <v>0</v>
      </c>
      <c r="I13" s="21">
        <f t="shared" si="1"/>
        <v>0</v>
      </c>
    </row>
    <row r="14" spans="1:9" x14ac:dyDescent="0.3">
      <c r="A14" s="9" t="s">
        <v>75</v>
      </c>
      <c r="B14" s="20"/>
      <c r="C14" s="20"/>
      <c r="D14" s="20"/>
      <c r="E14" s="20"/>
      <c r="F14" s="20"/>
      <c r="G14" s="20"/>
      <c r="H14" s="21">
        <f t="shared" si="0"/>
        <v>0</v>
      </c>
      <c r="I14" s="21">
        <f t="shared" si="1"/>
        <v>0</v>
      </c>
    </row>
    <row r="15" spans="1:9" x14ac:dyDescent="0.3">
      <c r="A15" s="9" t="s">
        <v>76</v>
      </c>
      <c r="B15" s="20"/>
      <c r="C15" s="20"/>
      <c r="D15" s="20"/>
      <c r="E15" s="20"/>
      <c r="F15" s="20"/>
      <c r="G15" s="20"/>
      <c r="H15" s="21">
        <f t="shared" si="0"/>
        <v>0</v>
      </c>
      <c r="I15" s="21">
        <f t="shared" si="1"/>
        <v>0</v>
      </c>
    </row>
    <row r="16" spans="1:9" x14ac:dyDescent="0.3">
      <c r="A16" s="9" t="s">
        <v>77</v>
      </c>
      <c r="B16" s="20"/>
      <c r="C16" s="20"/>
      <c r="D16" s="20"/>
      <c r="E16" s="20"/>
      <c r="F16" s="20"/>
      <c r="G16" s="20"/>
      <c r="H16" s="21">
        <f t="shared" si="0"/>
        <v>0</v>
      </c>
      <c r="I16" s="21">
        <f t="shared" si="1"/>
        <v>0</v>
      </c>
    </row>
    <row r="19" spans="1:8" ht="15.6" x14ac:dyDescent="0.3">
      <c r="A19" s="7" t="s">
        <v>78</v>
      </c>
    </row>
    <row r="20" spans="1:8" ht="27.6" x14ac:dyDescent="0.3">
      <c r="A20" s="8" t="s">
        <v>79</v>
      </c>
      <c r="B20" s="8" t="s">
        <v>80</v>
      </c>
      <c r="C20" s="8" t="s">
        <v>81</v>
      </c>
      <c r="D20" s="8" t="s">
        <v>82</v>
      </c>
      <c r="E20" s="8" t="s">
        <v>83</v>
      </c>
      <c r="F20" s="8" t="s">
        <v>84</v>
      </c>
      <c r="G20" s="8" t="s">
        <v>85</v>
      </c>
      <c r="H20" s="8" t="s">
        <v>86</v>
      </c>
    </row>
    <row r="21" spans="1:8" x14ac:dyDescent="0.3">
      <c r="A21" s="20"/>
      <c r="B21" s="20"/>
      <c r="C21" s="20"/>
      <c r="D21" s="20"/>
      <c r="E21" s="20"/>
      <c r="F21" s="20"/>
      <c r="G21" s="20"/>
      <c r="H21" s="20"/>
    </row>
    <row r="22" spans="1:8" x14ac:dyDescent="0.3">
      <c r="A22" s="20"/>
      <c r="B22" s="20"/>
      <c r="C22" s="20"/>
      <c r="D22" s="20"/>
      <c r="E22" s="20"/>
      <c r="F22" s="20"/>
      <c r="G22" s="20"/>
      <c r="H22" s="20"/>
    </row>
    <row r="23" spans="1:8" x14ac:dyDescent="0.3">
      <c r="A23" s="20"/>
      <c r="B23" s="20"/>
      <c r="C23" s="20"/>
      <c r="D23" s="20"/>
      <c r="E23" s="20"/>
      <c r="F23" s="20"/>
      <c r="G23" s="20"/>
      <c r="H23" s="20"/>
    </row>
    <row r="24" spans="1:8" x14ac:dyDescent="0.3">
      <c r="A24" s="20"/>
      <c r="B24" s="20"/>
      <c r="C24" s="20"/>
      <c r="D24" s="20"/>
      <c r="E24" s="20"/>
      <c r="F24" s="20"/>
      <c r="G24" s="20"/>
      <c r="H24" s="20"/>
    </row>
    <row r="25" spans="1:8" x14ac:dyDescent="0.3">
      <c r="A25" s="20"/>
      <c r="B25" s="20"/>
      <c r="C25" s="20"/>
      <c r="D25" s="20"/>
      <c r="E25" s="20"/>
      <c r="F25" s="20"/>
      <c r="G25" s="20"/>
      <c r="H25" s="20"/>
    </row>
    <row r="26" spans="1:8" x14ac:dyDescent="0.3">
      <c r="A26" s="20"/>
      <c r="B26" s="20"/>
      <c r="C26" s="20"/>
      <c r="D26" s="20"/>
      <c r="E26" s="20"/>
      <c r="F26" s="20"/>
      <c r="G26" s="20"/>
      <c r="H26" s="20"/>
    </row>
    <row r="27" spans="1:8" x14ac:dyDescent="0.3">
      <c r="A27" s="20"/>
      <c r="B27" s="20"/>
      <c r="C27" s="20"/>
      <c r="D27" s="20"/>
      <c r="E27" s="20"/>
      <c r="F27" s="20"/>
      <c r="G27" s="20"/>
      <c r="H27" s="20"/>
    </row>
    <row r="28" spans="1:8" x14ac:dyDescent="0.3">
      <c r="A28" s="20"/>
      <c r="B28" s="20"/>
      <c r="C28" s="20"/>
      <c r="D28" s="20"/>
      <c r="E28" s="20"/>
      <c r="F28" s="20"/>
      <c r="G28" s="20"/>
      <c r="H28" s="20"/>
    </row>
    <row r="29" spans="1:8" x14ac:dyDescent="0.3">
      <c r="A29" s="20"/>
      <c r="B29" s="20"/>
      <c r="C29" s="20"/>
      <c r="D29" s="20"/>
      <c r="E29" s="20"/>
      <c r="F29" s="20"/>
      <c r="G29" s="20"/>
      <c r="H29" s="20"/>
    </row>
    <row r="30" spans="1:8" x14ac:dyDescent="0.3">
      <c r="A30" s="20"/>
      <c r="B30" s="20"/>
      <c r="C30" s="20"/>
      <c r="D30" s="20"/>
      <c r="E30" s="20"/>
      <c r="F30" s="20"/>
      <c r="G30" s="20"/>
      <c r="H30" s="20"/>
    </row>
    <row r="31" spans="1:8" x14ac:dyDescent="0.3">
      <c r="A31" s="20"/>
      <c r="B31" s="20"/>
      <c r="C31" s="20"/>
      <c r="D31" s="20"/>
      <c r="E31" s="20"/>
      <c r="F31" s="20"/>
      <c r="G31" s="20"/>
      <c r="H31" s="20"/>
    </row>
    <row r="32" spans="1:8" x14ac:dyDescent="0.3">
      <c r="A32" s="20"/>
      <c r="B32" s="20"/>
      <c r="C32" s="20"/>
      <c r="D32" s="20"/>
      <c r="E32" s="20"/>
      <c r="F32" s="20"/>
      <c r="G32" s="20"/>
      <c r="H32" s="20"/>
    </row>
    <row r="33" spans="1:8" x14ac:dyDescent="0.3">
      <c r="A33" s="20"/>
      <c r="B33" s="20"/>
      <c r="C33" s="20"/>
      <c r="D33" s="20"/>
      <c r="E33" s="20"/>
      <c r="F33" s="20"/>
      <c r="G33" s="20"/>
      <c r="H33" s="20"/>
    </row>
    <row r="34" spans="1:8" x14ac:dyDescent="0.3">
      <c r="A34" s="20"/>
      <c r="B34" s="20"/>
      <c r="C34" s="20"/>
      <c r="D34" s="20"/>
      <c r="E34" s="20"/>
      <c r="F34" s="20"/>
      <c r="G34" s="20"/>
      <c r="H34" s="20"/>
    </row>
    <row r="35" spans="1:8" x14ac:dyDescent="0.3">
      <c r="A35" s="20"/>
      <c r="B35" s="20"/>
      <c r="C35" s="20"/>
      <c r="D35" s="20"/>
      <c r="E35" s="20"/>
      <c r="F35" s="20"/>
      <c r="G35" s="20"/>
      <c r="H35" s="20"/>
    </row>
    <row r="36" spans="1:8" x14ac:dyDescent="0.3">
      <c r="A36" s="20"/>
      <c r="B36" s="20"/>
      <c r="C36" s="20"/>
      <c r="D36" s="20"/>
      <c r="E36" s="20"/>
      <c r="F36" s="20"/>
      <c r="G36" s="20"/>
      <c r="H36" s="20"/>
    </row>
    <row r="37" spans="1:8" x14ac:dyDescent="0.3">
      <c r="A37" s="20"/>
      <c r="B37" s="20"/>
      <c r="C37" s="20"/>
      <c r="D37" s="20"/>
      <c r="E37" s="20"/>
      <c r="F37" s="20"/>
      <c r="G37" s="20"/>
      <c r="H37" s="20"/>
    </row>
    <row r="38" spans="1:8" x14ac:dyDescent="0.3">
      <c r="A38" s="20"/>
      <c r="B38" s="20"/>
      <c r="C38" s="20"/>
      <c r="D38" s="20"/>
      <c r="E38" s="20"/>
      <c r="F38" s="20"/>
      <c r="G38" s="20"/>
      <c r="H38" s="20"/>
    </row>
    <row r="39" spans="1:8" x14ac:dyDescent="0.3">
      <c r="A39" s="20"/>
      <c r="B39" s="20"/>
      <c r="C39" s="20"/>
      <c r="D39" s="20"/>
      <c r="E39" s="20"/>
      <c r="F39" s="20"/>
      <c r="G39" s="20"/>
      <c r="H39" s="20"/>
    </row>
    <row r="40" spans="1:8" x14ac:dyDescent="0.3">
      <c r="A40" s="20"/>
      <c r="B40" s="20"/>
      <c r="C40" s="20"/>
      <c r="D40" s="20"/>
      <c r="E40" s="20"/>
      <c r="F40" s="20"/>
      <c r="G40" s="20"/>
      <c r="H40" s="20"/>
    </row>
  </sheetData>
  <mergeCells count="1">
    <mergeCell ref="A1:I1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9800"/>
  </sheetPr>
  <dimension ref="A1:H37"/>
  <sheetViews>
    <sheetView zoomScaleNormal="100" workbookViewId="0">
      <pane ySplit="3" topLeftCell="A4" activePane="bottomLeft" state="frozen"/>
      <selection pane="bottomLeft" activeCell="E26" sqref="E26"/>
    </sheetView>
  </sheetViews>
  <sheetFormatPr defaultColWidth="8.6640625" defaultRowHeight="14.4" x14ac:dyDescent="0.3"/>
  <cols>
    <col min="1" max="1" width="14" customWidth="1"/>
    <col min="2" max="8" width="16" customWidth="1"/>
  </cols>
  <sheetData>
    <row r="1" spans="1:8" ht="34.5" customHeight="1" x14ac:dyDescent="0.3">
      <c r="A1" s="2" t="s">
        <v>87</v>
      </c>
      <c r="B1" s="2"/>
      <c r="C1" s="2"/>
      <c r="D1" s="2"/>
      <c r="E1" s="2"/>
      <c r="F1" s="2"/>
      <c r="G1" s="2"/>
      <c r="H1" s="2"/>
    </row>
    <row r="2" spans="1:8" x14ac:dyDescent="0.3">
      <c r="B2" s="22" t="s">
        <v>88</v>
      </c>
    </row>
    <row r="3" spans="1:8" x14ac:dyDescent="0.3">
      <c r="A3" s="8" t="s">
        <v>44</v>
      </c>
      <c r="B3" s="8" t="s">
        <v>89</v>
      </c>
      <c r="C3" s="8" t="s">
        <v>59</v>
      </c>
      <c r="D3" s="8" t="s">
        <v>60</v>
      </c>
      <c r="E3" s="8" t="s">
        <v>61</v>
      </c>
      <c r="F3" s="8" t="s">
        <v>62</v>
      </c>
      <c r="G3" s="8" t="s">
        <v>90</v>
      </c>
      <c r="H3" s="8" t="s">
        <v>91</v>
      </c>
    </row>
    <row r="4" spans="1:8" x14ac:dyDescent="0.3">
      <c r="A4" s="18"/>
      <c r="B4" s="10"/>
      <c r="C4" s="10"/>
      <c r="D4" s="10"/>
      <c r="E4" s="10"/>
      <c r="F4" s="10"/>
      <c r="G4" s="10"/>
      <c r="H4" s="23" t="str">
        <f t="shared" ref="H4:H23" si="0">IFERROR(CHOOSE(MATCH(MIN(B4:G4),B4:G4,0),"Brent Ninian","Forties","Oseberg","Ekofisk","Troll","WTI Midland"),"")</f>
        <v/>
      </c>
    </row>
    <row r="5" spans="1:8" x14ac:dyDescent="0.3">
      <c r="A5" s="18"/>
      <c r="B5" s="10"/>
      <c r="C5" s="10"/>
      <c r="D5" s="10"/>
      <c r="E5" s="10"/>
      <c r="F5" s="10"/>
      <c r="G5" s="10"/>
      <c r="H5" s="23" t="str">
        <f t="shared" si="0"/>
        <v/>
      </c>
    </row>
    <row r="6" spans="1:8" x14ac:dyDescent="0.3">
      <c r="A6" s="18"/>
      <c r="B6" s="10"/>
      <c r="C6" s="10"/>
      <c r="D6" s="10"/>
      <c r="E6" s="10"/>
      <c r="F6" s="10"/>
      <c r="G6" s="10"/>
      <c r="H6" s="23" t="str">
        <f t="shared" si="0"/>
        <v/>
      </c>
    </row>
    <row r="7" spans="1:8" x14ac:dyDescent="0.3">
      <c r="A7" s="18"/>
      <c r="B7" s="10"/>
      <c r="C7" s="10"/>
      <c r="D7" s="10"/>
      <c r="E7" s="10"/>
      <c r="F7" s="10"/>
      <c r="G7" s="10"/>
      <c r="H7" s="23" t="str">
        <f t="shared" si="0"/>
        <v/>
      </c>
    </row>
    <row r="8" spans="1:8" x14ac:dyDescent="0.3">
      <c r="A8" s="18"/>
      <c r="B8" s="10"/>
      <c r="C8" s="10"/>
      <c r="D8" s="10"/>
      <c r="E8" s="10"/>
      <c r="F8" s="10"/>
      <c r="G8" s="10"/>
      <c r="H8" s="23" t="str">
        <f t="shared" si="0"/>
        <v/>
      </c>
    </row>
    <row r="9" spans="1:8" x14ac:dyDescent="0.3">
      <c r="A9" s="18"/>
      <c r="B9" s="10"/>
      <c r="C9" s="10"/>
      <c r="D9" s="10"/>
      <c r="E9" s="10"/>
      <c r="F9" s="10"/>
      <c r="G9" s="10"/>
      <c r="H9" s="23" t="str">
        <f t="shared" si="0"/>
        <v/>
      </c>
    </row>
    <row r="10" spans="1:8" x14ac:dyDescent="0.3">
      <c r="A10" s="18"/>
      <c r="B10" s="10"/>
      <c r="C10" s="10"/>
      <c r="D10" s="10"/>
      <c r="E10" s="10"/>
      <c r="F10" s="10"/>
      <c r="G10" s="10"/>
      <c r="H10" s="23" t="str">
        <f t="shared" si="0"/>
        <v/>
      </c>
    </row>
    <row r="11" spans="1:8" x14ac:dyDescent="0.3">
      <c r="A11" s="18"/>
      <c r="B11" s="10"/>
      <c r="C11" s="10"/>
      <c r="D11" s="10"/>
      <c r="E11" s="10"/>
      <c r="F11" s="10"/>
      <c r="G11" s="10"/>
      <c r="H11" s="23" t="str">
        <f t="shared" si="0"/>
        <v/>
      </c>
    </row>
    <row r="12" spans="1:8" x14ac:dyDescent="0.3">
      <c r="A12" s="18"/>
      <c r="B12" s="10"/>
      <c r="C12" s="10"/>
      <c r="D12" s="10"/>
      <c r="E12" s="10"/>
      <c r="F12" s="10"/>
      <c r="G12" s="10"/>
      <c r="H12" s="23" t="str">
        <f t="shared" si="0"/>
        <v/>
      </c>
    </row>
    <row r="13" spans="1:8" x14ac:dyDescent="0.3">
      <c r="A13" s="18"/>
      <c r="B13" s="10"/>
      <c r="C13" s="10"/>
      <c r="D13" s="10"/>
      <c r="E13" s="10"/>
      <c r="F13" s="10"/>
      <c r="G13" s="10"/>
      <c r="H13" s="23" t="str">
        <f t="shared" si="0"/>
        <v/>
      </c>
    </row>
    <row r="14" spans="1:8" x14ac:dyDescent="0.3">
      <c r="A14" s="18"/>
      <c r="B14" s="10"/>
      <c r="C14" s="10"/>
      <c r="D14" s="10"/>
      <c r="E14" s="10"/>
      <c r="F14" s="10"/>
      <c r="G14" s="10"/>
      <c r="H14" s="23" t="str">
        <f t="shared" si="0"/>
        <v/>
      </c>
    </row>
    <row r="15" spans="1:8" x14ac:dyDescent="0.3">
      <c r="A15" s="18"/>
      <c r="B15" s="10"/>
      <c r="C15" s="10"/>
      <c r="D15" s="10"/>
      <c r="E15" s="10"/>
      <c r="F15" s="10"/>
      <c r="G15" s="10"/>
      <c r="H15" s="23" t="str">
        <f t="shared" si="0"/>
        <v/>
      </c>
    </row>
    <row r="16" spans="1:8" x14ac:dyDescent="0.3">
      <c r="A16" s="18"/>
      <c r="B16" s="10"/>
      <c r="C16" s="10"/>
      <c r="D16" s="10"/>
      <c r="E16" s="10"/>
      <c r="F16" s="10"/>
      <c r="G16" s="10"/>
      <c r="H16" s="23" t="str">
        <f t="shared" si="0"/>
        <v/>
      </c>
    </row>
    <row r="17" spans="1:8" x14ac:dyDescent="0.3">
      <c r="A17" s="18"/>
      <c r="B17" s="10"/>
      <c r="C17" s="10"/>
      <c r="D17" s="10"/>
      <c r="E17" s="10"/>
      <c r="F17" s="10"/>
      <c r="G17" s="10"/>
      <c r="H17" s="23" t="str">
        <f t="shared" si="0"/>
        <v/>
      </c>
    </row>
    <row r="18" spans="1:8" x14ac:dyDescent="0.3">
      <c r="A18" s="18"/>
      <c r="B18" s="10"/>
      <c r="C18" s="10"/>
      <c r="D18" s="10"/>
      <c r="E18" s="10"/>
      <c r="F18" s="10"/>
      <c r="G18" s="10"/>
      <c r="H18" s="23" t="str">
        <f t="shared" si="0"/>
        <v/>
      </c>
    </row>
    <row r="19" spans="1:8" x14ac:dyDescent="0.3">
      <c r="A19" s="18"/>
      <c r="B19" s="10"/>
      <c r="C19" s="10"/>
      <c r="D19" s="10"/>
      <c r="E19" s="10"/>
      <c r="F19" s="10"/>
      <c r="G19" s="10"/>
      <c r="H19" s="23" t="str">
        <f t="shared" si="0"/>
        <v/>
      </c>
    </row>
    <row r="20" spans="1:8" x14ac:dyDescent="0.3">
      <c r="A20" s="18"/>
      <c r="B20" s="10"/>
      <c r="C20" s="10"/>
      <c r="D20" s="10"/>
      <c r="E20" s="10"/>
      <c r="F20" s="10"/>
      <c r="G20" s="10"/>
      <c r="H20" s="23" t="str">
        <f t="shared" si="0"/>
        <v/>
      </c>
    </row>
    <row r="21" spans="1:8" x14ac:dyDescent="0.3">
      <c r="A21" s="18"/>
      <c r="B21" s="10"/>
      <c r="C21" s="10"/>
      <c r="D21" s="10"/>
      <c r="E21" s="10"/>
      <c r="F21" s="10"/>
      <c r="G21" s="10"/>
      <c r="H21" s="23" t="str">
        <f t="shared" si="0"/>
        <v/>
      </c>
    </row>
    <row r="22" spans="1:8" x14ac:dyDescent="0.3">
      <c r="A22" s="18"/>
      <c r="B22" s="10"/>
      <c r="C22" s="10"/>
      <c r="D22" s="10"/>
      <c r="E22" s="10"/>
      <c r="F22" s="10"/>
      <c r="G22" s="10"/>
      <c r="H22" s="23" t="str">
        <f t="shared" si="0"/>
        <v/>
      </c>
    </row>
    <row r="23" spans="1:8" x14ac:dyDescent="0.3">
      <c r="A23" s="18"/>
      <c r="B23" s="10"/>
      <c r="C23" s="10"/>
      <c r="D23" s="10"/>
      <c r="E23" s="10"/>
      <c r="F23" s="10"/>
      <c r="G23" s="10"/>
      <c r="H23" s="23" t="str">
        <f t="shared" si="0"/>
        <v/>
      </c>
    </row>
    <row r="26" spans="1:8" ht="15.6" x14ac:dyDescent="0.3">
      <c r="A26" s="7" t="s">
        <v>92</v>
      </c>
    </row>
    <row r="27" spans="1:8" ht="27.6" x14ac:dyDescent="0.3">
      <c r="A27" s="8" t="s">
        <v>44</v>
      </c>
      <c r="B27" s="8" t="s">
        <v>93</v>
      </c>
      <c r="C27" s="8" t="s">
        <v>94</v>
      </c>
      <c r="D27" s="8" t="s">
        <v>95</v>
      </c>
      <c r="E27" s="8" t="s">
        <v>86</v>
      </c>
    </row>
    <row r="28" spans="1:8" x14ac:dyDescent="0.3">
      <c r="A28" s="20"/>
      <c r="B28" s="20"/>
      <c r="C28" s="20"/>
      <c r="D28" s="20"/>
      <c r="E28" s="20"/>
    </row>
    <row r="29" spans="1:8" x14ac:dyDescent="0.3">
      <c r="A29" s="20"/>
      <c r="B29" s="20"/>
      <c r="C29" s="20"/>
      <c r="D29" s="20"/>
      <c r="E29" s="20"/>
    </row>
    <row r="30" spans="1:8" x14ac:dyDescent="0.3">
      <c r="A30" s="20"/>
      <c r="B30" s="20"/>
      <c r="C30" s="20"/>
      <c r="D30" s="20"/>
      <c r="E30" s="20"/>
    </row>
    <row r="31" spans="1:8" x14ac:dyDescent="0.3">
      <c r="A31" s="20"/>
      <c r="B31" s="20"/>
      <c r="C31" s="20"/>
      <c r="D31" s="20"/>
      <c r="E31" s="20"/>
    </row>
    <row r="32" spans="1:8" x14ac:dyDescent="0.3">
      <c r="A32" s="20"/>
      <c r="B32" s="20"/>
      <c r="C32" s="20"/>
      <c r="D32" s="20"/>
      <c r="E32" s="20"/>
    </row>
    <row r="33" spans="1:5" x14ac:dyDescent="0.3">
      <c r="A33" s="20"/>
      <c r="B33" s="20"/>
      <c r="C33" s="20"/>
      <c r="D33" s="20"/>
      <c r="E33" s="20"/>
    </row>
    <row r="34" spans="1:5" x14ac:dyDescent="0.3">
      <c r="A34" s="20"/>
      <c r="B34" s="20"/>
      <c r="C34" s="20"/>
      <c r="D34" s="20"/>
      <c r="E34" s="20"/>
    </row>
    <row r="35" spans="1:5" x14ac:dyDescent="0.3">
      <c r="A35" s="20"/>
      <c r="B35" s="20"/>
      <c r="C35" s="20"/>
      <c r="D35" s="20"/>
      <c r="E35" s="20"/>
    </row>
    <row r="36" spans="1:5" x14ac:dyDescent="0.3">
      <c r="A36" s="20"/>
      <c r="B36" s="20"/>
      <c r="C36" s="20"/>
      <c r="D36" s="20"/>
      <c r="E36" s="20"/>
    </row>
    <row r="37" spans="1:5" x14ac:dyDescent="0.3">
      <c r="A37" s="20"/>
      <c r="B37" s="20"/>
      <c r="C37" s="20"/>
      <c r="D37" s="20"/>
      <c r="E37" s="20"/>
    </row>
  </sheetData>
  <mergeCells count="1">
    <mergeCell ref="A1:H1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C27B0"/>
  </sheetPr>
  <dimension ref="A1:G40"/>
  <sheetViews>
    <sheetView tabSelected="1" topLeftCell="A6" zoomScaleNormal="100" workbookViewId="0">
      <selection activeCell="G20" sqref="G20"/>
    </sheetView>
  </sheetViews>
  <sheetFormatPr defaultColWidth="8.6640625" defaultRowHeight="14.4" x14ac:dyDescent="0.3"/>
  <cols>
    <col min="1" max="1" width="32" customWidth="1"/>
    <col min="2" max="4" width="18" customWidth="1"/>
    <col min="5" max="5" width="28" customWidth="1"/>
  </cols>
  <sheetData>
    <row r="1" spans="1:7" ht="34.5" customHeight="1" x14ac:dyDescent="0.3">
      <c r="A1" s="2" t="s">
        <v>96</v>
      </c>
      <c r="B1" s="2"/>
      <c r="C1" s="2"/>
      <c r="D1" s="2"/>
      <c r="E1" s="2"/>
      <c r="F1" s="2"/>
      <c r="G1" s="2"/>
    </row>
    <row r="3" spans="1:7" ht="15.6" x14ac:dyDescent="0.3">
      <c r="A3" s="7" t="s">
        <v>97</v>
      </c>
    </row>
    <row r="4" spans="1:7" x14ac:dyDescent="0.3">
      <c r="A4" s="9" t="s">
        <v>98</v>
      </c>
      <c r="B4" s="10"/>
    </row>
    <row r="5" spans="1:7" x14ac:dyDescent="0.3">
      <c r="A5" s="9" t="s">
        <v>99</v>
      </c>
      <c r="B5" s="10"/>
    </row>
    <row r="6" spans="1:7" x14ac:dyDescent="0.3">
      <c r="A6" s="9" t="s">
        <v>100</v>
      </c>
      <c r="B6" s="11">
        <f>B4-B5</f>
        <v>0</v>
      </c>
    </row>
    <row r="7" spans="1:7" x14ac:dyDescent="0.3">
      <c r="A7" s="9"/>
      <c r="B7" s="11"/>
    </row>
    <row r="8" spans="1:7" x14ac:dyDescent="0.3">
      <c r="A8" s="9" t="s">
        <v>101</v>
      </c>
      <c r="B8" s="10"/>
    </row>
    <row r="9" spans="1:7" x14ac:dyDescent="0.3">
      <c r="A9" s="9" t="s">
        <v>102</v>
      </c>
      <c r="B9" s="10"/>
    </row>
    <row r="10" spans="1:7" x14ac:dyDescent="0.3">
      <c r="A10" s="9" t="s">
        <v>103</v>
      </c>
      <c r="B10" s="10"/>
    </row>
    <row r="11" spans="1:7" x14ac:dyDescent="0.3">
      <c r="A11" s="9" t="s">
        <v>104</v>
      </c>
      <c r="B11" s="11">
        <f>B8+B9+B10</f>
        <v>0</v>
      </c>
    </row>
    <row r="12" spans="1:7" x14ac:dyDescent="0.3">
      <c r="A12" s="9"/>
      <c r="B12" s="11"/>
    </row>
    <row r="13" spans="1:7" x14ac:dyDescent="0.3">
      <c r="A13" s="9" t="s">
        <v>105</v>
      </c>
      <c r="B13" s="11">
        <f>ABS(B6)-B11</f>
        <v>0</v>
      </c>
    </row>
    <row r="14" spans="1:7" x14ac:dyDescent="0.3">
      <c r="A14" s="9" t="s">
        <v>106</v>
      </c>
      <c r="B14" s="11" t="str">
        <f>IF(B13&gt;0.5,"WIDE OPEN — expect Midland flows",IF(B13&gt;0,"MARGINAL",IF(B13&gt;-0.5,"CLOSED","REVERSE — barrels stay in US")))</f>
        <v>CLOSED</v>
      </c>
    </row>
    <row r="17" spans="1:5" x14ac:dyDescent="0.3">
      <c r="B17" s="24"/>
    </row>
    <row r="19" spans="1:5" ht="15.6" x14ac:dyDescent="0.3">
      <c r="A19" s="7" t="s">
        <v>107</v>
      </c>
    </row>
    <row r="20" spans="1:5" ht="27.6" x14ac:dyDescent="0.3">
      <c r="A20" s="8" t="s">
        <v>44</v>
      </c>
      <c r="B20" s="8" t="s">
        <v>100</v>
      </c>
      <c r="C20" s="8" t="s">
        <v>108</v>
      </c>
      <c r="D20" s="8" t="s">
        <v>109</v>
      </c>
      <c r="E20" s="8" t="s">
        <v>110</v>
      </c>
    </row>
    <row r="21" spans="1:5" x14ac:dyDescent="0.3">
      <c r="A21" s="18"/>
      <c r="B21" s="10"/>
      <c r="C21" s="10"/>
      <c r="D21" s="11">
        <f>ABS(B21)-C21</f>
        <v>0</v>
      </c>
      <c r="E21" s="21" t="str">
        <f t="shared" ref="E21:E40" si="0">IF(D21&gt;0.5,"YES",IF(D21&gt;0,"MARGINAL","NO"))</f>
        <v>NO</v>
      </c>
    </row>
    <row r="22" spans="1:5" x14ac:dyDescent="0.3">
      <c r="A22" s="18"/>
      <c r="B22" s="10"/>
      <c r="C22" s="10"/>
      <c r="D22" s="11">
        <f t="shared" ref="D21:D40" si="1">ABS(B22)-C22</f>
        <v>0</v>
      </c>
      <c r="E22" s="21" t="str">
        <f t="shared" si="0"/>
        <v>NO</v>
      </c>
    </row>
    <row r="23" spans="1:5" x14ac:dyDescent="0.3">
      <c r="A23" s="18"/>
      <c r="B23" s="10"/>
      <c r="C23" s="10"/>
      <c r="D23" s="11">
        <f t="shared" si="1"/>
        <v>0</v>
      </c>
      <c r="E23" s="21" t="str">
        <f t="shared" si="0"/>
        <v>NO</v>
      </c>
    </row>
    <row r="24" spans="1:5" x14ac:dyDescent="0.3">
      <c r="A24" s="18"/>
      <c r="B24" s="10"/>
      <c r="C24" s="10"/>
      <c r="D24" s="11">
        <f t="shared" si="1"/>
        <v>0</v>
      </c>
      <c r="E24" s="21" t="str">
        <f t="shared" si="0"/>
        <v>NO</v>
      </c>
    </row>
    <row r="25" spans="1:5" x14ac:dyDescent="0.3">
      <c r="A25" s="18"/>
      <c r="B25" s="10"/>
      <c r="C25" s="10"/>
      <c r="D25" s="11">
        <f t="shared" si="1"/>
        <v>0</v>
      </c>
      <c r="E25" s="21" t="str">
        <f t="shared" si="0"/>
        <v>NO</v>
      </c>
    </row>
    <row r="26" spans="1:5" x14ac:dyDescent="0.3">
      <c r="A26" s="18"/>
      <c r="B26" s="10"/>
      <c r="C26" s="10"/>
      <c r="D26" s="11">
        <f t="shared" si="1"/>
        <v>0</v>
      </c>
      <c r="E26" s="21" t="str">
        <f t="shared" si="0"/>
        <v>NO</v>
      </c>
    </row>
    <row r="27" spans="1:5" x14ac:dyDescent="0.3">
      <c r="A27" s="18"/>
      <c r="B27" s="10"/>
      <c r="C27" s="10"/>
      <c r="D27" s="11">
        <f t="shared" si="1"/>
        <v>0</v>
      </c>
      <c r="E27" s="21" t="str">
        <f t="shared" si="0"/>
        <v>NO</v>
      </c>
    </row>
    <row r="28" spans="1:5" x14ac:dyDescent="0.3">
      <c r="A28" s="18"/>
      <c r="B28" s="10"/>
      <c r="C28" s="10"/>
      <c r="D28" s="11">
        <f t="shared" si="1"/>
        <v>0</v>
      </c>
      <c r="E28" s="21" t="str">
        <f t="shared" si="0"/>
        <v>NO</v>
      </c>
    </row>
    <row r="29" spans="1:5" x14ac:dyDescent="0.3">
      <c r="A29" s="18"/>
      <c r="B29" s="10"/>
      <c r="C29" s="10"/>
      <c r="D29" s="11">
        <f t="shared" si="1"/>
        <v>0</v>
      </c>
      <c r="E29" s="21" t="str">
        <f t="shared" si="0"/>
        <v>NO</v>
      </c>
    </row>
    <row r="30" spans="1:5" x14ac:dyDescent="0.3">
      <c r="A30" s="18"/>
      <c r="B30" s="10"/>
      <c r="C30" s="10"/>
      <c r="D30" s="11">
        <f t="shared" si="1"/>
        <v>0</v>
      </c>
      <c r="E30" s="21" t="str">
        <f t="shared" si="0"/>
        <v>NO</v>
      </c>
    </row>
    <row r="31" spans="1:5" x14ac:dyDescent="0.3">
      <c r="A31" s="18"/>
      <c r="B31" s="10"/>
      <c r="C31" s="10"/>
      <c r="D31" s="11">
        <f t="shared" si="1"/>
        <v>0</v>
      </c>
      <c r="E31" s="21" t="str">
        <f t="shared" si="0"/>
        <v>NO</v>
      </c>
    </row>
    <row r="32" spans="1:5" x14ac:dyDescent="0.3">
      <c r="A32" s="18"/>
      <c r="B32" s="10"/>
      <c r="C32" s="10"/>
      <c r="D32" s="11">
        <f t="shared" si="1"/>
        <v>0</v>
      </c>
      <c r="E32" s="21" t="str">
        <f t="shared" si="0"/>
        <v>NO</v>
      </c>
    </row>
    <row r="33" spans="1:5" x14ac:dyDescent="0.3">
      <c r="A33" s="18"/>
      <c r="B33" s="10"/>
      <c r="C33" s="10"/>
      <c r="D33" s="11">
        <f t="shared" si="1"/>
        <v>0</v>
      </c>
      <c r="E33" s="21" t="str">
        <f t="shared" si="0"/>
        <v>NO</v>
      </c>
    </row>
    <row r="34" spans="1:5" x14ac:dyDescent="0.3">
      <c r="A34" s="18"/>
      <c r="B34" s="10"/>
      <c r="C34" s="10"/>
      <c r="D34" s="11">
        <f t="shared" si="1"/>
        <v>0</v>
      </c>
      <c r="E34" s="21" t="str">
        <f t="shared" si="0"/>
        <v>NO</v>
      </c>
    </row>
    <row r="35" spans="1:5" x14ac:dyDescent="0.3">
      <c r="A35" s="18"/>
      <c r="B35" s="10"/>
      <c r="C35" s="10"/>
      <c r="D35" s="11">
        <f t="shared" si="1"/>
        <v>0</v>
      </c>
      <c r="E35" s="21" t="str">
        <f t="shared" si="0"/>
        <v>NO</v>
      </c>
    </row>
    <row r="36" spans="1:5" x14ac:dyDescent="0.3">
      <c r="A36" s="18"/>
      <c r="B36" s="10"/>
      <c r="C36" s="10"/>
      <c r="D36" s="11">
        <f t="shared" si="1"/>
        <v>0</v>
      </c>
      <c r="E36" s="21" t="str">
        <f t="shared" si="0"/>
        <v>NO</v>
      </c>
    </row>
    <row r="37" spans="1:5" x14ac:dyDescent="0.3">
      <c r="A37" s="18"/>
      <c r="B37" s="10"/>
      <c r="C37" s="10"/>
      <c r="D37" s="11">
        <f t="shared" si="1"/>
        <v>0</v>
      </c>
      <c r="E37" s="21" t="str">
        <f t="shared" si="0"/>
        <v>NO</v>
      </c>
    </row>
    <row r="38" spans="1:5" x14ac:dyDescent="0.3">
      <c r="A38" s="18"/>
      <c r="B38" s="10"/>
      <c r="C38" s="10"/>
      <c r="D38" s="11">
        <f t="shared" si="1"/>
        <v>0</v>
      </c>
      <c r="E38" s="21" t="str">
        <f t="shared" si="0"/>
        <v>NO</v>
      </c>
    </row>
    <row r="39" spans="1:5" x14ac:dyDescent="0.3">
      <c r="A39" s="18"/>
      <c r="B39" s="10"/>
      <c r="C39" s="10"/>
      <c r="D39" s="11">
        <f t="shared" si="1"/>
        <v>0</v>
      </c>
      <c r="E39" s="21" t="str">
        <f t="shared" si="0"/>
        <v>NO</v>
      </c>
    </row>
    <row r="40" spans="1:5" x14ac:dyDescent="0.3">
      <c r="A40" s="18"/>
      <c r="B40" s="10"/>
      <c r="C40" s="10"/>
      <c r="D40" s="11">
        <f t="shared" si="1"/>
        <v>0</v>
      </c>
      <c r="E40" s="21" t="str">
        <f t="shared" si="0"/>
        <v>NO</v>
      </c>
    </row>
  </sheetData>
  <mergeCells count="1"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44336"/>
  </sheetPr>
  <dimension ref="A1:H35"/>
  <sheetViews>
    <sheetView zoomScaleNormal="100" workbookViewId="0">
      <selection activeCell="F6" sqref="F6"/>
    </sheetView>
  </sheetViews>
  <sheetFormatPr defaultColWidth="8.6640625" defaultRowHeight="14.4" x14ac:dyDescent="0.3"/>
  <cols>
    <col min="1" max="1" width="20" customWidth="1"/>
    <col min="2" max="3" width="16" customWidth="1"/>
    <col min="4" max="5" width="14" customWidth="1"/>
    <col min="6" max="6" width="16" customWidth="1"/>
    <col min="7" max="7" width="14" customWidth="1"/>
    <col min="8" max="8" width="16" customWidth="1"/>
  </cols>
  <sheetData>
    <row r="1" spans="1:8" ht="34.5" customHeight="1" x14ac:dyDescent="0.3">
      <c r="A1" s="2" t="s">
        <v>111</v>
      </c>
      <c r="B1" s="2"/>
      <c r="C1" s="2"/>
      <c r="D1" s="2"/>
      <c r="E1" s="2"/>
      <c r="F1" s="2"/>
      <c r="G1" s="2"/>
      <c r="H1" s="2"/>
    </row>
    <row r="3" spans="1:8" ht="15.6" x14ac:dyDescent="0.3">
      <c r="A3" s="7" t="s">
        <v>112</v>
      </c>
    </row>
    <row r="4" spans="1:8" ht="27.6" x14ac:dyDescent="0.3">
      <c r="A4" s="8" t="s">
        <v>57</v>
      </c>
      <c r="B4" s="8" t="s">
        <v>113</v>
      </c>
      <c r="C4" s="8" t="s">
        <v>65</v>
      </c>
      <c r="D4" s="8" t="s">
        <v>114</v>
      </c>
      <c r="E4" s="8" t="s">
        <v>115</v>
      </c>
      <c r="F4" s="8" t="s">
        <v>116</v>
      </c>
    </row>
    <row r="5" spans="1:8" x14ac:dyDescent="0.3">
      <c r="A5" s="9" t="s">
        <v>66</v>
      </c>
      <c r="B5" s="25"/>
      <c r="C5" s="26"/>
      <c r="D5" s="25"/>
      <c r="E5" s="10"/>
      <c r="F5" s="21" t="str">
        <f t="shared" ref="F5:F16" si="0">IF(B5="","-",IF(AND(B5&gt;0,E5&gt;0),IF(E5&gt;15,"STRONG PULL","MODERATE"),IF(E5&lt;10,"WEAK","MODERATE")))</f>
        <v>-</v>
      </c>
    </row>
    <row r="6" spans="1:8" x14ac:dyDescent="0.3">
      <c r="A6" s="9" t="s">
        <v>67</v>
      </c>
      <c r="B6" s="25"/>
      <c r="C6" s="26">
        <f t="shared" ref="C6:C16" si="1">B6-B5</f>
        <v>0</v>
      </c>
      <c r="D6" s="25"/>
      <c r="E6" s="10"/>
      <c r="F6" s="21" t="str">
        <f t="shared" si="0"/>
        <v>-</v>
      </c>
    </row>
    <row r="7" spans="1:8" x14ac:dyDescent="0.3">
      <c r="A7" s="9" t="s">
        <v>68</v>
      </c>
      <c r="B7" s="25"/>
      <c r="C7" s="26">
        <f t="shared" si="1"/>
        <v>0</v>
      </c>
      <c r="D7" s="25"/>
      <c r="E7" s="10"/>
      <c r="F7" s="21" t="str">
        <f t="shared" si="0"/>
        <v>-</v>
      </c>
    </row>
    <row r="8" spans="1:8" x14ac:dyDescent="0.3">
      <c r="A8" s="9" t="s">
        <v>69</v>
      </c>
      <c r="B8" s="25"/>
      <c r="C8" s="26">
        <f t="shared" si="1"/>
        <v>0</v>
      </c>
      <c r="D8" s="25"/>
      <c r="E8" s="10"/>
      <c r="F8" s="21" t="str">
        <f t="shared" si="0"/>
        <v>-</v>
      </c>
    </row>
    <row r="9" spans="1:8" x14ac:dyDescent="0.3">
      <c r="A9" s="9" t="s">
        <v>70</v>
      </c>
      <c r="B9" s="25"/>
      <c r="C9" s="26">
        <f t="shared" si="1"/>
        <v>0</v>
      </c>
      <c r="D9" s="25"/>
      <c r="E9" s="10"/>
      <c r="F9" s="21" t="str">
        <f t="shared" si="0"/>
        <v>-</v>
      </c>
    </row>
    <row r="10" spans="1:8" x14ac:dyDescent="0.3">
      <c r="A10" s="9" t="s">
        <v>71</v>
      </c>
      <c r="B10" s="25"/>
      <c r="C10" s="26">
        <f t="shared" si="1"/>
        <v>0</v>
      </c>
      <c r="D10" s="25"/>
      <c r="E10" s="10"/>
      <c r="F10" s="21" t="str">
        <f t="shared" si="0"/>
        <v>-</v>
      </c>
    </row>
    <row r="11" spans="1:8" x14ac:dyDescent="0.3">
      <c r="A11" s="9" t="s">
        <v>72</v>
      </c>
      <c r="B11" s="25"/>
      <c r="C11" s="26">
        <f t="shared" si="1"/>
        <v>0</v>
      </c>
      <c r="D11" s="25"/>
      <c r="E11" s="10"/>
      <c r="F11" s="21" t="str">
        <f t="shared" si="0"/>
        <v>-</v>
      </c>
    </row>
    <row r="12" spans="1:8" x14ac:dyDescent="0.3">
      <c r="A12" s="9" t="s">
        <v>73</v>
      </c>
      <c r="B12" s="25"/>
      <c r="C12" s="26">
        <f t="shared" si="1"/>
        <v>0</v>
      </c>
      <c r="D12" s="25"/>
      <c r="E12" s="10"/>
      <c r="F12" s="21" t="str">
        <f t="shared" si="0"/>
        <v>-</v>
      </c>
    </row>
    <row r="13" spans="1:8" x14ac:dyDescent="0.3">
      <c r="A13" s="9" t="s">
        <v>74</v>
      </c>
      <c r="B13" s="25"/>
      <c r="C13" s="26">
        <f t="shared" si="1"/>
        <v>0</v>
      </c>
      <c r="D13" s="25"/>
      <c r="E13" s="10"/>
      <c r="F13" s="21" t="str">
        <f t="shared" si="0"/>
        <v>-</v>
      </c>
    </row>
    <row r="14" spans="1:8" x14ac:dyDescent="0.3">
      <c r="A14" s="9" t="s">
        <v>75</v>
      </c>
      <c r="B14" s="25"/>
      <c r="C14" s="26">
        <f t="shared" si="1"/>
        <v>0</v>
      </c>
      <c r="D14" s="25"/>
      <c r="E14" s="10"/>
      <c r="F14" s="21" t="str">
        <f t="shared" si="0"/>
        <v>-</v>
      </c>
    </row>
    <row r="15" spans="1:8" x14ac:dyDescent="0.3">
      <c r="A15" s="9" t="s">
        <v>76</v>
      </c>
      <c r="B15" s="25"/>
      <c r="C15" s="26">
        <f t="shared" si="1"/>
        <v>0</v>
      </c>
      <c r="D15" s="25"/>
      <c r="E15" s="10"/>
      <c r="F15" s="21" t="str">
        <f t="shared" si="0"/>
        <v>-</v>
      </c>
    </row>
    <row r="16" spans="1:8" x14ac:dyDescent="0.3">
      <c r="A16" s="9" t="s">
        <v>77</v>
      </c>
      <c r="B16" s="25"/>
      <c r="C16" s="26">
        <f t="shared" si="1"/>
        <v>0</v>
      </c>
      <c r="D16" s="25"/>
      <c r="E16" s="10"/>
      <c r="F16" s="21" t="str">
        <f t="shared" si="0"/>
        <v>-</v>
      </c>
    </row>
    <row r="19" spans="1:8" ht="15.6" x14ac:dyDescent="0.3">
      <c r="A19" s="7" t="s">
        <v>117</v>
      </c>
    </row>
    <row r="20" spans="1:8" x14ac:dyDescent="0.3">
      <c r="A20" s="8" t="s">
        <v>118</v>
      </c>
      <c r="B20" s="8" t="s">
        <v>119</v>
      </c>
      <c r="C20" s="8" t="s">
        <v>120</v>
      </c>
      <c r="D20" s="8" t="s">
        <v>121</v>
      </c>
      <c r="E20" s="8" t="s">
        <v>122</v>
      </c>
      <c r="F20" s="8" t="s">
        <v>123</v>
      </c>
      <c r="G20" s="8" t="s">
        <v>124</v>
      </c>
      <c r="H20" s="8" t="s">
        <v>85</v>
      </c>
    </row>
    <row r="21" spans="1:8" x14ac:dyDescent="0.3">
      <c r="A21" s="20"/>
      <c r="B21" s="20"/>
      <c r="C21" s="20"/>
      <c r="D21" s="20"/>
      <c r="E21" s="20"/>
      <c r="F21" s="20"/>
      <c r="G21" s="20"/>
      <c r="H21" s="20"/>
    </row>
    <row r="22" spans="1:8" x14ac:dyDescent="0.3">
      <c r="A22" s="20"/>
      <c r="B22" s="20"/>
      <c r="C22" s="20"/>
      <c r="D22" s="20"/>
      <c r="E22" s="20"/>
      <c r="F22" s="20"/>
      <c r="G22" s="20"/>
      <c r="H22" s="20"/>
    </row>
    <row r="23" spans="1:8" x14ac:dyDescent="0.3">
      <c r="A23" s="20"/>
      <c r="B23" s="20"/>
      <c r="C23" s="20"/>
      <c r="D23" s="20"/>
      <c r="E23" s="20"/>
      <c r="F23" s="20"/>
      <c r="G23" s="20"/>
      <c r="H23" s="20"/>
    </row>
    <row r="24" spans="1:8" x14ac:dyDescent="0.3">
      <c r="A24" s="20"/>
      <c r="B24" s="20"/>
      <c r="C24" s="20"/>
      <c r="D24" s="20"/>
      <c r="E24" s="20"/>
      <c r="F24" s="20"/>
      <c r="G24" s="20"/>
      <c r="H24" s="20"/>
    </row>
    <row r="25" spans="1:8" x14ac:dyDescent="0.3">
      <c r="A25" s="20"/>
      <c r="B25" s="20"/>
      <c r="C25" s="20"/>
      <c r="D25" s="20"/>
      <c r="E25" s="20"/>
      <c r="F25" s="20"/>
      <c r="G25" s="20"/>
      <c r="H25" s="20"/>
    </row>
    <row r="26" spans="1:8" x14ac:dyDescent="0.3">
      <c r="A26" s="20"/>
      <c r="B26" s="20"/>
      <c r="C26" s="20"/>
      <c r="D26" s="20"/>
      <c r="E26" s="20"/>
      <c r="F26" s="20"/>
      <c r="G26" s="20"/>
      <c r="H26" s="20"/>
    </row>
    <row r="27" spans="1:8" x14ac:dyDescent="0.3">
      <c r="A27" s="20"/>
      <c r="B27" s="20"/>
      <c r="C27" s="20"/>
      <c r="D27" s="20"/>
      <c r="E27" s="20"/>
      <c r="F27" s="20"/>
      <c r="G27" s="20"/>
      <c r="H27" s="20"/>
    </row>
    <row r="28" spans="1:8" x14ac:dyDescent="0.3">
      <c r="A28" s="20"/>
      <c r="B28" s="20"/>
      <c r="C28" s="20"/>
      <c r="D28" s="20"/>
      <c r="E28" s="20"/>
      <c r="F28" s="20"/>
      <c r="G28" s="20"/>
      <c r="H28" s="20"/>
    </row>
    <row r="29" spans="1:8" x14ac:dyDescent="0.3">
      <c r="A29" s="20"/>
      <c r="B29" s="20"/>
      <c r="C29" s="20"/>
      <c r="D29" s="20"/>
      <c r="E29" s="20"/>
      <c r="F29" s="20"/>
      <c r="G29" s="20"/>
      <c r="H29" s="20"/>
    </row>
    <row r="30" spans="1:8" x14ac:dyDescent="0.3">
      <c r="A30" s="20"/>
      <c r="B30" s="20"/>
      <c r="C30" s="20"/>
      <c r="D30" s="20"/>
      <c r="E30" s="20"/>
      <c r="F30" s="20"/>
      <c r="G30" s="20"/>
      <c r="H30" s="20"/>
    </row>
    <row r="31" spans="1:8" x14ac:dyDescent="0.3">
      <c r="A31" s="20"/>
      <c r="B31" s="20"/>
      <c r="C31" s="20"/>
      <c r="D31" s="20"/>
      <c r="E31" s="20"/>
      <c r="F31" s="20"/>
      <c r="G31" s="20"/>
      <c r="H31" s="20"/>
    </row>
    <row r="32" spans="1:8" x14ac:dyDescent="0.3">
      <c r="A32" s="20"/>
      <c r="B32" s="20"/>
      <c r="C32" s="20"/>
      <c r="D32" s="20"/>
      <c r="E32" s="20"/>
      <c r="F32" s="20"/>
      <c r="G32" s="20"/>
      <c r="H32" s="20"/>
    </row>
    <row r="33" spans="1:8" x14ac:dyDescent="0.3">
      <c r="A33" s="20"/>
      <c r="B33" s="20"/>
      <c r="C33" s="20"/>
      <c r="D33" s="20"/>
      <c r="E33" s="20"/>
      <c r="F33" s="20"/>
      <c r="G33" s="20"/>
      <c r="H33" s="20"/>
    </row>
    <row r="34" spans="1:8" x14ac:dyDescent="0.3">
      <c r="A34" s="20"/>
      <c r="B34" s="20"/>
      <c r="C34" s="20"/>
      <c r="D34" s="20"/>
      <c r="E34" s="20"/>
      <c r="F34" s="20"/>
      <c r="G34" s="20"/>
      <c r="H34" s="20"/>
    </row>
    <row r="35" spans="1:8" x14ac:dyDescent="0.3">
      <c r="A35" s="20"/>
      <c r="B35" s="20"/>
      <c r="C35" s="20"/>
      <c r="D35" s="20"/>
      <c r="E35" s="20"/>
      <c r="F35" s="20"/>
      <c r="G35" s="20"/>
      <c r="H35" s="20"/>
    </row>
  </sheetData>
  <mergeCells count="1">
    <mergeCell ref="A1:H1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BCD4"/>
  </sheetPr>
  <dimension ref="A1:G22"/>
  <sheetViews>
    <sheetView zoomScaleNormal="100" workbookViewId="0">
      <pane ySplit="4" topLeftCell="A5" activePane="bottomLeft" state="frozen"/>
      <selection pane="bottomLeft" activeCell="A7" sqref="A7"/>
    </sheetView>
  </sheetViews>
  <sheetFormatPr defaultColWidth="8.6640625" defaultRowHeight="14.4" x14ac:dyDescent="0.3"/>
  <cols>
    <col min="1" max="1" width="32" customWidth="1"/>
    <col min="2" max="2" width="18" customWidth="1"/>
    <col min="3" max="4" width="22" customWidth="1"/>
    <col min="5" max="5" width="18" customWidth="1"/>
    <col min="6" max="6" width="10" customWidth="1"/>
    <col min="7" max="7" width="18" customWidth="1"/>
  </cols>
  <sheetData>
    <row r="1" spans="1:7" ht="34.5" customHeight="1" x14ac:dyDescent="0.3">
      <c r="A1" s="2" t="s">
        <v>125</v>
      </c>
      <c r="B1" s="2"/>
      <c r="C1" s="2"/>
      <c r="D1" s="2"/>
      <c r="E1" s="2"/>
      <c r="F1" s="2"/>
      <c r="G1" s="2"/>
    </row>
    <row r="3" spans="1:7" ht="15.6" x14ac:dyDescent="0.3">
      <c r="A3" s="7" t="s">
        <v>126</v>
      </c>
    </row>
    <row r="4" spans="1:7" x14ac:dyDescent="0.3">
      <c r="A4" s="8" t="s">
        <v>41</v>
      </c>
      <c r="B4" s="8" t="s">
        <v>127</v>
      </c>
      <c r="C4" s="8" t="s">
        <v>128</v>
      </c>
      <c r="D4" s="8" t="s">
        <v>129</v>
      </c>
      <c r="E4" s="8" t="s">
        <v>130</v>
      </c>
      <c r="F4" s="8" t="s">
        <v>131</v>
      </c>
      <c r="G4" s="8" t="s">
        <v>132</v>
      </c>
    </row>
    <row r="5" spans="1:7" x14ac:dyDescent="0.3">
      <c r="A5" s="9" t="s">
        <v>133</v>
      </c>
      <c r="B5" s="20"/>
      <c r="C5" s="27" t="s">
        <v>134</v>
      </c>
      <c r="D5" s="28" t="s">
        <v>135</v>
      </c>
      <c r="E5" s="20"/>
      <c r="F5" s="29">
        <v>0.2</v>
      </c>
      <c r="G5" s="11">
        <f t="shared" ref="G5:G11" si="0">E5*F5</f>
        <v>0</v>
      </c>
    </row>
    <row r="6" spans="1:7" x14ac:dyDescent="0.3">
      <c r="A6" s="9" t="s">
        <v>136</v>
      </c>
      <c r="B6" s="20"/>
      <c r="C6" s="27" t="s">
        <v>137</v>
      </c>
      <c r="D6" s="28" t="s">
        <v>138</v>
      </c>
      <c r="E6" s="20"/>
      <c r="F6" s="29">
        <v>0.2</v>
      </c>
      <c r="G6" s="11">
        <f t="shared" si="0"/>
        <v>0</v>
      </c>
    </row>
    <row r="7" spans="1:7" x14ac:dyDescent="0.3">
      <c r="A7" s="9" t="s">
        <v>139</v>
      </c>
      <c r="B7" s="20"/>
      <c r="C7" s="27" t="s">
        <v>140</v>
      </c>
      <c r="D7" s="28" t="s">
        <v>141</v>
      </c>
      <c r="E7" s="20"/>
      <c r="F7" s="29">
        <v>0.15</v>
      </c>
      <c r="G7" s="11">
        <f t="shared" si="0"/>
        <v>0</v>
      </c>
    </row>
    <row r="8" spans="1:7" x14ac:dyDescent="0.3">
      <c r="A8" s="9" t="s">
        <v>142</v>
      </c>
      <c r="B8" s="20"/>
      <c r="C8" s="27" t="s">
        <v>143</v>
      </c>
      <c r="D8" s="28" t="s">
        <v>144</v>
      </c>
      <c r="E8" s="20"/>
      <c r="F8" s="29">
        <v>0.15</v>
      </c>
      <c r="G8" s="11">
        <f t="shared" si="0"/>
        <v>0</v>
      </c>
    </row>
    <row r="9" spans="1:7" x14ac:dyDescent="0.3">
      <c r="A9" s="9" t="s">
        <v>145</v>
      </c>
      <c r="B9" s="20"/>
      <c r="C9" s="27" t="s">
        <v>146</v>
      </c>
      <c r="D9" s="28" t="s">
        <v>147</v>
      </c>
      <c r="E9" s="20"/>
      <c r="F9" s="29">
        <v>0.1</v>
      </c>
      <c r="G9" s="11">
        <f t="shared" si="0"/>
        <v>0</v>
      </c>
    </row>
    <row r="10" spans="1:7" x14ac:dyDescent="0.3">
      <c r="A10" s="9" t="s">
        <v>148</v>
      </c>
      <c r="B10" s="20"/>
      <c r="C10" s="27" t="s">
        <v>149</v>
      </c>
      <c r="D10" s="28" t="s">
        <v>150</v>
      </c>
      <c r="E10" s="20"/>
      <c r="F10" s="29">
        <v>0.1</v>
      </c>
      <c r="G10" s="11">
        <f t="shared" si="0"/>
        <v>0</v>
      </c>
    </row>
    <row r="11" spans="1:7" x14ac:dyDescent="0.3">
      <c r="A11" s="9" t="s">
        <v>151</v>
      </c>
      <c r="B11" s="20"/>
      <c r="C11" s="27" t="s">
        <v>152</v>
      </c>
      <c r="D11" s="28" t="s">
        <v>153</v>
      </c>
      <c r="E11" s="20"/>
      <c r="F11" s="29">
        <v>0.1</v>
      </c>
      <c r="G11" s="11">
        <f t="shared" si="0"/>
        <v>0</v>
      </c>
    </row>
    <row r="13" spans="1:7" ht="17.399999999999999" x14ac:dyDescent="0.3">
      <c r="A13" s="30" t="s">
        <v>154</v>
      </c>
      <c r="G13" s="31">
        <f>SUM(G5:G11)</f>
        <v>0</v>
      </c>
    </row>
    <row r="14" spans="1:7" ht="15.6" x14ac:dyDescent="0.3">
      <c r="A14" s="7" t="s">
        <v>155</v>
      </c>
      <c r="G14" s="32" t="str">
        <f>IF(G13&gt;0.5,"BUY DFL (physical tightening)",IF(G13&lt;-0.5,"SELL DFL (physical softening)","NEUTRAL"))</f>
        <v>NEUTRAL</v>
      </c>
    </row>
    <row r="17" spans="1:5" ht="15.6" x14ac:dyDescent="0.3">
      <c r="A17" s="7" t="s">
        <v>156</v>
      </c>
    </row>
    <row r="18" spans="1:5" x14ac:dyDescent="0.3">
      <c r="A18" s="33" t="s">
        <v>157</v>
      </c>
      <c r="B18" s="1" t="s">
        <v>158</v>
      </c>
      <c r="C18" s="1"/>
      <c r="D18" s="1"/>
      <c r="E18" s="1"/>
    </row>
    <row r="19" spans="1:5" x14ac:dyDescent="0.3">
      <c r="A19" s="33" t="s">
        <v>159</v>
      </c>
      <c r="B19" s="1" t="s">
        <v>160</v>
      </c>
      <c r="C19" s="1"/>
      <c r="D19" s="1"/>
      <c r="E19" s="1"/>
    </row>
    <row r="20" spans="1:5" x14ac:dyDescent="0.3">
      <c r="A20" s="33" t="s">
        <v>161</v>
      </c>
      <c r="B20" s="1" t="s">
        <v>162</v>
      </c>
      <c r="C20" s="1"/>
      <c r="D20" s="1"/>
      <c r="E20" s="1"/>
    </row>
    <row r="21" spans="1:5" x14ac:dyDescent="0.3">
      <c r="A21" s="33" t="s">
        <v>163</v>
      </c>
      <c r="B21" s="1" t="s">
        <v>164</v>
      </c>
      <c r="C21" s="1"/>
      <c r="D21" s="1"/>
      <c r="E21" s="1"/>
    </row>
    <row r="22" spans="1:5" x14ac:dyDescent="0.3">
      <c r="A22" s="33" t="s">
        <v>165</v>
      </c>
      <c r="B22" s="1" t="s">
        <v>166</v>
      </c>
      <c r="C22" s="1"/>
      <c r="D22" s="1"/>
      <c r="E22" s="1"/>
    </row>
  </sheetData>
  <mergeCells count="6">
    <mergeCell ref="B22:E22"/>
    <mergeCell ref="A1:G1"/>
    <mergeCell ref="B18:E18"/>
    <mergeCell ref="B19:E19"/>
    <mergeCell ref="B20:E20"/>
    <mergeCell ref="B21:E21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607D8B"/>
  </sheetPr>
  <dimension ref="A1:J63"/>
  <sheetViews>
    <sheetView zoomScaleNormal="100" workbookViewId="0">
      <pane ySplit="3" topLeftCell="A4" activePane="bottomLeft" state="frozen"/>
      <selection pane="bottomLeft" activeCell="H3" sqref="H3"/>
    </sheetView>
  </sheetViews>
  <sheetFormatPr defaultColWidth="8.6640625" defaultRowHeight="14.4" x14ac:dyDescent="0.3"/>
  <cols>
    <col min="1" max="9" width="14" customWidth="1"/>
    <col min="10" max="10" width="30" customWidth="1"/>
  </cols>
  <sheetData>
    <row r="1" spans="1:10" ht="34.5" customHeight="1" x14ac:dyDescent="0.3">
      <c r="A1" s="2" t="s">
        <v>167</v>
      </c>
      <c r="B1" s="2"/>
      <c r="C1" s="2"/>
      <c r="D1" s="2"/>
      <c r="E1" s="2"/>
      <c r="F1" s="2"/>
      <c r="G1" s="2"/>
      <c r="H1" s="2"/>
      <c r="I1" s="2"/>
      <c r="J1" s="2"/>
    </row>
    <row r="3" spans="1:10" ht="27.6" x14ac:dyDescent="0.3">
      <c r="A3" s="8" t="s">
        <v>44</v>
      </c>
      <c r="B3" s="8" t="s">
        <v>168</v>
      </c>
      <c r="C3" s="8" t="s">
        <v>169</v>
      </c>
      <c r="D3" s="8" t="s">
        <v>170</v>
      </c>
      <c r="E3" s="8" t="s">
        <v>171</v>
      </c>
      <c r="F3" s="8" t="s">
        <v>172</v>
      </c>
      <c r="G3" s="8" t="s">
        <v>173</v>
      </c>
      <c r="H3" s="8" t="s">
        <v>174</v>
      </c>
      <c r="I3" s="8" t="s">
        <v>175</v>
      </c>
      <c r="J3" s="8" t="s">
        <v>86</v>
      </c>
    </row>
    <row r="4" spans="1:10" x14ac:dyDescent="0.3">
      <c r="A4" s="18"/>
      <c r="B4" s="10"/>
      <c r="C4" s="10"/>
      <c r="D4" s="11" t="str">
        <f t="shared" ref="D4:D35" si="0">IF(AND(B4&lt;&gt;"",C4&lt;&gt;""),B4-C4,"")</f>
        <v/>
      </c>
      <c r="E4" s="10"/>
      <c r="F4" s="10"/>
      <c r="G4" s="11"/>
      <c r="H4" s="11"/>
      <c r="I4" s="11"/>
      <c r="J4" s="20"/>
    </row>
    <row r="5" spans="1:10" x14ac:dyDescent="0.3">
      <c r="A5" s="18"/>
      <c r="B5" s="10"/>
      <c r="C5" s="10"/>
      <c r="D5" s="11" t="str">
        <f t="shared" si="0"/>
        <v/>
      </c>
      <c r="E5" s="10"/>
      <c r="F5" s="10"/>
      <c r="G5" s="11"/>
      <c r="H5" s="11"/>
      <c r="I5" s="11"/>
      <c r="J5" s="20"/>
    </row>
    <row r="6" spans="1:10" x14ac:dyDescent="0.3">
      <c r="A6" s="18"/>
      <c r="B6" s="10"/>
      <c r="C6" s="10"/>
      <c r="D6" s="11" t="str">
        <f t="shared" si="0"/>
        <v/>
      </c>
      <c r="E6" s="10"/>
      <c r="F6" s="10"/>
      <c r="G6" s="11"/>
      <c r="H6" s="11"/>
      <c r="I6" s="11"/>
      <c r="J6" s="20"/>
    </row>
    <row r="7" spans="1:10" x14ac:dyDescent="0.3">
      <c r="A7" s="18"/>
      <c r="B7" s="10"/>
      <c r="C7" s="10"/>
      <c r="D7" s="11" t="str">
        <f t="shared" si="0"/>
        <v/>
      </c>
      <c r="E7" s="10"/>
      <c r="F7" s="10"/>
      <c r="G7" s="11"/>
      <c r="H7" s="11"/>
      <c r="I7" s="11"/>
      <c r="J7" s="20"/>
    </row>
    <row r="8" spans="1:10" x14ac:dyDescent="0.3">
      <c r="A8" s="18"/>
      <c r="B8" s="10"/>
      <c r="C8" s="10"/>
      <c r="D8" s="11" t="str">
        <f t="shared" si="0"/>
        <v/>
      </c>
      <c r="E8" s="10"/>
      <c r="F8" s="10"/>
      <c r="G8" s="11" t="str">
        <f t="shared" ref="G8:G39" si="1">IF(COUNT(D4:D8)=5,AVERAGE(D4:D8),"")</f>
        <v/>
      </c>
      <c r="H8" s="11"/>
      <c r="I8" s="11"/>
      <c r="J8" s="20"/>
    </row>
    <row r="9" spans="1:10" x14ac:dyDescent="0.3">
      <c r="A9" s="18"/>
      <c r="B9" s="10"/>
      <c r="C9" s="10"/>
      <c r="D9" s="11" t="str">
        <f t="shared" si="0"/>
        <v/>
      </c>
      <c r="E9" s="10"/>
      <c r="F9" s="10"/>
      <c r="G9" s="11" t="str">
        <f t="shared" si="1"/>
        <v/>
      </c>
      <c r="H9" s="11"/>
      <c r="I9" s="11"/>
      <c r="J9" s="20"/>
    </row>
    <row r="10" spans="1:10" x14ac:dyDescent="0.3">
      <c r="A10" s="18"/>
      <c r="B10" s="10"/>
      <c r="C10" s="10"/>
      <c r="D10" s="11" t="str">
        <f t="shared" si="0"/>
        <v/>
      </c>
      <c r="E10" s="10"/>
      <c r="F10" s="10"/>
      <c r="G10" s="11" t="str">
        <f t="shared" si="1"/>
        <v/>
      </c>
      <c r="H10" s="11"/>
      <c r="I10" s="11"/>
      <c r="J10" s="20"/>
    </row>
    <row r="11" spans="1:10" x14ac:dyDescent="0.3">
      <c r="A11" s="18"/>
      <c r="B11" s="10"/>
      <c r="C11" s="10"/>
      <c r="D11" s="11" t="str">
        <f t="shared" si="0"/>
        <v/>
      </c>
      <c r="E11" s="10"/>
      <c r="F11" s="10"/>
      <c r="G11" s="11" t="str">
        <f t="shared" si="1"/>
        <v/>
      </c>
      <c r="H11" s="11"/>
      <c r="I11" s="11"/>
      <c r="J11" s="20"/>
    </row>
    <row r="12" spans="1:10" x14ac:dyDescent="0.3">
      <c r="A12" s="18"/>
      <c r="B12" s="10"/>
      <c r="C12" s="10"/>
      <c r="D12" s="11" t="str">
        <f t="shared" si="0"/>
        <v/>
      </c>
      <c r="E12" s="10"/>
      <c r="F12" s="10"/>
      <c r="G12" s="11" t="str">
        <f t="shared" si="1"/>
        <v/>
      </c>
      <c r="H12" s="11"/>
      <c r="I12" s="11"/>
      <c r="J12" s="20"/>
    </row>
    <row r="13" spans="1:10" x14ac:dyDescent="0.3">
      <c r="A13" s="18"/>
      <c r="B13" s="10"/>
      <c r="C13" s="10"/>
      <c r="D13" s="11" t="str">
        <f t="shared" si="0"/>
        <v/>
      </c>
      <c r="E13" s="10"/>
      <c r="F13" s="10"/>
      <c r="G13" s="11" t="str">
        <f t="shared" si="1"/>
        <v/>
      </c>
      <c r="H13" s="11"/>
      <c r="I13" s="11"/>
      <c r="J13" s="20"/>
    </row>
    <row r="14" spans="1:10" x14ac:dyDescent="0.3">
      <c r="A14" s="18"/>
      <c r="B14" s="10"/>
      <c r="C14" s="10"/>
      <c r="D14" s="11" t="str">
        <f t="shared" si="0"/>
        <v/>
      </c>
      <c r="E14" s="10"/>
      <c r="F14" s="10"/>
      <c r="G14" s="11" t="str">
        <f t="shared" si="1"/>
        <v/>
      </c>
      <c r="H14" s="11"/>
      <c r="I14" s="11"/>
      <c r="J14" s="20"/>
    </row>
    <row r="15" spans="1:10" x14ac:dyDescent="0.3">
      <c r="A15" s="18"/>
      <c r="B15" s="10"/>
      <c r="C15" s="10"/>
      <c r="D15" s="11" t="str">
        <f t="shared" si="0"/>
        <v/>
      </c>
      <c r="E15" s="10"/>
      <c r="F15" s="10"/>
      <c r="G15" s="11" t="str">
        <f t="shared" si="1"/>
        <v/>
      </c>
      <c r="H15" s="11"/>
      <c r="I15" s="11"/>
      <c r="J15" s="20"/>
    </row>
    <row r="16" spans="1:10" x14ac:dyDescent="0.3">
      <c r="A16" s="18"/>
      <c r="B16" s="10"/>
      <c r="C16" s="10"/>
      <c r="D16" s="11" t="str">
        <f t="shared" si="0"/>
        <v/>
      </c>
      <c r="E16" s="10"/>
      <c r="F16" s="10"/>
      <c r="G16" s="11" t="str">
        <f t="shared" si="1"/>
        <v/>
      </c>
      <c r="H16" s="11"/>
      <c r="I16" s="11"/>
      <c r="J16" s="20"/>
    </row>
    <row r="17" spans="1:10" x14ac:dyDescent="0.3">
      <c r="A17" s="18"/>
      <c r="B17" s="10"/>
      <c r="C17" s="10"/>
      <c r="D17" s="11" t="str">
        <f t="shared" si="0"/>
        <v/>
      </c>
      <c r="E17" s="10"/>
      <c r="F17" s="10"/>
      <c r="G17" s="11" t="str">
        <f t="shared" si="1"/>
        <v/>
      </c>
      <c r="H17" s="11"/>
      <c r="I17" s="11"/>
      <c r="J17" s="20"/>
    </row>
    <row r="18" spans="1:10" x14ac:dyDescent="0.3">
      <c r="A18" s="18"/>
      <c r="B18" s="10"/>
      <c r="C18" s="10"/>
      <c r="D18" s="11" t="str">
        <f t="shared" si="0"/>
        <v/>
      </c>
      <c r="E18" s="10"/>
      <c r="F18" s="10"/>
      <c r="G18" s="11" t="str">
        <f t="shared" si="1"/>
        <v/>
      </c>
      <c r="H18" s="11"/>
      <c r="I18" s="11"/>
      <c r="J18" s="20"/>
    </row>
    <row r="19" spans="1:10" x14ac:dyDescent="0.3">
      <c r="A19" s="18"/>
      <c r="B19" s="10"/>
      <c r="C19" s="10"/>
      <c r="D19" s="11" t="str">
        <f t="shared" si="0"/>
        <v/>
      </c>
      <c r="E19" s="10"/>
      <c r="F19" s="10"/>
      <c r="G19" s="11" t="str">
        <f t="shared" si="1"/>
        <v/>
      </c>
      <c r="H19" s="11"/>
      <c r="I19" s="11"/>
      <c r="J19" s="20"/>
    </row>
    <row r="20" spans="1:10" x14ac:dyDescent="0.3">
      <c r="A20" s="18"/>
      <c r="B20" s="10"/>
      <c r="C20" s="10"/>
      <c r="D20" s="11" t="str">
        <f t="shared" si="0"/>
        <v/>
      </c>
      <c r="E20" s="10"/>
      <c r="F20" s="10"/>
      <c r="G20" s="11" t="str">
        <f t="shared" si="1"/>
        <v/>
      </c>
      <c r="H20" s="11"/>
      <c r="I20" s="11"/>
      <c r="J20" s="20"/>
    </row>
    <row r="21" spans="1:10" x14ac:dyDescent="0.3">
      <c r="A21" s="18"/>
      <c r="B21" s="10"/>
      <c r="C21" s="10"/>
      <c r="D21" s="11" t="str">
        <f t="shared" si="0"/>
        <v/>
      </c>
      <c r="E21" s="10"/>
      <c r="F21" s="10"/>
      <c r="G21" s="11" t="str">
        <f t="shared" si="1"/>
        <v/>
      </c>
      <c r="H21" s="11"/>
      <c r="I21" s="11"/>
      <c r="J21" s="20"/>
    </row>
    <row r="22" spans="1:10" x14ac:dyDescent="0.3">
      <c r="A22" s="18"/>
      <c r="B22" s="10"/>
      <c r="C22" s="10"/>
      <c r="D22" s="11" t="str">
        <f t="shared" si="0"/>
        <v/>
      </c>
      <c r="E22" s="10"/>
      <c r="F22" s="10"/>
      <c r="G22" s="11" t="str">
        <f t="shared" si="1"/>
        <v/>
      </c>
      <c r="H22" s="11"/>
      <c r="I22" s="11"/>
      <c r="J22" s="20"/>
    </row>
    <row r="23" spans="1:10" x14ac:dyDescent="0.3">
      <c r="A23" s="18"/>
      <c r="B23" s="10"/>
      <c r="C23" s="10"/>
      <c r="D23" s="11" t="str">
        <f t="shared" si="0"/>
        <v/>
      </c>
      <c r="E23" s="10"/>
      <c r="F23" s="10"/>
      <c r="G23" s="11" t="str">
        <f t="shared" si="1"/>
        <v/>
      </c>
      <c r="H23" s="11" t="str">
        <f t="shared" ref="H23:H63" si="2">IF(COUNT(D4:D23)=20,AVERAGE(D4:D23),"")</f>
        <v/>
      </c>
      <c r="I23" s="11" t="str">
        <f t="shared" ref="I23:I63" si="3">IFERROR(IF(AND(H23&lt;&gt;"",STDEV(D4:D23)&lt;&gt;0),(D23-H23)/STDEV(D4:D23),""),"")</f>
        <v/>
      </c>
      <c r="J23" s="20"/>
    </row>
    <row r="24" spans="1:10" x14ac:dyDescent="0.3">
      <c r="A24" s="18"/>
      <c r="B24" s="10"/>
      <c r="C24" s="10"/>
      <c r="D24" s="11" t="str">
        <f t="shared" si="0"/>
        <v/>
      </c>
      <c r="E24" s="10"/>
      <c r="F24" s="10"/>
      <c r="G24" s="11" t="str">
        <f t="shared" si="1"/>
        <v/>
      </c>
      <c r="H24" s="11" t="str">
        <f t="shared" si="2"/>
        <v/>
      </c>
      <c r="I24" s="11" t="str">
        <f t="shared" si="3"/>
        <v/>
      </c>
      <c r="J24" s="20"/>
    </row>
    <row r="25" spans="1:10" x14ac:dyDescent="0.3">
      <c r="A25" s="18"/>
      <c r="B25" s="10"/>
      <c r="C25" s="10"/>
      <c r="D25" s="11" t="str">
        <f t="shared" si="0"/>
        <v/>
      </c>
      <c r="E25" s="10"/>
      <c r="F25" s="10"/>
      <c r="G25" s="11" t="str">
        <f t="shared" si="1"/>
        <v/>
      </c>
      <c r="H25" s="11" t="str">
        <f t="shared" si="2"/>
        <v/>
      </c>
      <c r="I25" s="11" t="str">
        <f t="shared" si="3"/>
        <v/>
      </c>
      <c r="J25" s="20"/>
    </row>
    <row r="26" spans="1:10" x14ac:dyDescent="0.3">
      <c r="A26" s="18"/>
      <c r="B26" s="10"/>
      <c r="C26" s="10"/>
      <c r="D26" s="11" t="str">
        <f t="shared" si="0"/>
        <v/>
      </c>
      <c r="E26" s="10"/>
      <c r="F26" s="10"/>
      <c r="G26" s="11" t="str">
        <f t="shared" si="1"/>
        <v/>
      </c>
      <c r="H26" s="11" t="str">
        <f t="shared" si="2"/>
        <v/>
      </c>
      <c r="I26" s="11" t="str">
        <f t="shared" si="3"/>
        <v/>
      </c>
      <c r="J26" s="20"/>
    </row>
    <row r="27" spans="1:10" x14ac:dyDescent="0.3">
      <c r="A27" s="18"/>
      <c r="B27" s="10"/>
      <c r="C27" s="10"/>
      <c r="D27" s="11" t="str">
        <f t="shared" si="0"/>
        <v/>
      </c>
      <c r="E27" s="10"/>
      <c r="F27" s="10"/>
      <c r="G27" s="11" t="str">
        <f t="shared" si="1"/>
        <v/>
      </c>
      <c r="H27" s="11" t="str">
        <f t="shared" si="2"/>
        <v/>
      </c>
      <c r="I27" s="11" t="str">
        <f t="shared" si="3"/>
        <v/>
      </c>
      <c r="J27" s="20"/>
    </row>
    <row r="28" spans="1:10" x14ac:dyDescent="0.3">
      <c r="A28" s="18"/>
      <c r="B28" s="10"/>
      <c r="C28" s="10"/>
      <c r="D28" s="11" t="str">
        <f t="shared" si="0"/>
        <v/>
      </c>
      <c r="E28" s="10"/>
      <c r="F28" s="10"/>
      <c r="G28" s="11" t="str">
        <f t="shared" si="1"/>
        <v/>
      </c>
      <c r="H28" s="11" t="str">
        <f t="shared" si="2"/>
        <v/>
      </c>
      <c r="I28" s="11" t="str">
        <f t="shared" si="3"/>
        <v/>
      </c>
      <c r="J28" s="20"/>
    </row>
    <row r="29" spans="1:10" x14ac:dyDescent="0.3">
      <c r="A29" s="18"/>
      <c r="B29" s="10"/>
      <c r="C29" s="10"/>
      <c r="D29" s="11" t="str">
        <f t="shared" si="0"/>
        <v/>
      </c>
      <c r="E29" s="10"/>
      <c r="F29" s="10"/>
      <c r="G29" s="11" t="str">
        <f t="shared" si="1"/>
        <v/>
      </c>
      <c r="H29" s="11" t="str">
        <f t="shared" si="2"/>
        <v/>
      </c>
      <c r="I29" s="11" t="str">
        <f t="shared" si="3"/>
        <v/>
      </c>
      <c r="J29" s="20"/>
    </row>
    <row r="30" spans="1:10" x14ac:dyDescent="0.3">
      <c r="A30" s="18"/>
      <c r="B30" s="10"/>
      <c r="C30" s="10"/>
      <c r="D30" s="11" t="str">
        <f t="shared" si="0"/>
        <v/>
      </c>
      <c r="E30" s="10"/>
      <c r="F30" s="10"/>
      <c r="G30" s="11" t="str">
        <f t="shared" si="1"/>
        <v/>
      </c>
      <c r="H30" s="11" t="str">
        <f t="shared" si="2"/>
        <v/>
      </c>
      <c r="I30" s="11" t="str">
        <f t="shared" si="3"/>
        <v/>
      </c>
      <c r="J30" s="20"/>
    </row>
    <row r="31" spans="1:10" x14ac:dyDescent="0.3">
      <c r="A31" s="18"/>
      <c r="B31" s="10"/>
      <c r="C31" s="10"/>
      <c r="D31" s="11" t="str">
        <f t="shared" si="0"/>
        <v/>
      </c>
      <c r="E31" s="10"/>
      <c r="F31" s="10"/>
      <c r="G31" s="11" t="str">
        <f t="shared" si="1"/>
        <v/>
      </c>
      <c r="H31" s="11" t="str">
        <f t="shared" si="2"/>
        <v/>
      </c>
      <c r="I31" s="11" t="str">
        <f t="shared" si="3"/>
        <v/>
      </c>
      <c r="J31" s="20"/>
    </row>
    <row r="32" spans="1:10" x14ac:dyDescent="0.3">
      <c r="A32" s="18"/>
      <c r="B32" s="10"/>
      <c r="C32" s="10"/>
      <c r="D32" s="11" t="str">
        <f t="shared" si="0"/>
        <v/>
      </c>
      <c r="E32" s="10"/>
      <c r="F32" s="10"/>
      <c r="G32" s="11" t="str">
        <f t="shared" si="1"/>
        <v/>
      </c>
      <c r="H32" s="11" t="str">
        <f t="shared" si="2"/>
        <v/>
      </c>
      <c r="I32" s="11" t="str">
        <f t="shared" si="3"/>
        <v/>
      </c>
      <c r="J32" s="20"/>
    </row>
    <row r="33" spans="1:10" x14ac:dyDescent="0.3">
      <c r="A33" s="18"/>
      <c r="B33" s="10"/>
      <c r="C33" s="10"/>
      <c r="D33" s="11" t="str">
        <f t="shared" si="0"/>
        <v/>
      </c>
      <c r="E33" s="10"/>
      <c r="F33" s="10"/>
      <c r="G33" s="11" t="str">
        <f t="shared" si="1"/>
        <v/>
      </c>
      <c r="H33" s="11" t="str">
        <f t="shared" si="2"/>
        <v/>
      </c>
      <c r="I33" s="11" t="str">
        <f t="shared" si="3"/>
        <v/>
      </c>
      <c r="J33" s="20"/>
    </row>
    <row r="34" spans="1:10" x14ac:dyDescent="0.3">
      <c r="A34" s="18"/>
      <c r="B34" s="10"/>
      <c r="C34" s="10"/>
      <c r="D34" s="11" t="str">
        <f t="shared" si="0"/>
        <v/>
      </c>
      <c r="E34" s="10"/>
      <c r="F34" s="10"/>
      <c r="G34" s="11" t="str">
        <f t="shared" si="1"/>
        <v/>
      </c>
      <c r="H34" s="11" t="str">
        <f t="shared" si="2"/>
        <v/>
      </c>
      <c r="I34" s="11" t="str">
        <f t="shared" si="3"/>
        <v/>
      </c>
      <c r="J34" s="20"/>
    </row>
    <row r="35" spans="1:10" x14ac:dyDescent="0.3">
      <c r="A35" s="18"/>
      <c r="B35" s="10"/>
      <c r="C35" s="10"/>
      <c r="D35" s="11" t="str">
        <f t="shared" si="0"/>
        <v/>
      </c>
      <c r="E35" s="10"/>
      <c r="F35" s="10"/>
      <c r="G35" s="11" t="str">
        <f t="shared" si="1"/>
        <v/>
      </c>
      <c r="H35" s="11" t="str">
        <f t="shared" si="2"/>
        <v/>
      </c>
      <c r="I35" s="11" t="str">
        <f t="shared" si="3"/>
        <v/>
      </c>
      <c r="J35" s="20"/>
    </row>
    <row r="36" spans="1:10" x14ac:dyDescent="0.3">
      <c r="A36" s="18"/>
      <c r="B36" s="10"/>
      <c r="C36" s="10"/>
      <c r="D36" s="11" t="str">
        <f t="shared" ref="D36:D67" si="4">IF(AND(B36&lt;&gt;"",C36&lt;&gt;""),B36-C36,"")</f>
        <v/>
      </c>
      <c r="E36" s="10"/>
      <c r="F36" s="10"/>
      <c r="G36" s="11" t="str">
        <f t="shared" si="1"/>
        <v/>
      </c>
      <c r="H36" s="11" t="str">
        <f t="shared" si="2"/>
        <v/>
      </c>
      <c r="I36" s="11" t="str">
        <f t="shared" si="3"/>
        <v/>
      </c>
      <c r="J36" s="20"/>
    </row>
    <row r="37" spans="1:10" x14ac:dyDescent="0.3">
      <c r="A37" s="18"/>
      <c r="B37" s="10"/>
      <c r="C37" s="10"/>
      <c r="D37" s="11" t="str">
        <f t="shared" si="4"/>
        <v/>
      </c>
      <c r="E37" s="10"/>
      <c r="F37" s="10"/>
      <c r="G37" s="11" t="str">
        <f t="shared" si="1"/>
        <v/>
      </c>
      <c r="H37" s="11" t="str">
        <f t="shared" si="2"/>
        <v/>
      </c>
      <c r="I37" s="11" t="str">
        <f t="shared" si="3"/>
        <v/>
      </c>
      <c r="J37" s="20"/>
    </row>
    <row r="38" spans="1:10" x14ac:dyDescent="0.3">
      <c r="A38" s="18"/>
      <c r="B38" s="10"/>
      <c r="C38" s="10"/>
      <c r="D38" s="11" t="str">
        <f t="shared" si="4"/>
        <v/>
      </c>
      <c r="E38" s="10"/>
      <c r="F38" s="10"/>
      <c r="G38" s="11" t="str">
        <f t="shared" si="1"/>
        <v/>
      </c>
      <c r="H38" s="11" t="str">
        <f t="shared" si="2"/>
        <v/>
      </c>
      <c r="I38" s="11" t="str">
        <f t="shared" si="3"/>
        <v/>
      </c>
      <c r="J38" s="20"/>
    </row>
    <row r="39" spans="1:10" x14ac:dyDescent="0.3">
      <c r="A39" s="18"/>
      <c r="B39" s="10"/>
      <c r="C39" s="10"/>
      <c r="D39" s="11" t="str">
        <f t="shared" si="4"/>
        <v/>
      </c>
      <c r="E39" s="10"/>
      <c r="F39" s="10"/>
      <c r="G39" s="11" t="str">
        <f t="shared" si="1"/>
        <v/>
      </c>
      <c r="H39" s="11" t="str">
        <f t="shared" si="2"/>
        <v/>
      </c>
      <c r="I39" s="11" t="str">
        <f t="shared" si="3"/>
        <v/>
      </c>
      <c r="J39" s="20"/>
    </row>
    <row r="40" spans="1:10" x14ac:dyDescent="0.3">
      <c r="A40" s="18"/>
      <c r="B40" s="10"/>
      <c r="C40" s="10"/>
      <c r="D40" s="11" t="str">
        <f t="shared" si="4"/>
        <v/>
      </c>
      <c r="E40" s="10"/>
      <c r="F40" s="10"/>
      <c r="G40" s="11" t="str">
        <f t="shared" ref="G40:G71" si="5">IF(COUNT(D36:D40)=5,AVERAGE(D36:D40),"")</f>
        <v/>
      </c>
      <c r="H40" s="11" t="str">
        <f t="shared" si="2"/>
        <v/>
      </c>
      <c r="I40" s="11" t="str">
        <f t="shared" si="3"/>
        <v/>
      </c>
      <c r="J40" s="20"/>
    </row>
    <row r="41" spans="1:10" x14ac:dyDescent="0.3">
      <c r="A41" s="18"/>
      <c r="B41" s="10"/>
      <c r="C41" s="10"/>
      <c r="D41" s="11" t="str">
        <f t="shared" si="4"/>
        <v/>
      </c>
      <c r="E41" s="10"/>
      <c r="F41" s="10"/>
      <c r="G41" s="11" t="str">
        <f t="shared" si="5"/>
        <v/>
      </c>
      <c r="H41" s="11" t="str">
        <f t="shared" si="2"/>
        <v/>
      </c>
      <c r="I41" s="11" t="str">
        <f t="shared" si="3"/>
        <v/>
      </c>
      <c r="J41" s="20"/>
    </row>
    <row r="42" spans="1:10" x14ac:dyDescent="0.3">
      <c r="A42" s="18"/>
      <c r="B42" s="10"/>
      <c r="C42" s="10"/>
      <c r="D42" s="11" t="str">
        <f t="shared" si="4"/>
        <v/>
      </c>
      <c r="E42" s="10"/>
      <c r="F42" s="10"/>
      <c r="G42" s="11" t="str">
        <f t="shared" si="5"/>
        <v/>
      </c>
      <c r="H42" s="11" t="str">
        <f t="shared" si="2"/>
        <v/>
      </c>
      <c r="I42" s="11" t="str">
        <f t="shared" si="3"/>
        <v/>
      </c>
      <c r="J42" s="20"/>
    </row>
    <row r="43" spans="1:10" x14ac:dyDescent="0.3">
      <c r="A43" s="18"/>
      <c r="B43" s="10"/>
      <c r="C43" s="10"/>
      <c r="D43" s="11" t="str">
        <f t="shared" si="4"/>
        <v/>
      </c>
      <c r="E43" s="10"/>
      <c r="F43" s="10"/>
      <c r="G43" s="11" t="str">
        <f t="shared" si="5"/>
        <v/>
      </c>
      <c r="H43" s="11" t="str">
        <f t="shared" si="2"/>
        <v/>
      </c>
      <c r="I43" s="11" t="str">
        <f t="shared" si="3"/>
        <v/>
      </c>
      <c r="J43" s="20"/>
    </row>
    <row r="44" spans="1:10" x14ac:dyDescent="0.3">
      <c r="A44" s="18"/>
      <c r="B44" s="10"/>
      <c r="C44" s="10"/>
      <c r="D44" s="11" t="str">
        <f t="shared" si="4"/>
        <v/>
      </c>
      <c r="E44" s="10"/>
      <c r="F44" s="10"/>
      <c r="G44" s="11" t="str">
        <f t="shared" si="5"/>
        <v/>
      </c>
      <c r="H44" s="11" t="str">
        <f t="shared" si="2"/>
        <v/>
      </c>
      <c r="I44" s="11" t="str">
        <f t="shared" si="3"/>
        <v/>
      </c>
      <c r="J44" s="20"/>
    </row>
    <row r="45" spans="1:10" x14ac:dyDescent="0.3">
      <c r="A45" s="18"/>
      <c r="B45" s="10"/>
      <c r="C45" s="10"/>
      <c r="D45" s="11" t="str">
        <f t="shared" si="4"/>
        <v/>
      </c>
      <c r="E45" s="10"/>
      <c r="F45" s="10"/>
      <c r="G45" s="11" t="str">
        <f t="shared" si="5"/>
        <v/>
      </c>
      <c r="H45" s="11" t="str">
        <f t="shared" si="2"/>
        <v/>
      </c>
      <c r="I45" s="11" t="str">
        <f t="shared" si="3"/>
        <v/>
      </c>
      <c r="J45" s="20"/>
    </row>
    <row r="46" spans="1:10" x14ac:dyDescent="0.3">
      <c r="A46" s="18"/>
      <c r="B46" s="10"/>
      <c r="C46" s="10"/>
      <c r="D46" s="11" t="str">
        <f t="shared" si="4"/>
        <v/>
      </c>
      <c r="E46" s="10"/>
      <c r="F46" s="10"/>
      <c r="G46" s="11" t="str">
        <f t="shared" si="5"/>
        <v/>
      </c>
      <c r="H46" s="11" t="str">
        <f t="shared" si="2"/>
        <v/>
      </c>
      <c r="I46" s="11" t="str">
        <f t="shared" si="3"/>
        <v/>
      </c>
      <c r="J46" s="20"/>
    </row>
    <row r="47" spans="1:10" x14ac:dyDescent="0.3">
      <c r="A47" s="18"/>
      <c r="B47" s="10"/>
      <c r="C47" s="10"/>
      <c r="D47" s="11" t="str">
        <f t="shared" si="4"/>
        <v/>
      </c>
      <c r="E47" s="10"/>
      <c r="F47" s="10"/>
      <c r="G47" s="11" t="str">
        <f t="shared" si="5"/>
        <v/>
      </c>
      <c r="H47" s="11" t="str">
        <f t="shared" si="2"/>
        <v/>
      </c>
      <c r="I47" s="11" t="str">
        <f t="shared" si="3"/>
        <v/>
      </c>
      <c r="J47" s="20"/>
    </row>
    <row r="48" spans="1:10" x14ac:dyDescent="0.3">
      <c r="A48" s="18"/>
      <c r="B48" s="10"/>
      <c r="C48" s="10"/>
      <c r="D48" s="11" t="str">
        <f t="shared" si="4"/>
        <v/>
      </c>
      <c r="E48" s="10"/>
      <c r="F48" s="10"/>
      <c r="G48" s="11" t="str">
        <f t="shared" si="5"/>
        <v/>
      </c>
      <c r="H48" s="11" t="str">
        <f t="shared" si="2"/>
        <v/>
      </c>
      <c r="I48" s="11" t="str">
        <f t="shared" si="3"/>
        <v/>
      </c>
      <c r="J48" s="20"/>
    </row>
    <row r="49" spans="1:10" x14ac:dyDescent="0.3">
      <c r="A49" s="18"/>
      <c r="B49" s="10"/>
      <c r="C49" s="10"/>
      <c r="D49" s="11" t="str">
        <f t="shared" si="4"/>
        <v/>
      </c>
      <c r="E49" s="10"/>
      <c r="F49" s="10"/>
      <c r="G49" s="11" t="str">
        <f t="shared" si="5"/>
        <v/>
      </c>
      <c r="H49" s="11" t="str">
        <f t="shared" si="2"/>
        <v/>
      </c>
      <c r="I49" s="11" t="str">
        <f t="shared" si="3"/>
        <v/>
      </c>
      <c r="J49" s="20"/>
    </row>
    <row r="50" spans="1:10" x14ac:dyDescent="0.3">
      <c r="A50" s="18"/>
      <c r="B50" s="10"/>
      <c r="C50" s="10"/>
      <c r="D50" s="11" t="str">
        <f t="shared" si="4"/>
        <v/>
      </c>
      <c r="E50" s="10"/>
      <c r="F50" s="10"/>
      <c r="G50" s="11" t="str">
        <f t="shared" si="5"/>
        <v/>
      </c>
      <c r="H50" s="11" t="str">
        <f t="shared" si="2"/>
        <v/>
      </c>
      <c r="I50" s="11" t="str">
        <f t="shared" si="3"/>
        <v/>
      </c>
      <c r="J50" s="20"/>
    </row>
    <row r="51" spans="1:10" x14ac:dyDescent="0.3">
      <c r="A51" s="18"/>
      <c r="B51" s="10"/>
      <c r="C51" s="10"/>
      <c r="D51" s="11" t="str">
        <f t="shared" si="4"/>
        <v/>
      </c>
      <c r="E51" s="10"/>
      <c r="F51" s="10"/>
      <c r="G51" s="11" t="str">
        <f t="shared" si="5"/>
        <v/>
      </c>
      <c r="H51" s="11" t="str">
        <f t="shared" si="2"/>
        <v/>
      </c>
      <c r="I51" s="11" t="str">
        <f t="shared" si="3"/>
        <v/>
      </c>
      <c r="J51" s="20"/>
    </row>
    <row r="52" spans="1:10" x14ac:dyDescent="0.3">
      <c r="A52" s="18"/>
      <c r="B52" s="10"/>
      <c r="C52" s="10"/>
      <c r="D52" s="11" t="str">
        <f t="shared" si="4"/>
        <v/>
      </c>
      <c r="E52" s="10"/>
      <c r="F52" s="10"/>
      <c r="G52" s="11" t="str">
        <f t="shared" si="5"/>
        <v/>
      </c>
      <c r="H52" s="11" t="str">
        <f t="shared" si="2"/>
        <v/>
      </c>
      <c r="I52" s="11" t="str">
        <f t="shared" si="3"/>
        <v/>
      </c>
      <c r="J52" s="20"/>
    </row>
    <row r="53" spans="1:10" x14ac:dyDescent="0.3">
      <c r="A53" s="18"/>
      <c r="B53" s="10"/>
      <c r="C53" s="10"/>
      <c r="D53" s="11" t="str">
        <f t="shared" si="4"/>
        <v/>
      </c>
      <c r="E53" s="10"/>
      <c r="F53" s="10"/>
      <c r="G53" s="11" t="str">
        <f t="shared" si="5"/>
        <v/>
      </c>
      <c r="H53" s="11" t="str">
        <f t="shared" si="2"/>
        <v/>
      </c>
      <c r="I53" s="11" t="str">
        <f t="shared" si="3"/>
        <v/>
      </c>
      <c r="J53" s="20"/>
    </row>
    <row r="54" spans="1:10" x14ac:dyDescent="0.3">
      <c r="A54" s="18"/>
      <c r="B54" s="10"/>
      <c r="C54" s="10"/>
      <c r="D54" s="11" t="str">
        <f t="shared" si="4"/>
        <v/>
      </c>
      <c r="E54" s="10"/>
      <c r="F54" s="10"/>
      <c r="G54" s="11" t="str">
        <f t="shared" si="5"/>
        <v/>
      </c>
      <c r="H54" s="11" t="str">
        <f t="shared" si="2"/>
        <v/>
      </c>
      <c r="I54" s="11" t="str">
        <f t="shared" si="3"/>
        <v/>
      </c>
      <c r="J54" s="20"/>
    </row>
    <row r="55" spans="1:10" x14ac:dyDescent="0.3">
      <c r="A55" s="18"/>
      <c r="B55" s="10"/>
      <c r="C55" s="10"/>
      <c r="D55" s="11" t="str">
        <f t="shared" si="4"/>
        <v/>
      </c>
      <c r="E55" s="10"/>
      <c r="F55" s="10"/>
      <c r="G55" s="11" t="str">
        <f t="shared" si="5"/>
        <v/>
      </c>
      <c r="H55" s="11" t="str">
        <f t="shared" si="2"/>
        <v/>
      </c>
      <c r="I55" s="11" t="str">
        <f t="shared" si="3"/>
        <v/>
      </c>
      <c r="J55" s="20"/>
    </row>
    <row r="56" spans="1:10" x14ac:dyDescent="0.3">
      <c r="A56" s="18"/>
      <c r="B56" s="10"/>
      <c r="C56" s="10"/>
      <c r="D56" s="11" t="str">
        <f t="shared" si="4"/>
        <v/>
      </c>
      <c r="E56" s="10"/>
      <c r="F56" s="10"/>
      <c r="G56" s="11" t="str">
        <f t="shared" si="5"/>
        <v/>
      </c>
      <c r="H56" s="11" t="str">
        <f t="shared" si="2"/>
        <v/>
      </c>
      <c r="I56" s="11" t="str">
        <f t="shared" si="3"/>
        <v/>
      </c>
      <c r="J56" s="20"/>
    </row>
    <row r="57" spans="1:10" x14ac:dyDescent="0.3">
      <c r="A57" s="18"/>
      <c r="B57" s="10"/>
      <c r="C57" s="10"/>
      <c r="D57" s="11" t="str">
        <f t="shared" si="4"/>
        <v/>
      </c>
      <c r="E57" s="10"/>
      <c r="F57" s="10"/>
      <c r="G57" s="11" t="str">
        <f t="shared" si="5"/>
        <v/>
      </c>
      <c r="H57" s="11" t="str">
        <f t="shared" si="2"/>
        <v/>
      </c>
      <c r="I57" s="11" t="str">
        <f t="shared" si="3"/>
        <v/>
      </c>
      <c r="J57" s="20"/>
    </row>
    <row r="58" spans="1:10" x14ac:dyDescent="0.3">
      <c r="A58" s="18"/>
      <c r="B58" s="10"/>
      <c r="C58" s="10"/>
      <c r="D58" s="11" t="str">
        <f t="shared" si="4"/>
        <v/>
      </c>
      <c r="E58" s="10"/>
      <c r="F58" s="10"/>
      <c r="G58" s="11" t="str">
        <f t="shared" si="5"/>
        <v/>
      </c>
      <c r="H58" s="11" t="str">
        <f t="shared" si="2"/>
        <v/>
      </c>
      <c r="I58" s="11" t="str">
        <f t="shared" si="3"/>
        <v/>
      </c>
      <c r="J58" s="20"/>
    </row>
    <row r="59" spans="1:10" x14ac:dyDescent="0.3">
      <c r="A59" s="18"/>
      <c r="B59" s="10"/>
      <c r="C59" s="10"/>
      <c r="D59" s="11" t="str">
        <f t="shared" si="4"/>
        <v/>
      </c>
      <c r="E59" s="10"/>
      <c r="F59" s="10"/>
      <c r="G59" s="11" t="str">
        <f t="shared" si="5"/>
        <v/>
      </c>
      <c r="H59" s="11" t="str">
        <f t="shared" si="2"/>
        <v/>
      </c>
      <c r="I59" s="11" t="str">
        <f t="shared" si="3"/>
        <v/>
      </c>
      <c r="J59" s="20"/>
    </row>
    <row r="60" spans="1:10" x14ac:dyDescent="0.3">
      <c r="A60" s="18"/>
      <c r="B60" s="10"/>
      <c r="C60" s="10"/>
      <c r="D60" s="11" t="str">
        <f t="shared" si="4"/>
        <v/>
      </c>
      <c r="E60" s="10"/>
      <c r="F60" s="10"/>
      <c r="G60" s="11" t="str">
        <f t="shared" si="5"/>
        <v/>
      </c>
      <c r="H60" s="11" t="str">
        <f t="shared" si="2"/>
        <v/>
      </c>
      <c r="I60" s="11" t="str">
        <f t="shared" si="3"/>
        <v/>
      </c>
      <c r="J60" s="20"/>
    </row>
    <row r="61" spans="1:10" x14ac:dyDescent="0.3">
      <c r="A61" s="18"/>
      <c r="B61" s="10"/>
      <c r="C61" s="10"/>
      <c r="D61" s="11" t="str">
        <f t="shared" si="4"/>
        <v/>
      </c>
      <c r="E61" s="10"/>
      <c r="F61" s="10"/>
      <c r="G61" s="11" t="str">
        <f t="shared" si="5"/>
        <v/>
      </c>
      <c r="H61" s="11" t="str">
        <f t="shared" si="2"/>
        <v/>
      </c>
      <c r="I61" s="11" t="str">
        <f t="shared" si="3"/>
        <v/>
      </c>
      <c r="J61" s="20"/>
    </row>
    <row r="62" spans="1:10" x14ac:dyDescent="0.3">
      <c r="A62" s="18"/>
      <c r="B62" s="10"/>
      <c r="C62" s="10"/>
      <c r="D62" s="11" t="str">
        <f t="shared" si="4"/>
        <v/>
      </c>
      <c r="E62" s="10"/>
      <c r="F62" s="10"/>
      <c r="G62" s="11" t="str">
        <f t="shared" si="5"/>
        <v/>
      </c>
      <c r="H62" s="11" t="str">
        <f t="shared" si="2"/>
        <v/>
      </c>
      <c r="I62" s="11" t="str">
        <f t="shared" si="3"/>
        <v/>
      </c>
      <c r="J62" s="20"/>
    </row>
    <row r="63" spans="1:10" x14ac:dyDescent="0.3">
      <c r="A63" s="18"/>
      <c r="B63" s="10"/>
      <c r="C63" s="10"/>
      <c r="D63" s="11" t="str">
        <f t="shared" si="4"/>
        <v/>
      </c>
      <c r="E63" s="10"/>
      <c r="F63" s="10"/>
      <c r="G63" s="11" t="str">
        <f t="shared" si="5"/>
        <v/>
      </c>
      <c r="H63" s="11" t="str">
        <f t="shared" si="2"/>
        <v/>
      </c>
      <c r="I63" s="11" t="str">
        <f t="shared" si="3"/>
        <v/>
      </c>
      <c r="J63" s="20"/>
    </row>
  </sheetData>
  <mergeCells count="1">
    <mergeCell ref="A1:J1"/>
  </mergeCell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795548"/>
  </sheetPr>
  <dimension ref="A1:D29"/>
  <sheetViews>
    <sheetView topLeftCell="A5" zoomScaleNormal="100" workbookViewId="0">
      <selection activeCell="A31" sqref="A31"/>
    </sheetView>
  </sheetViews>
  <sheetFormatPr defaultColWidth="8.6640625" defaultRowHeight="14.4" x14ac:dyDescent="0.3"/>
  <cols>
    <col min="1" max="1" width="28" customWidth="1"/>
    <col min="2" max="3" width="42" customWidth="1"/>
    <col min="4" max="4" width="36" customWidth="1"/>
  </cols>
  <sheetData>
    <row r="1" spans="1:4" ht="34.5" customHeight="1" x14ac:dyDescent="0.3">
      <c r="A1" s="2" t="s">
        <v>176</v>
      </c>
      <c r="B1" s="2"/>
      <c r="C1" s="2"/>
      <c r="D1" s="2"/>
    </row>
    <row r="3" spans="1:4" ht="15.6" x14ac:dyDescent="0.3">
      <c r="A3" s="7" t="s">
        <v>177</v>
      </c>
    </row>
    <row r="4" spans="1:4" x14ac:dyDescent="0.3">
      <c r="A4" s="34" t="s">
        <v>178</v>
      </c>
      <c r="B4" s="34" t="s">
        <v>179</v>
      </c>
      <c r="C4" s="34" t="s">
        <v>180</v>
      </c>
      <c r="D4" s="34" t="s">
        <v>181</v>
      </c>
    </row>
    <row r="5" spans="1:4" x14ac:dyDescent="0.3">
      <c r="A5" s="35" t="s">
        <v>168</v>
      </c>
      <c r="B5" s="35" t="s">
        <v>182</v>
      </c>
      <c r="C5" s="35" t="s">
        <v>183</v>
      </c>
      <c r="D5" s="35" t="s">
        <v>184</v>
      </c>
    </row>
    <row r="6" spans="1:4" x14ac:dyDescent="0.3">
      <c r="A6" s="35" t="s">
        <v>185</v>
      </c>
      <c r="B6" s="35" t="s">
        <v>186</v>
      </c>
      <c r="C6" s="35" t="s">
        <v>187</v>
      </c>
      <c r="D6" s="35" t="s">
        <v>188</v>
      </c>
    </row>
    <row r="7" spans="1:4" x14ac:dyDescent="0.3">
      <c r="A7" s="35" t="s">
        <v>189</v>
      </c>
      <c r="B7" s="35" t="s">
        <v>190</v>
      </c>
      <c r="C7" s="35" t="s">
        <v>191</v>
      </c>
      <c r="D7" s="35" t="s">
        <v>192</v>
      </c>
    </row>
    <row r="8" spans="1:4" x14ac:dyDescent="0.3">
      <c r="A8" s="35" t="s">
        <v>193</v>
      </c>
      <c r="B8" s="35" t="s">
        <v>194</v>
      </c>
      <c r="C8" s="35" t="s">
        <v>195</v>
      </c>
      <c r="D8" s="35" t="s">
        <v>196</v>
      </c>
    </row>
    <row r="9" spans="1:4" x14ac:dyDescent="0.3">
      <c r="A9" s="35" t="s">
        <v>197</v>
      </c>
      <c r="B9" s="35" t="s">
        <v>198</v>
      </c>
      <c r="C9" s="35" t="s">
        <v>195</v>
      </c>
      <c r="D9" s="35" t="s">
        <v>199</v>
      </c>
    </row>
    <row r="10" spans="1:4" x14ac:dyDescent="0.3">
      <c r="A10" s="35" t="s">
        <v>172</v>
      </c>
      <c r="B10" s="35" t="s">
        <v>200</v>
      </c>
      <c r="C10" s="35" t="s">
        <v>201</v>
      </c>
      <c r="D10" s="35" t="s">
        <v>202</v>
      </c>
    </row>
    <row r="11" spans="1:4" x14ac:dyDescent="0.3">
      <c r="A11" s="35" t="s">
        <v>203</v>
      </c>
      <c r="B11" s="35" t="s">
        <v>204</v>
      </c>
      <c r="C11" s="35" t="s">
        <v>205</v>
      </c>
      <c r="D11" s="35" t="s">
        <v>206</v>
      </c>
    </row>
    <row r="14" spans="1:4" ht="15.6" x14ac:dyDescent="0.3">
      <c r="A14" s="7" t="s">
        <v>207</v>
      </c>
    </row>
    <row r="15" spans="1:4" x14ac:dyDescent="0.3">
      <c r="A15" s="36" t="s">
        <v>208</v>
      </c>
      <c r="B15" s="36" t="s">
        <v>209</v>
      </c>
      <c r="C15" s="36" t="s">
        <v>210</v>
      </c>
    </row>
    <row r="16" spans="1:4" x14ac:dyDescent="0.3">
      <c r="A16" s="35" t="s">
        <v>211</v>
      </c>
      <c r="B16" s="35" t="s">
        <v>212</v>
      </c>
      <c r="C16" s="35" t="s">
        <v>213</v>
      </c>
    </row>
    <row r="17" spans="1:3" x14ac:dyDescent="0.3">
      <c r="A17" s="35" t="s">
        <v>214</v>
      </c>
      <c r="B17" s="35" t="s">
        <v>215</v>
      </c>
      <c r="C17" s="35" t="s">
        <v>216</v>
      </c>
    </row>
    <row r="18" spans="1:3" x14ac:dyDescent="0.3">
      <c r="A18" s="35" t="s">
        <v>217</v>
      </c>
      <c r="B18" s="35" t="s">
        <v>218</v>
      </c>
      <c r="C18" s="35" t="s">
        <v>219</v>
      </c>
    </row>
    <row r="19" spans="1:3" x14ac:dyDescent="0.3">
      <c r="A19" s="35" t="s">
        <v>220</v>
      </c>
      <c r="B19" s="35" t="s">
        <v>221</v>
      </c>
      <c r="C19" s="35" t="s">
        <v>222</v>
      </c>
    </row>
    <row r="20" spans="1:3" x14ac:dyDescent="0.3">
      <c r="A20" s="35" t="s">
        <v>223</v>
      </c>
      <c r="B20" s="35" t="s">
        <v>224</v>
      </c>
      <c r="C20" s="35" t="s">
        <v>225</v>
      </c>
    </row>
    <row r="23" spans="1:3" ht="15.6" x14ac:dyDescent="0.3">
      <c r="A23" s="7" t="s">
        <v>226</v>
      </c>
    </row>
    <row r="24" spans="1:3" x14ac:dyDescent="0.3">
      <c r="A24" s="36" t="s">
        <v>227</v>
      </c>
      <c r="B24" s="36" t="s">
        <v>228</v>
      </c>
    </row>
    <row r="25" spans="1:3" x14ac:dyDescent="0.3">
      <c r="A25" s="35" t="s">
        <v>229</v>
      </c>
      <c r="B25" s="35" t="s">
        <v>230</v>
      </c>
    </row>
    <row r="26" spans="1:3" x14ac:dyDescent="0.3">
      <c r="A26" s="35" t="s">
        <v>231</v>
      </c>
      <c r="B26" s="35" t="s">
        <v>232</v>
      </c>
    </row>
    <row r="27" spans="1:3" x14ac:dyDescent="0.3">
      <c r="A27" s="35" t="s">
        <v>233</v>
      </c>
      <c r="B27" s="35" t="s">
        <v>234</v>
      </c>
    </row>
    <row r="28" spans="1:3" x14ac:dyDescent="0.3">
      <c r="A28" s="35" t="s">
        <v>235</v>
      </c>
      <c r="B28" s="35" t="s">
        <v>236</v>
      </c>
    </row>
    <row r="29" spans="1:3" x14ac:dyDescent="0.3">
      <c r="A29" s="35" t="s">
        <v>237</v>
      </c>
      <c r="B29" s="35" t="s">
        <v>238</v>
      </c>
    </row>
  </sheetData>
  <mergeCells count="1">
    <mergeCell ref="A1:D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Dashboard</vt:lpstr>
      <vt:lpstr>CFD Curve</vt:lpstr>
      <vt:lpstr>Cargo Tracker</vt:lpstr>
      <vt:lpstr>Grade Diffs</vt:lpstr>
      <vt:lpstr>Arb Economics</vt:lpstr>
      <vt:lpstr>Refinery Runs</vt:lpstr>
      <vt:lpstr>Signals</vt:lpstr>
      <vt:lpstr>Historical DFL</vt:lpstr>
      <vt:lpstr>Reference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Luiscar Gaitan Riascos</cp:lastModifiedBy>
  <cp:revision>0</cp:revision>
  <dcterms:created xsi:type="dcterms:W3CDTF">2026-04-06T15:07:27Z</dcterms:created>
  <dcterms:modified xsi:type="dcterms:W3CDTF">2026-04-06T19:58:34Z</dcterms:modified>
  <dc:language>en-US</dc:language>
</cp:coreProperties>
</file>