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ondonbusinessschool1000-my.sharepoint.com/personal/luiscarg_mifft2025_london_edu/Documents/commods_analyst/gex/"/>
    </mc:Choice>
  </mc:AlternateContent>
  <xr:revisionPtr revIDLastSave="5" documentId="11_FC3EE58E62A47688703F1C54F40AE712143AAAB1" xr6:coauthVersionLast="47" xr6:coauthVersionMax="47" xr10:uidLastSave="{E237F0A8-B88C-4919-90C9-81A9D455F37D}"/>
  <bookViews>
    <workbookView xWindow="-108" yWindow="-108" windowWidth="23256" windowHeight="12456" tabRatio="500" xr2:uid="{00000000-000D-0000-FFFF-FFFF00000000}"/>
  </bookViews>
  <sheets>
    <sheet name="README" sheetId="1" r:id="rId1"/>
    <sheet name="Inputs" sheetId="2" r:id="rId2"/>
    <sheet name="Option Chain" sheetId="3" r:id="rId3"/>
    <sheet name="GEX Profile" sheetId="4" r:id="rId4"/>
    <sheet name="Regime Rules" sheetId="5" r:id="rId5"/>
    <sheet name="Other Greek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6" l="1"/>
  <c r="C5" i="6"/>
  <c r="B5" i="6"/>
  <c r="B29" i="4"/>
  <c r="C27" i="3"/>
  <c r="B27" i="3"/>
  <c r="B17" i="2"/>
  <c r="B12" i="2"/>
  <c r="A12" i="3" s="1"/>
  <c r="B8" i="2"/>
  <c r="A12" i="4" l="1"/>
  <c r="E12" i="4" s="1"/>
  <c r="D12" i="3"/>
  <c r="E12" i="3" s="1"/>
  <c r="F12" i="3" s="1"/>
  <c r="G12" i="3" s="1"/>
  <c r="A16" i="3"/>
  <c r="C6" i="6"/>
  <c r="B18" i="2"/>
  <c r="A5" i="3"/>
  <c r="A6" i="3"/>
  <c r="A7" i="3"/>
  <c r="A8" i="3"/>
  <c r="D6" i="6"/>
  <c r="A25" i="3"/>
  <c r="A23" i="3"/>
  <c r="A21" i="3"/>
  <c r="A19" i="3"/>
  <c r="A17" i="3"/>
  <c r="A15" i="3"/>
  <c r="A13" i="3"/>
  <c r="A11" i="3"/>
  <c r="A9" i="3"/>
  <c r="A22" i="3"/>
  <c r="A24" i="3"/>
  <c r="A10" i="3"/>
  <c r="A14" i="3"/>
  <c r="A18" i="3"/>
  <c r="A20" i="3"/>
  <c r="B19" i="2"/>
  <c r="B6" i="6"/>
  <c r="A15" i="4" l="1"/>
  <c r="E15" i="4" s="1"/>
  <c r="D15" i="3"/>
  <c r="E15" i="3" s="1"/>
  <c r="F15" i="3" s="1"/>
  <c r="G15" i="3" s="1"/>
  <c r="C8" i="6"/>
  <c r="C7" i="6"/>
  <c r="B8" i="6"/>
  <c r="B7" i="6"/>
  <c r="A14" i="4"/>
  <c r="E14" i="4" s="1"/>
  <c r="D14" i="3"/>
  <c r="E14" i="3" s="1"/>
  <c r="F14" i="3" s="1"/>
  <c r="G14" i="3" s="1"/>
  <c r="A9" i="4"/>
  <c r="E9" i="4" s="1"/>
  <c r="D9" i="3"/>
  <c r="E9" i="3" s="1"/>
  <c r="F9" i="3" s="1"/>
  <c r="G9" i="3" s="1"/>
  <c r="A17" i="4"/>
  <c r="E17" i="4" s="1"/>
  <c r="D17" i="3"/>
  <c r="E17" i="3" s="1"/>
  <c r="F17" i="3" s="1"/>
  <c r="G17" i="3" s="1"/>
  <c r="A25" i="4"/>
  <c r="E25" i="4" s="1"/>
  <c r="D25" i="3"/>
  <c r="E25" i="3" s="1"/>
  <c r="F25" i="3" s="1"/>
  <c r="G25" i="3" s="1"/>
  <c r="A6" i="4"/>
  <c r="E6" i="4" s="1"/>
  <c r="D6" i="3"/>
  <c r="E6" i="3" s="1"/>
  <c r="F6" i="3" s="1"/>
  <c r="G6" i="3" s="1"/>
  <c r="A16" i="4"/>
  <c r="E16" i="4" s="1"/>
  <c r="D16" i="3"/>
  <c r="E16" i="3" s="1"/>
  <c r="F16" i="3" s="1"/>
  <c r="G16" i="3" s="1"/>
  <c r="D22" i="3"/>
  <c r="E22" i="3" s="1"/>
  <c r="F22" i="3" s="1"/>
  <c r="G22" i="3" s="1"/>
  <c r="A22" i="4"/>
  <c r="E22" i="4" s="1"/>
  <c r="A11" i="4"/>
  <c r="E11" i="4" s="1"/>
  <c r="D11" i="3"/>
  <c r="E11" i="3" s="1"/>
  <c r="F11" i="3" s="1"/>
  <c r="G11" i="3" s="1"/>
  <c r="A19" i="4"/>
  <c r="E19" i="4" s="1"/>
  <c r="D19" i="3"/>
  <c r="E19" i="3" s="1"/>
  <c r="F19" i="3" s="1"/>
  <c r="G19" i="3" s="1"/>
  <c r="D5" i="3"/>
  <c r="E5" i="3" s="1"/>
  <c r="F5" i="3" s="1"/>
  <c r="G5" i="3" s="1"/>
  <c r="A5" i="4"/>
  <c r="E5" i="4" s="1"/>
  <c r="I12" i="3"/>
  <c r="B12" i="4" s="1"/>
  <c r="H12" i="3"/>
  <c r="J12" i="3" s="1"/>
  <c r="C12" i="4" s="1"/>
  <c r="D18" i="3"/>
  <c r="E18" i="3" s="1"/>
  <c r="F18" i="3" s="1"/>
  <c r="G18" i="3" s="1"/>
  <c r="A18" i="4"/>
  <c r="E18" i="4" s="1"/>
  <c r="A23" i="4"/>
  <c r="E23" i="4" s="1"/>
  <c r="D23" i="3"/>
  <c r="E23" i="3" s="1"/>
  <c r="F23" i="3" s="1"/>
  <c r="G23" i="3" s="1"/>
  <c r="A7" i="4"/>
  <c r="E7" i="4" s="1"/>
  <c r="D7" i="3"/>
  <c r="E7" i="3" s="1"/>
  <c r="F7" i="3" s="1"/>
  <c r="G7" i="3" s="1"/>
  <c r="A10" i="4"/>
  <c r="E10" i="4" s="1"/>
  <c r="D10" i="3"/>
  <c r="E10" i="3" s="1"/>
  <c r="F10" i="3" s="1"/>
  <c r="G10" i="3" s="1"/>
  <c r="D7" i="6"/>
  <c r="D8" i="6"/>
  <c r="A20" i="4"/>
  <c r="E20" i="4" s="1"/>
  <c r="D20" i="3"/>
  <c r="E20" i="3" s="1"/>
  <c r="F20" i="3" s="1"/>
  <c r="G20" i="3" s="1"/>
  <c r="D24" i="3"/>
  <c r="E24" i="3" s="1"/>
  <c r="F24" i="3" s="1"/>
  <c r="G24" i="3" s="1"/>
  <c r="A24" i="4"/>
  <c r="E24" i="4" s="1"/>
  <c r="A13" i="4"/>
  <c r="E13" i="4" s="1"/>
  <c r="D13" i="3"/>
  <c r="E13" i="3" s="1"/>
  <c r="F13" i="3" s="1"/>
  <c r="G13" i="3" s="1"/>
  <c r="A21" i="4"/>
  <c r="E21" i="4" s="1"/>
  <c r="D21" i="3"/>
  <c r="E21" i="3" s="1"/>
  <c r="F21" i="3" s="1"/>
  <c r="G21" i="3" s="1"/>
  <c r="D8" i="3"/>
  <c r="E8" i="3" s="1"/>
  <c r="F8" i="3" s="1"/>
  <c r="G8" i="3" s="1"/>
  <c r="A8" i="4"/>
  <c r="E8" i="4" s="1"/>
  <c r="I20" i="3" l="1"/>
  <c r="B20" i="4" s="1"/>
  <c r="H20" i="3"/>
  <c r="J20" i="3" s="1"/>
  <c r="C20" i="4" s="1"/>
  <c r="I13" i="3"/>
  <c r="B13" i="4" s="1"/>
  <c r="H13" i="3"/>
  <c r="J13" i="3" s="1"/>
  <c r="C13" i="4" s="1"/>
  <c r="I23" i="3"/>
  <c r="B23" i="4" s="1"/>
  <c r="H23" i="3"/>
  <c r="J23" i="3" s="1"/>
  <c r="C23" i="4" s="1"/>
  <c r="I6" i="3"/>
  <c r="B6" i="4" s="1"/>
  <c r="H6" i="3"/>
  <c r="J6" i="3" s="1"/>
  <c r="C6" i="4" s="1"/>
  <c r="I14" i="3"/>
  <c r="B14" i="4" s="1"/>
  <c r="H14" i="3"/>
  <c r="J14" i="3" s="1"/>
  <c r="C14" i="4" s="1"/>
  <c r="D12" i="4"/>
  <c r="C10" i="6"/>
  <c r="C19" i="6" s="1"/>
  <c r="C13" i="6"/>
  <c r="C21" i="6" s="1"/>
  <c r="C12" i="6"/>
  <c r="C14" i="6"/>
  <c r="C15" i="6" s="1"/>
  <c r="C22" i="6" s="1"/>
  <c r="I7" i="3"/>
  <c r="B7" i="4" s="1"/>
  <c r="H7" i="3"/>
  <c r="J7" i="3" s="1"/>
  <c r="C7" i="4" s="1"/>
  <c r="I11" i="3"/>
  <c r="B11" i="4" s="1"/>
  <c r="H11" i="3"/>
  <c r="J11" i="3" s="1"/>
  <c r="C11" i="4" s="1"/>
  <c r="I16" i="3"/>
  <c r="B16" i="4" s="1"/>
  <c r="H16" i="3"/>
  <c r="J16" i="3" s="1"/>
  <c r="C16" i="4" s="1"/>
  <c r="I25" i="3"/>
  <c r="B25" i="4" s="1"/>
  <c r="H25" i="3"/>
  <c r="J25" i="3" s="1"/>
  <c r="C25" i="4" s="1"/>
  <c r="I9" i="3"/>
  <c r="B9" i="4" s="1"/>
  <c r="H9" i="3"/>
  <c r="J9" i="3" s="1"/>
  <c r="C9" i="4" s="1"/>
  <c r="I15" i="3"/>
  <c r="B15" i="4" s="1"/>
  <c r="H15" i="3"/>
  <c r="J15" i="3" s="1"/>
  <c r="C15" i="4" s="1"/>
  <c r="I10" i="3"/>
  <c r="B10" i="4" s="1"/>
  <c r="H10" i="3"/>
  <c r="J10" i="3" s="1"/>
  <c r="C10" i="4" s="1"/>
  <c r="I19" i="3"/>
  <c r="B19" i="4" s="1"/>
  <c r="H19" i="3"/>
  <c r="J19" i="3" s="1"/>
  <c r="C19" i="4" s="1"/>
  <c r="I17" i="3"/>
  <c r="B17" i="4" s="1"/>
  <c r="H17" i="3"/>
  <c r="J17" i="3" s="1"/>
  <c r="C17" i="4" s="1"/>
  <c r="I8" i="3"/>
  <c r="B8" i="4" s="1"/>
  <c r="H8" i="3"/>
  <c r="J8" i="3" s="1"/>
  <c r="C8" i="4" s="1"/>
  <c r="I22" i="3"/>
  <c r="B22" i="4" s="1"/>
  <c r="H22" i="3"/>
  <c r="J22" i="3" s="1"/>
  <c r="C22" i="4" s="1"/>
  <c r="I21" i="3"/>
  <c r="B21" i="4" s="1"/>
  <c r="H21" i="3"/>
  <c r="J21" i="3" s="1"/>
  <c r="C21" i="4" s="1"/>
  <c r="D12" i="6"/>
  <c r="D13" i="6"/>
  <c r="D21" i="6" s="1"/>
  <c r="D10" i="6"/>
  <c r="D19" i="6" s="1"/>
  <c r="D14" i="6"/>
  <c r="D15" i="6" s="1"/>
  <c r="D22" i="6" s="1"/>
  <c r="I24" i="3"/>
  <c r="B24" i="4" s="1"/>
  <c r="H24" i="3"/>
  <c r="J24" i="3" s="1"/>
  <c r="C24" i="4" s="1"/>
  <c r="I18" i="3"/>
  <c r="B18" i="4" s="1"/>
  <c r="H18" i="3"/>
  <c r="J18" i="3" s="1"/>
  <c r="C18" i="4" s="1"/>
  <c r="I5" i="3"/>
  <c r="H5" i="3"/>
  <c r="J5" i="3" s="1"/>
  <c r="B14" i="6"/>
  <c r="B15" i="6" s="1"/>
  <c r="B22" i="6" s="1"/>
  <c r="B12" i="6"/>
  <c r="B13" i="6"/>
  <c r="B21" i="6" s="1"/>
  <c r="B10" i="6"/>
  <c r="B19" i="6" s="1"/>
  <c r="D22" i="4" l="1"/>
  <c r="D17" i="4"/>
  <c r="D10" i="4"/>
  <c r="D9" i="4"/>
  <c r="D16" i="4"/>
  <c r="D7" i="4"/>
  <c r="D14" i="4"/>
  <c r="D23" i="4"/>
  <c r="D20" i="4"/>
  <c r="I27" i="3"/>
  <c r="B5" i="4"/>
  <c r="D16" i="6"/>
  <c r="D20" i="6"/>
  <c r="D6" i="4"/>
  <c r="D13" i="4"/>
  <c r="C5" i="4"/>
  <c r="B33" i="4" s="1"/>
  <c r="J27" i="3"/>
  <c r="D24" i="4"/>
  <c r="B20" i="6"/>
  <c r="B16" i="6"/>
  <c r="D18" i="4"/>
  <c r="D21" i="4"/>
  <c r="D8" i="4"/>
  <c r="D19" i="4"/>
  <c r="D15" i="4"/>
  <c r="D25" i="4"/>
  <c r="D11" i="4"/>
  <c r="C20" i="6"/>
  <c r="C16" i="6"/>
  <c r="B32" i="4" l="1"/>
  <c r="D5" i="4"/>
  <c r="B30" i="4" l="1"/>
  <c r="B31" i="4" s="1"/>
  <c r="F5" i="4"/>
  <c r="G5" i="4" l="1"/>
  <c r="F6" i="4"/>
  <c r="F7" i="4" l="1"/>
  <c r="G6" i="4"/>
  <c r="F8" i="4" l="1"/>
  <c r="G7" i="4"/>
  <c r="F9" i="4" l="1"/>
  <c r="G8" i="4"/>
  <c r="G9" i="4" l="1"/>
  <c r="F10" i="4"/>
  <c r="F11" i="4" l="1"/>
  <c r="G10" i="4"/>
  <c r="F12" i="4" l="1"/>
  <c r="G11" i="4"/>
  <c r="F13" i="4" l="1"/>
  <c r="G12" i="4"/>
  <c r="G13" i="4" l="1"/>
  <c r="F14" i="4"/>
  <c r="F15" i="4" l="1"/>
  <c r="G14" i="4"/>
  <c r="F16" i="4" l="1"/>
  <c r="G15" i="4"/>
  <c r="F17" i="4" l="1"/>
  <c r="G16" i="4"/>
  <c r="G17" i="4" l="1"/>
  <c r="F18" i="4"/>
  <c r="F19" i="4" l="1"/>
  <c r="G18" i="4"/>
  <c r="F20" i="4" l="1"/>
  <c r="G19" i="4"/>
  <c r="G20" i="4" l="1"/>
  <c r="F21" i="4"/>
  <c r="G21" i="4" l="1"/>
  <c r="F22" i="4"/>
  <c r="F23" i="4" l="1"/>
  <c r="G22" i="4"/>
  <c r="F24" i="4" l="1"/>
  <c r="G23" i="4"/>
  <c r="F25" i="4" l="1"/>
  <c r="G25" i="4" s="1"/>
  <c r="G24" i="4"/>
  <c r="B34" i="4" l="1"/>
</calcChain>
</file>

<file path=xl/sharedStrings.xml><?xml version="1.0" encoding="utf-8"?>
<sst xmlns="http://schemas.openxmlformats.org/spreadsheetml/2006/main" count="142" uniqueCount="137">
  <si>
    <t>GEX / Dealer Positioning — Worked Example</t>
  </si>
  <si>
    <t>PURPOSE</t>
  </si>
  <si>
    <t>Build intuition for how Net GEX charts (Menthor Q, SpotGamma, VolSignals) are constructed.</t>
  </si>
  <si>
    <t>Every number is a formula. Change blue inputs on 'Inputs' sheet and watch the profile update.</t>
  </si>
  <si>
    <t>SHEETS</t>
  </si>
  <si>
    <t>1. Inputs         - Spot, IV, rate, time to expiry, dealer sign convention. Edit blue cells.</t>
  </si>
  <si>
    <t>2. Option Chain   - 21 strikes around spot. Shows Black-Scholes gamma per contract, dollar gamma, and signed GEX.</t>
  </si>
  <si>
    <t>3. GEX Profile    - Cumulative GEX by strike (the yellow line on the Menthor Q chart). Zero-gamma flip highlighted.</t>
  </si>
  <si>
    <t>4. Regime Rules   - What each regime implies for trading behavior.</t>
  </si>
  <si>
    <t>5. Other Greeks   - Charm, vanna, volga formulas with worked values at 3 sample strikes.</t>
  </si>
  <si>
    <t>KEY FORMULAS</t>
  </si>
  <si>
    <t>Gamma per share        = NORM.S.DIST(d1, FALSE) / (S * sigma * SQRT(T))</t>
  </si>
  <si>
    <t>d1                     = (LN(S/K) + (r + sigma^2/2) * T) / (sigma * SQRT(T))</t>
  </si>
  <si>
    <t>Dollar gamma per 1%    = Gamma_per_share * OI * 100 * S^2 * 0.01</t>
  </si>
  <si>
    <t>Signed GEX (per strike)= (PutOI * Put_$Gamma - CallOI * Call_$Gamma)   [convention: dealers short calls, long puts]</t>
  </si>
  <si>
    <t>CAVEATS (this matters)</t>
  </si>
  <si>
    <t>- Dealer sign is ASSUMED, not observed. Different providers use different conventions.</t>
  </si>
  <si>
    <t>- Real chains have hundreds of strikes and multiple expiries; this sheet uses a single synthetic expiry.</t>
  </si>
  <si>
    <t>- IV is held constant across strikes here; real chains have skew/smile which changes gamma shapes.</t>
  </si>
  <si>
    <t>- Useful as a REGIME FILTER, not a directional signal.</t>
  </si>
  <si>
    <t>COLOR CONVENTION</t>
  </si>
  <si>
    <t>Blue text   = hardcoded input (edit these)</t>
  </si>
  <si>
    <t>Black text  = formula</t>
  </si>
  <si>
    <t>Green text  = cross-sheet link</t>
  </si>
  <si>
    <t>Market Inputs &amp; Assumptions</t>
  </si>
  <si>
    <t>Parameter</t>
  </si>
  <si>
    <t>Value</t>
  </si>
  <si>
    <t>Notes</t>
  </si>
  <si>
    <t>Spot (S)</t>
  </si>
  <si>
    <t>Current SPX level</t>
  </si>
  <si>
    <t>Implied volatility (sigma)</t>
  </si>
  <si>
    <t>Annualized. 15% = roughly VIX 15 for ATM</t>
  </si>
  <si>
    <t>Risk-free rate (r)</t>
  </si>
  <si>
    <t>Annualized</t>
  </si>
  <si>
    <t>Days to expiry</t>
  </si>
  <si>
    <t>Calendar days</t>
  </si>
  <si>
    <t>Time to expiry (T)</t>
  </si>
  <si>
    <t>In years</t>
  </si>
  <si>
    <t>Contract multiplier</t>
  </si>
  <si>
    <t>SPX index options = 100</t>
  </si>
  <si>
    <t>Strike spacing</t>
  </si>
  <si>
    <t>SPX trades in 5pt, but 25/50 widely used</t>
  </si>
  <si>
    <t>Center strike</t>
  </si>
  <si>
    <t>Nearest strike to spot</t>
  </si>
  <si>
    <t>Dealer sign convention: +1 if dealers assumed short calls / long puts (standard)</t>
  </si>
  <si>
    <t>Flip to -1 to test sensitivity</t>
  </si>
  <si>
    <t>Quick sanity checks:</t>
  </si>
  <si>
    <t>VIX implied (sigma * 100)</t>
  </si>
  <si>
    <t>1-std-dev 30d move (pts)</t>
  </si>
  <si>
    <t>1-std-dev 30d move (%)</t>
  </si>
  <si>
    <t>Synthetic SPX Option Chain — Single Expiry</t>
  </si>
  <si>
    <t>21 strikes centered on the nearest strike to spot. Edit blue OI cells to reshape the GEX profile.</t>
  </si>
  <si>
    <t>Strike</t>
  </si>
  <si>
    <t>Call OI</t>
  </si>
  <si>
    <t>Put OI</t>
  </si>
  <si>
    <t>d1</t>
  </si>
  <si>
    <t>N'(d1)</t>
  </si>
  <si>
    <t>Gamma/sh</t>
  </si>
  <si>
    <t>Call $Γ/ctr</t>
  </si>
  <si>
    <t>Put $Γ/ctr</t>
  </si>
  <si>
    <t>Call $GEX (M)</t>
  </si>
  <si>
    <t>Put $GEX (M)</t>
  </si>
  <si>
    <t>TOTALS</t>
  </si>
  <si>
    <t>Net GEX Profile — Cumulative Dealer Gamma by Strike</t>
  </si>
  <si>
    <t>The yellow line on a Menthor Q chart is the cumulative sum of net GEX from lowest strike upward.</t>
  </si>
  <si>
    <t>Net $GEX (M)</t>
  </si>
  <si>
    <t>Distance to Spot</t>
  </si>
  <si>
    <t>Cumulative GEX (M)</t>
  </si>
  <si>
    <t>|Cumulative|</t>
  </si>
  <si>
    <t>Key Level Summary</t>
  </si>
  <si>
    <t>Total Net $GEX (M)</t>
  </si>
  <si>
    <t>Gamma Regime</t>
  </si>
  <si>
    <t>Largest Call $GEX strike (Call Wall)</t>
  </si>
  <si>
    <t>(most negative call GEX = biggest short-call dealer exposure above)</t>
  </si>
  <si>
    <t>Largest Put $GEX strike (Put Wall)</t>
  </si>
  <si>
    <t>(most positive put GEX = biggest long-put dealer exposure below)</t>
  </si>
  <si>
    <t>Zero-Gamma Strike (approx)</t>
  </si>
  <si>
    <t>(strike where yellow cumulative line crosses zero)</t>
  </si>
  <si>
    <t>Gamma Regime → Expected Market Behavior</t>
  </si>
  <si>
    <t>Regime</t>
  </si>
  <si>
    <t>Dealer hedging behavior</t>
  </si>
  <si>
    <t>What to expect / how to trade</t>
  </si>
  <si>
    <t>Positive gamma (spot &gt; 0γ)</t>
  </si>
  <si>
    <t>Dealers long gamma. Sell rallies, buy dips to stay delta-flat.</t>
  </si>
  <si>
    <t>Compressed realized vol. Mean reversion intraday. Pinning near big OI strikes. Favors premium selling, iron condors, fading extremes. Bad for breakout/momentum trades.</t>
  </si>
  <si>
    <t>Negative gamma (spot &lt; 0γ)</t>
  </si>
  <si>
    <t>Dealers short gamma. Buy rallies, sell dips -&gt; amplifies moves.</t>
  </si>
  <si>
    <t>Expanded realized vol. Trending and gap moves. Crashes accelerate. Widen stops. Favors directional trades, long premium, long vol. Dangerous to fade.</t>
  </si>
  <si>
    <t>Near gamma flip</t>
  </si>
  <si>
    <t>Small moves can flip the sign of dealer hedging.</t>
  </si>
  <si>
    <t>Most unstable regime. Expect regime-dependent whipsaws. Reduce size.</t>
  </si>
  <si>
    <t>Approaching call wall from below</t>
  </si>
  <si>
    <t>Short-call dealers sell into rally (supply).</t>
  </si>
  <si>
    <t>Expect resistance. Fading rallies just below the wall historically works, but requires a catalyst to break through.</t>
  </si>
  <si>
    <t>Approaching put wall from above</t>
  </si>
  <si>
    <t>Long-put dealers buy into sell-off (demand).</t>
  </si>
  <si>
    <t>Expect support. But if it breaks, dealer delta flips: support becomes trapdoor (the classic gamma unclench).</t>
  </si>
  <si>
    <t>OPEX Friday in positive gamma</t>
  </si>
  <si>
    <t>Charm decay pulls delta to zero as options expire worthless.</t>
  </si>
  <si>
    <t>Strong pinning to the largest OI strike. 0DTE flow can dominate last 2 hours.</t>
  </si>
  <si>
    <t>VIX dropping after a fear spike</t>
  </si>
  <si>
    <t>Vanna: short-put dealers buy SPX as put deltas shrink.</t>
  </si>
  <si>
    <t>'Vol crush rally.' SPX drifts up on no news. Don't short the melt-up.</t>
  </si>
  <si>
    <t>Charm, Vanna, Volga — Worked Values at 3 Strikes</t>
  </si>
  <si>
    <t>Same S, sigma, r, T as Inputs. Three sample strikes below, at, and above spot.</t>
  </si>
  <si>
    <t>Quantity</t>
  </si>
  <si>
    <t>K = S - 200</t>
  </si>
  <si>
    <t>K = S (ATM)</t>
  </si>
  <si>
    <t>K = S + 200</t>
  </si>
  <si>
    <t>Interpretation</t>
  </si>
  <si>
    <t>Strike (K)</t>
  </si>
  <si>
    <t>Three sample strikes</t>
  </si>
  <si>
    <t>(LN(S/K) + (r+σ²/2)T) / (σ√T)</t>
  </si>
  <si>
    <t>d2 = d1 - σ√T</t>
  </si>
  <si>
    <t>N'(d1) = φ(d1)</t>
  </si>
  <si>
    <t>GAMMA per share</t>
  </si>
  <si>
    <t>Highest ATM. Rate of change of delta per $1 spot move.</t>
  </si>
  <si>
    <t>VEGA per share (per 1.00 vol)</t>
  </si>
  <si>
    <t>S·φ(d1)·√T. Divide by 100 for 'per 1 vol point'.</t>
  </si>
  <si>
    <t>VANNA per share (dΔ/dσ)</t>
  </si>
  <si>
    <t>How call delta changes when IV changes. Drives vol-crush rallies.</t>
  </si>
  <si>
    <t>CHARM per share / year (dΔ/dt)</t>
  </si>
  <si>
    <t>Rate of delta decay over time. Drives OPEX drift.</t>
  </si>
  <si>
    <t xml:space="preserve">  → Charm per day</t>
  </si>
  <si>
    <t>VOLGA per share</t>
  </si>
  <si>
    <t>d²Price/dσ². Matters in tail/stress regimes; near zero ATM.</t>
  </si>
  <si>
    <t>Portfolio-scale values (10,000 contracts each, SPX mult=100)</t>
  </si>
  <si>
    <t>$ Gamma per 1% spot move</t>
  </si>
  <si>
    <t>$ Vega per 1 vol pt (per 1 vol pt = 0.01)</t>
  </si>
  <si>
    <t>$ Vanna per 1% IV change</t>
  </si>
  <si>
    <t>$ Charm per day (delta bleed)</t>
  </si>
  <si>
    <t>How to read the dollar values:</t>
  </si>
  <si>
    <t xml:space="preserve">  $Gamma: if SPX moves 1%, dealer delta changes by this many dollars of SPX exposure.</t>
  </si>
  <si>
    <t xml:space="preserve">  $Vanna: if IV moves 1 percentage point, dealer delta changes by this many dollars.</t>
  </si>
  <si>
    <t xml:space="preserve">  $Charm: delta bleeds by this many dollars per calendar day just from time passing.</t>
  </si>
  <si>
    <t>Why ATM is special: gamma peaks ATM, but vanna and volga are SMALL ATM and LARGER on the wings.</t>
  </si>
  <si>
    <t>This is why OTM put walls drive vanna/vol-crush flows more than ATM positioning.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</si>
</sst>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#,##0.0;\(#,##0.0\);\-"/>
    <numFmt numFmtId="167" formatCode="\+#,##0;\-#,##0;0"/>
    <numFmt numFmtId="168" formatCode="\$#,##0"/>
  </numFmts>
  <fonts count="10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10"/>
      <color rgb="FF606060"/>
      <name val="Cambria"/>
      <family val="1"/>
    </font>
    <font>
      <sz val="11"/>
      <color rgb="FF008000"/>
      <name val="Arial"/>
      <family val="2"/>
    </font>
    <font>
      <i/>
      <sz val="9"/>
      <color rgb="FF60606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10" fontId="0" fillId="0" borderId="0" xfId="0" applyNumberFormat="1"/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1" fontId="0" fillId="0" borderId="0" xfId="0" applyNumberFormat="1"/>
    <xf numFmtId="3" fontId="5" fillId="0" borderId="0" xfId="0" applyNumberFormat="1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" fillId="4" borderId="0" xfId="0" applyFont="1" applyFill="1"/>
    <xf numFmtId="1" fontId="8" fillId="0" borderId="0" xfId="0" applyNumberFormat="1" applyFont="1"/>
    <xf numFmtId="166" fontId="8" fillId="0" borderId="0" xfId="0" applyNumberFormat="1" applyFont="1"/>
    <xf numFmtId="167" fontId="0" fillId="0" borderId="0" xfId="0" applyNumberFormat="1"/>
    <xf numFmtId="0" fontId="8" fillId="3" borderId="0" xfId="0" applyFont="1" applyFill="1"/>
    <xf numFmtId="166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0" fontId="9" fillId="0" borderId="0" xfId="0" applyFont="1"/>
    <xf numFmtId="0" fontId="4" fillId="2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5" borderId="0" xfId="0" applyFon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Net GEX by Strike ($M per 1%)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'GEX Profile'!$D$4</c:f>
              <c:strCache>
                <c:ptCount val="1"/>
                <c:pt idx="0">
                  <c:v>Net $GEX (M)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'GEX Profile'!$A$5:$A$25</c:f>
              <c:numCache>
                <c:formatCode>0</c:formatCode>
                <c:ptCount val="21"/>
                <c:pt idx="0">
                  <c:v>6600</c:v>
                </c:pt>
                <c:pt idx="1">
                  <c:v>6650</c:v>
                </c:pt>
                <c:pt idx="2">
                  <c:v>6700</c:v>
                </c:pt>
                <c:pt idx="3">
                  <c:v>6750</c:v>
                </c:pt>
                <c:pt idx="4">
                  <c:v>6800</c:v>
                </c:pt>
                <c:pt idx="5">
                  <c:v>6850</c:v>
                </c:pt>
                <c:pt idx="6">
                  <c:v>6900</c:v>
                </c:pt>
                <c:pt idx="7">
                  <c:v>6950</c:v>
                </c:pt>
                <c:pt idx="8">
                  <c:v>7000</c:v>
                </c:pt>
                <c:pt idx="9">
                  <c:v>7050</c:v>
                </c:pt>
                <c:pt idx="10">
                  <c:v>7100</c:v>
                </c:pt>
                <c:pt idx="11">
                  <c:v>7150</c:v>
                </c:pt>
                <c:pt idx="12">
                  <c:v>7200</c:v>
                </c:pt>
                <c:pt idx="13">
                  <c:v>7250</c:v>
                </c:pt>
                <c:pt idx="14">
                  <c:v>7300</c:v>
                </c:pt>
                <c:pt idx="15">
                  <c:v>7350</c:v>
                </c:pt>
                <c:pt idx="16">
                  <c:v>7400</c:v>
                </c:pt>
                <c:pt idx="17">
                  <c:v>7450</c:v>
                </c:pt>
                <c:pt idx="18">
                  <c:v>7500</c:v>
                </c:pt>
                <c:pt idx="19">
                  <c:v>7550</c:v>
                </c:pt>
                <c:pt idx="20">
                  <c:v>7600</c:v>
                </c:pt>
              </c:numCache>
            </c:numRef>
          </c:cat>
          <c:val>
            <c:numRef>
              <c:f>'GEX Profile'!$D$5:$D$25</c:f>
              <c:numCache>
                <c:formatCode>#,##0.0;\(#,##0.0\);\-</c:formatCode>
                <c:ptCount val="21"/>
                <c:pt idx="0">
                  <c:v>4864.3766554722743</c:v>
                </c:pt>
                <c:pt idx="1">
                  <c:v>3405.7037794990997</c:v>
                </c:pt>
                <c:pt idx="2">
                  <c:v>5058.7571659394935</c:v>
                </c:pt>
                <c:pt idx="3">
                  <c:v>2258.1544568625427</c:v>
                </c:pt>
                <c:pt idx="4">
                  <c:v>3910.5136587126885</c:v>
                </c:pt>
                <c:pt idx="5">
                  <c:v>1160.1735561234898</c:v>
                </c:pt>
                <c:pt idx="6">
                  <c:v>1946.1323412726661</c:v>
                </c:pt>
                <c:pt idx="7">
                  <c:v>623.19854824388108</c:v>
                </c:pt>
                <c:pt idx="8">
                  <c:v>520.54633936024823</c:v>
                </c:pt>
                <c:pt idx="9">
                  <c:v>179.29069572495661</c:v>
                </c:pt>
                <c:pt idx="10">
                  <c:v>-147.72045064308531</c:v>
                </c:pt>
                <c:pt idx="11">
                  <c:v>-298.94363294534418</c:v>
                </c:pt>
                <c:pt idx="12">
                  <c:v>-360.18512618970408</c:v>
                </c:pt>
                <c:pt idx="13">
                  <c:v>-528.11387131005483</c:v>
                </c:pt>
                <c:pt idx="14">
                  <c:v>-1310.3391011402737</c:v>
                </c:pt>
                <c:pt idx="15">
                  <c:v>-1156.0102156994114</c:v>
                </c:pt>
                <c:pt idx="16">
                  <c:v>-3207.0414094395987</c:v>
                </c:pt>
                <c:pt idx="17">
                  <c:v>-1442.6857593508162</c:v>
                </c:pt>
                <c:pt idx="18">
                  <c:v>-3935.3377434693271</c:v>
                </c:pt>
                <c:pt idx="19">
                  <c:v>-2424.225880670243</c:v>
                </c:pt>
                <c:pt idx="20">
                  <c:v>-3234.5887983241128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BBC-B027-356062E8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9051"/>
        <c:axId val="91757628"/>
      </c:barChart>
      <c:catAx>
        <c:axId val="190590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$GEX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1757628"/>
        <c:crosses val="autoZero"/>
        <c:auto val="1"/>
        <c:lblAlgn val="ctr"/>
        <c:lblOffset val="100"/>
        <c:noMultiLvlLbl val="0"/>
      </c:catAx>
      <c:valAx>
        <c:axId val="917576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90590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Cumulative GEX (zero-crossing = gamma flip)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'GEX Profile'!$F$4</c:f>
              <c:strCache>
                <c:ptCount val="1"/>
                <c:pt idx="0">
                  <c:v>Cumulative GEX (M)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'GEX Profile'!$A$5:$A$25</c:f>
              <c:numCache>
                <c:formatCode>0</c:formatCode>
                <c:ptCount val="21"/>
                <c:pt idx="0">
                  <c:v>6600</c:v>
                </c:pt>
                <c:pt idx="1">
                  <c:v>6650</c:v>
                </c:pt>
                <c:pt idx="2">
                  <c:v>6700</c:v>
                </c:pt>
                <c:pt idx="3">
                  <c:v>6750</c:v>
                </c:pt>
                <c:pt idx="4">
                  <c:v>6800</c:v>
                </c:pt>
                <c:pt idx="5">
                  <c:v>6850</c:v>
                </c:pt>
                <c:pt idx="6">
                  <c:v>6900</c:v>
                </c:pt>
                <c:pt idx="7">
                  <c:v>6950</c:v>
                </c:pt>
                <c:pt idx="8">
                  <c:v>7000</c:v>
                </c:pt>
                <c:pt idx="9">
                  <c:v>7050</c:v>
                </c:pt>
                <c:pt idx="10">
                  <c:v>7100</c:v>
                </c:pt>
                <c:pt idx="11">
                  <c:v>7150</c:v>
                </c:pt>
                <c:pt idx="12">
                  <c:v>7200</c:v>
                </c:pt>
                <c:pt idx="13">
                  <c:v>7250</c:v>
                </c:pt>
                <c:pt idx="14">
                  <c:v>7300</c:v>
                </c:pt>
                <c:pt idx="15">
                  <c:v>7350</c:v>
                </c:pt>
                <c:pt idx="16">
                  <c:v>7400</c:v>
                </c:pt>
                <c:pt idx="17">
                  <c:v>7450</c:v>
                </c:pt>
                <c:pt idx="18">
                  <c:v>7500</c:v>
                </c:pt>
                <c:pt idx="19">
                  <c:v>7550</c:v>
                </c:pt>
                <c:pt idx="20">
                  <c:v>7600</c:v>
                </c:pt>
              </c:numCache>
            </c:numRef>
          </c:cat>
          <c:val>
            <c:numRef>
              <c:f>'GEX Profile'!$F$5:$F$25</c:f>
              <c:numCache>
                <c:formatCode>#,##0.0;\(#,##0.0\);\-</c:formatCode>
                <c:ptCount val="21"/>
                <c:pt idx="0">
                  <c:v>4864.3766554722743</c:v>
                </c:pt>
                <c:pt idx="1">
                  <c:v>8270.0804349713744</c:v>
                </c:pt>
                <c:pt idx="2">
                  <c:v>13328.837600910869</c:v>
                </c:pt>
                <c:pt idx="3">
                  <c:v>15586.992057773412</c:v>
                </c:pt>
                <c:pt idx="4">
                  <c:v>19497.505716486099</c:v>
                </c:pt>
                <c:pt idx="5">
                  <c:v>20657.679272609588</c:v>
                </c:pt>
                <c:pt idx="6">
                  <c:v>22603.811613882255</c:v>
                </c:pt>
                <c:pt idx="7">
                  <c:v>23227.010162126135</c:v>
                </c:pt>
                <c:pt idx="8">
                  <c:v>23747.556501486382</c:v>
                </c:pt>
                <c:pt idx="9">
                  <c:v>23926.84719721134</c:v>
                </c:pt>
                <c:pt idx="10">
                  <c:v>23779.126746568254</c:v>
                </c:pt>
                <c:pt idx="11">
                  <c:v>23480.183113622908</c:v>
                </c:pt>
                <c:pt idx="12">
                  <c:v>23119.997987433206</c:v>
                </c:pt>
                <c:pt idx="13">
                  <c:v>22591.88411612315</c:v>
                </c:pt>
                <c:pt idx="14">
                  <c:v>21281.545014982876</c:v>
                </c:pt>
                <c:pt idx="15">
                  <c:v>20125.534799283465</c:v>
                </c:pt>
                <c:pt idx="16">
                  <c:v>16918.493389843865</c:v>
                </c:pt>
                <c:pt idx="17">
                  <c:v>15475.807630493049</c:v>
                </c:pt>
                <c:pt idx="18">
                  <c:v>11540.469887023723</c:v>
                </c:pt>
                <c:pt idx="19">
                  <c:v>9116.2440063534796</c:v>
                </c:pt>
                <c:pt idx="20">
                  <c:v>5881.6552080293668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0C-4076-B574-5C3B1AD1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259579"/>
        <c:axId val="419311"/>
      </c:lineChart>
      <c:catAx>
        <c:axId val="762595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19311"/>
        <c:crosses val="autoZero"/>
        <c:auto val="1"/>
        <c:lblAlgn val="ctr"/>
        <c:lblOffset val="100"/>
        <c:noMultiLvlLbl val="0"/>
      </c:catAx>
      <c:valAx>
        <c:axId val="419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Cumulative $GEX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6259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36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38</xdr:row>
      <xdr:rowOff>131040</xdr:rowOff>
    </xdr:from>
    <xdr:to>
      <xdr:col>15</xdr:col>
      <xdr:colOff>147600</xdr:colOff>
      <xdr:row>57</xdr:row>
      <xdr:rowOff>111240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zoomScaleNormal="100" workbookViewId="0">
      <selection activeCell="F7" sqref="F7:H13"/>
    </sheetView>
  </sheetViews>
  <sheetFormatPr defaultColWidth="8.6640625" defaultRowHeight="14.4" x14ac:dyDescent="0.3"/>
  <cols>
    <col min="1" max="1" width="90" customWidth="1"/>
  </cols>
  <sheetData>
    <row r="1" spans="1:1" ht="21" x14ac:dyDescent="0.4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x14ac:dyDescent="0.3">
      <c r="A14" s="2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16" customWidth="1"/>
    <col min="3" max="3" width="60" customWidth="1"/>
  </cols>
  <sheetData>
    <row r="1" spans="1:3" ht="17.399999999999999" x14ac:dyDescent="0.3">
      <c r="A1" s="3" t="s">
        <v>24</v>
      </c>
    </row>
    <row r="3" spans="1:3" x14ac:dyDescent="0.3">
      <c r="A3" s="4" t="s">
        <v>25</v>
      </c>
      <c r="B3" s="4" t="s">
        <v>26</v>
      </c>
      <c r="C3" s="4" t="s">
        <v>27</v>
      </c>
    </row>
    <row r="4" spans="1:3" x14ac:dyDescent="0.3">
      <c r="A4" s="2" t="s">
        <v>28</v>
      </c>
      <c r="B4" s="5">
        <v>7100</v>
      </c>
      <c r="C4" t="s">
        <v>29</v>
      </c>
    </row>
    <row r="5" spans="1:3" x14ac:dyDescent="0.3">
      <c r="A5" s="2" t="s">
        <v>30</v>
      </c>
      <c r="B5" s="5">
        <v>0.15</v>
      </c>
      <c r="C5" t="s">
        <v>31</v>
      </c>
    </row>
    <row r="6" spans="1:3" x14ac:dyDescent="0.3">
      <c r="A6" s="2" t="s">
        <v>32</v>
      </c>
      <c r="B6" s="5">
        <v>0.04</v>
      </c>
      <c r="C6" t="s">
        <v>33</v>
      </c>
    </row>
    <row r="7" spans="1:3" x14ac:dyDescent="0.3">
      <c r="A7" s="2" t="s">
        <v>34</v>
      </c>
      <c r="B7" s="5">
        <v>30</v>
      </c>
      <c r="C7" t="s">
        <v>35</v>
      </c>
    </row>
    <row r="8" spans="1:3" x14ac:dyDescent="0.3">
      <c r="A8" s="2" t="s">
        <v>36</v>
      </c>
      <c r="B8" s="6">
        <f>B7/365</f>
        <v>8.2191780821917804E-2</v>
      </c>
      <c r="C8" t="s">
        <v>37</v>
      </c>
    </row>
    <row r="9" spans="1:3" x14ac:dyDescent="0.3">
      <c r="A9" s="6"/>
    </row>
    <row r="10" spans="1:3" x14ac:dyDescent="0.3">
      <c r="A10" s="2" t="s">
        <v>38</v>
      </c>
      <c r="B10" s="5">
        <v>100</v>
      </c>
      <c r="C10" t="s">
        <v>39</v>
      </c>
    </row>
    <row r="11" spans="1:3" x14ac:dyDescent="0.3">
      <c r="A11" s="2" t="s">
        <v>40</v>
      </c>
      <c r="B11" s="5">
        <v>50</v>
      </c>
      <c r="C11" t="s">
        <v>41</v>
      </c>
    </row>
    <row r="12" spans="1:3" x14ac:dyDescent="0.3">
      <c r="A12" s="2" t="s">
        <v>42</v>
      </c>
      <c r="B12" s="6">
        <f>MROUND(B4,B11)</f>
        <v>7100</v>
      </c>
      <c r="C12" t="s">
        <v>43</v>
      </c>
    </row>
    <row r="13" spans="1:3" x14ac:dyDescent="0.3">
      <c r="A13" s="6"/>
    </row>
    <row r="14" spans="1:3" x14ac:dyDescent="0.3">
      <c r="A14" s="2" t="s">
        <v>44</v>
      </c>
      <c r="B14" s="5">
        <v>1</v>
      </c>
      <c r="C14" t="s">
        <v>45</v>
      </c>
    </row>
    <row r="16" spans="1:3" x14ac:dyDescent="0.3">
      <c r="A16" s="2" t="s">
        <v>46</v>
      </c>
    </row>
    <row r="17" spans="1:2" x14ac:dyDescent="0.3">
      <c r="A17" t="s">
        <v>47</v>
      </c>
      <c r="B17">
        <f>B5*100</f>
        <v>15</v>
      </c>
    </row>
    <row r="18" spans="1:2" x14ac:dyDescent="0.3">
      <c r="A18" t="s">
        <v>48</v>
      </c>
      <c r="B18">
        <f>B4*B5*SQRT(B8)</f>
        <v>305.32601036063028</v>
      </c>
    </row>
    <row r="19" spans="1:2" x14ac:dyDescent="0.3">
      <c r="A19" t="s">
        <v>49</v>
      </c>
      <c r="B19" s="7">
        <f>B5*SQRT(B8)</f>
        <v>4.3003663431074687E-2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5" width="14" customWidth="1"/>
    <col min="6" max="7" width="16" customWidth="1"/>
    <col min="8" max="9" width="18" customWidth="1"/>
    <col min="10" max="10" width="20" customWidth="1"/>
  </cols>
  <sheetData>
    <row r="1" spans="1:10" ht="17.399999999999999" x14ac:dyDescent="0.3">
      <c r="A1" s="3" t="s">
        <v>50</v>
      </c>
    </row>
    <row r="2" spans="1:10" x14ac:dyDescent="0.3">
      <c r="A2" s="8" t="s">
        <v>51</v>
      </c>
    </row>
    <row r="4" spans="1:10" x14ac:dyDescent="0.3">
      <c r="A4" s="9" t="s">
        <v>52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57</v>
      </c>
      <c r="G4" s="9" t="s">
        <v>58</v>
      </c>
      <c r="H4" s="9" t="s">
        <v>59</v>
      </c>
      <c r="I4" s="9" t="s">
        <v>60</v>
      </c>
      <c r="J4" s="9" t="s">
        <v>61</v>
      </c>
    </row>
    <row r="5" spans="1:10" x14ac:dyDescent="0.3">
      <c r="A5" s="10">
        <f>Inputs!$B$12+(0-10)*Inputs!$B$11</f>
        <v>6600</v>
      </c>
      <c r="B5" s="11">
        <v>947</v>
      </c>
      <c r="C5" s="11">
        <v>15666</v>
      </c>
      <c r="D5" s="12">
        <f>(LN(Inputs!$B$4/A5)+(Inputs!$B$6+Inputs!$B$5^2/2)*Inputs!$B$8)/(Inputs!$B$5*SQRT(Inputs!$B$8))</f>
        <v>1.7960670700952626</v>
      </c>
      <c r="E5" s="12">
        <f t="shared" ref="E5:E25" si="0">EXP(-D5^2/2)/SQRT(2*PI())</f>
        <v>2.001686203172353</v>
      </c>
      <c r="F5" s="13">
        <f>E5/(Inputs!$B$4*Inputs!$B$5*SQRT(Inputs!$B$8))</f>
        <v>6.5558980736953841E-3</v>
      </c>
      <c r="G5" s="14">
        <f>F5*Inputs!$B$10*Inputs!$B$4^2*0.01</f>
        <v>330482.82189498434</v>
      </c>
      <c r="H5" s="14">
        <f t="shared" ref="H5:H25" si="1">G5</f>
        <v>330482.82189498434</v>
      </c>
      <c r="I5" s="15">
        <f>-Inputs!$B$14*B5*G5/1000000</f>
        <v>-312.9672323345502</v>
      </c>
      <c r="J5" s="15">
        <f>+Inputs!$B$14*C5*H5/1000000</f>
        <v>5177.3438878068246</v>
      </c>
    </row>
    <row r="6" spans="1:10" x14ac:dyDescent="0.3">
      <c r="A6" s="10">
        <f>Inputs!$B$12+(1-10)*Inputs!$B$11</f>
        <v>6650</v>
      </c>
      <c r="B6" s="11">
        <v>1107</v>
      </c>
      <c r="C6" s="11">
        <v>15015</v>
      </c>
      <c r="D6" s="12">
        <f>(LN(Inputs!$B$4/A6)+(Inputs!$B$6+Inputs!$B$5^2/2)*Inputs!$B$8)/(Inputs!$B$5*SQRT(Inputs!$B$8))</f>
        <v>1.6205656120048537</v>
      </c>
      <c r="E6" s="12">
        <f t="shared" si="0"/>
        <v>1.4831644071455306</v>
      </c>
      <c r="F6" s="13">
        <f>E6/(Inputs!$B$4*Inputs!$B$5*SQRT(Inputs!$B$8))</f>
        <v>4.8576418543370015E-3</v>
      </c>
      <c r="G6" s="14">
        <f>F6*Inputs!$B$10*Inputs!$B$4^2*0.01</f>
        <v>244873.72587712825</v>
      </c>
      <c r="H6" s="14">
        <f t="shared" si="1"/>
        <v>244873.72587712825</v>
      </c>
      <c r="I6" s="15">
        <f>-Inputs!$B$14*B6*G6/1000000</f>
        <v>-271.075214545981</v>
      </c>
      <c r="J6" s="15">
        <f>+Inputs!$B$14*C6*H6/1000000</f>
        <v>3676.7789940450807</v>
      </c>
    </row>
    <row r="7" spans="1:10" x14ac:dyDescent="0.3">
      <c r="A7" s="10">
        <f>Inputs!$B$12+(2-10)*Inputs!$B$11</f>
        <v>6700</v>
      </c>
      <c r="B7" s="11">
        <v>2037</v>
      </c>
      <c r="C7" s="11">
        <v>29021</v>
      </c>
      <c r="D7" s="12">
        <f>(LN(Inputs!$B$4/A7)+(Inputs!$B$6+Inputs!$B$5^2/2)*Inputs!$B$8)/(Inputs!$B$5*SQRT(Inputs!$B$8))</f>
        <v>1.4463787839183682</v>
      </c>
      <c r="E7" s="12">
        <f t="shared" si="0"/>
        <v>1.1354933885891652</v>
      </c>
      <c r="F7" s="13">
        <f>E7/(Inputs!$B$4*Inputs!$B$5*SQRT(Inputs!$B$8))</f>
        <v>3.7189540034535469E-3</v>
      </c>
      <c r="G7" s="14">
        <f>F7*Inputs!$B$10*Inputs!$B$4^2*0.01</f>
        <v>187472.4713140933</v>
      </c>
      <c r="H7" s="14">
        <f t="shared" si="1"/>
        <v>187472.4713140933</v>
      </c>
      <c r="I7" s="15">
        <f>-Inputs!$B$14*B7*G7/1000000</f>
        <v>-381.88142406680805</v>
      </c>
      <c r="J7" s="15">
        <f>+Inputs!$B$14*C7*H7/1000000</f>
        <v>5440.6385900063015</v>
      </c>
    </row>
    <row r="8" spans="1:10" x14ac:dyDescent="0.3">
      <c r="A8" s="10">
        <f>Inputs!$B$12+(3-10)*Inputs!$B$11</f>
        <v>6750</v>
      </c>
      <c r="B8" s="11">
        <v>1023</v>
      </c>
      <c r="C8" s="11">
        <v>16261</v>
      </c>
      <c r="D8" s="12">
        <f>(LN(Inputs!$B$4/A8)+(Inputs!$B$6+Inputs!$B$5^2/2)*Inputs!$B$8)/(Inputs!$B$5*SQRT(Inputs!$B$8))</f>
        <v>1.2734870371620788</v>
      </c>
      <c r="E8" s="12">
        <f t="shared" si="0"/>
        <v>0.89757920098103539</v>
      </c>
      <c r="F8" s="13">
        <f>E8/(Inputs!$B$4*Inputs!$B$5*SQRT(Inputs!$B$8))</f>
        <v>2.9397403775750256E-3</v>
      </c>
      <c r="G8" s="14">
        <f>F8*Inputs!$B$10*Inputs!$B$4^2*0.01</f>
        <v>148192.31243355706</v>
      </c>
      <c r="H8" s="14">
        <f t="shared" si="1"/>
        <v>148192.31243355706</v>
      </c>
      <c r="I8" s="15">
        <f>-Inputs!$B$14*B8*G8/1000000</f>
        <v>-151.60073561952885</v>
      </c>
      <c r="J8" s="15">
        <f>+Inputs!$B$14*C8*H8/1000000</f>
        <v>2409.7551924820714</v>
      </c>
    </row>
    <row r="9" spans="1:10" x14ac:dyDescent="0.3">
      <c r="A9" s="10">
        <f>Inputs!$B$12+(4-10)*Inputs!$B$11</f>
        <v>6800</v>
      </c>
      <c r="B9" s="11">
        <v>1067</v>
      </c>
      <c r="C9" s="11">
        <v>33421</v>
      </c>
      <c r="D9" s="12">
        <f>(LN(Inputs!$B$4/A9)+(Inputs!$B$6+Inputs!$B$5^2/2)*Inputs!$B$8)/(Inputs!$B$5*SQRT(Inputs!$B$8))</f>
        <v>1.1018712558821619</v>
      </c>
      <c r="E9" s="12">
        <f t="shared" si="0"/>
        <v>0.7320705419096184</v>
      </c>
      <c r="F9" s="13">
        <f>E9/(Inputs!$B$4*Inputs!$B$5*SQRT(Inputs!$B$8))</f>
        <v>2.3976684496841475E-3</v>
      </c>
      <c r="G9" s="14">
        <f>F9*Inputs!$B$10*Inputs!$B$4^2*0.01</f>
        <v>120866.46654857787</v>
      </c>
      <c r="H9" s="14">
        <f t="shared" si="1"/>
        <v>120866.46654857787</v>
      </c>
      <c r="I9" s="15">
        <f>-Inputs!$B$14*B9*G9/1000000</f>
        <v>-128.96451980733258</v>
      </c>
      <c r="J9" s="15">
        <f>+Inputs!$B$14*C9*H9/1000000</f>
        <v>4039.4781785200212</v>
      </c>
    </row>
    <row r="10" spans="1:10" x14ac:dyDescent="0.3">
      <c r="A10" s="10">
        <f>Inputs!$B$12+(5-10)*Inputs!$B$11</f>
        <v>6850</v>
      </c>
      <c r="B10" s="11">
        <v>1415</v>
      </c>
      <c r="C10" s="11">
        <v>12829</v>
      </c>
      <c r="D10" s="12">
        <f>(LN(Inputs!$B$4/A10)+(Inputs!$B$6+Inputs!$B$5^2/2)*Inputs!$B$8)/(Inputs!$B$5*SQRT(Inputs!$B$8))</f>
        <v>0.9315127443610467</v>
      </c>
      <c r="E10" s="12">
        <f t="shared" si="0"/>
        <v>0.61564761250907085</v>
      </c>
      <c r="F10" s="13">
        <f>E10/(Inputs!$B$4*Inputs!$B$5*SQRT(Inputs!$B$8))</f>
        <v>2.0163615008819912E-3</v>
      </c>
      <c r="G10" s="14">
        <f>F10*Inputs!$B$10*Inputs!$B$4^2*0.01</f>
        <v>101644.78325946118</v>
      </c>
      <c r="H10" s="14">
        <f t="shared" si="1"/>
        <v>101644.78325946118</v>
      </c>
      <c r="I10" s="15">
        <f>-Inputs!$B$14*B10*G10/1000000</f>
        <v>-143.82736831213757</v>
      </c>
      <c r="J10" s="15">
        <f>+Inputs!$B$14*C10*H10/1000000</f>
        <v>1304.0009244356274</v>
      </c>
    </row>
    <row r="11" spans="1:10" x14ac:dyDescent="0.3">
      <c r="A11" s="10">
        <f>Inputs!$B$12+(6-10)*Inputs!$B$11</f>
        <v>6900</v>
      </c>
      <c r="B11" s="11">
        <v>4785</v>
      </c>
      <c r="C11" s="11">
        <v>26880</v>
      </c>
      <c r="D11" s="12">
        <f>(LN(Inputs!$B$4/A11)+(Inputs!$B$6+Inputs!$B$5^2/2)*Inputs!$B$8)/(Inputs!$B$5*SQRT(Inputs!$B$8))</f>
        <v>0.76239321479500055</v>
      </c>
      <c r="E11" s="12">
        <f t="shared" si="0"/>
        <v>0.53348900042020297</v>
      </c>
      <c r="F11" s="13">
        <f>E11/(Inputs!$B$4*Inputs!$B$5*SQRT(Inputs!$B$8))</f>
        <v>1.7472766234035617E-3</v>
      </c>
      <c r="G11" s="14">
        <f>F11*Inputs!$B$10*Inputs!$B$4^2*0.01</f>
        <v>88080.21458577353</v>
      </c>
      <c r="H11" s="14">
        <f t="shared" si="1"/>
        <v>88080.21458577353</v>
      </c>
      <c r="I11" s="15">
        <f>-Inputs!$B$14*B11*G11/1000000</f>
        <v>-421.4638267929264</v>
      </c>
      <c r="J11" s="15">
        <f>+Inputs!$B$14*C11*H11/1000000</f>
        <v>2367.5961680655923</v>
      </c>
    </row>
    <row r="12" spans="1:10" x14ac:dyDescent="0.3">
      <c r="A12" s="10">
        <f>Inputs!$B$12+(7-10)*Inputs!$B$11</f>
        <v>6950</v>
      </c>
      <c r="B12" s="11">
        <v>3464</v>
      </c>
      <c r="C12" s="11">
        <v>11393</v>
      </c>
      <c r="D12" s="12">
        <f>(LN(Inputs!$B$4/A12)+(Inputs!$B$6+Inputs!$B$5^2/2)*Inputs!$B$8)/(Inputs!$B$5*SQRT(Inputs!$B$8))</f>
        <v>0.59449477551297658</v>
      </c>
      <c r="E12" s="12">
        <f t="shared" si="0"/>
        <v>0.47605279637441128</v>
      </c>
      <c r="F12" s="13">
        <f>E12/(Inputs!$B$4*Inputs!$B$5*SQRT(Inputs!$B$8))</f>
        <v>1.5591622731785286E-3</v>
      </c>
      <c r="G12" s="14">
        <f>F12*Inputs!$B$10*Inputs!$B$4^2*0.01</f>
        <v>78597.370190929636</v>
      </c>
      <c r="H12" s="14">
        <f t="shared" si="1"/>
        <v>78597.370190929636</v>
      </c>
      <c r="I12" s="15">
        <f>-Inputs!$B$14*B12*G12/1000000</f>
        <v>-272.26129034138023</v>
      </c>
      <c r="J12" s="15">
        <f>+Inputs!$B$14*C12*H12/1000000</f>
        <v>895.45983858526131</v>
      </c>
    </row>
    <row r="13" spans="1:10" x14ac:dyDescent="0.3">
      <c r="A13" s="10">
        <f>Inputs!$B$12+(8-10)*Inputs!$B$11</f>
        <v>7000</v>
      </c>
      <c r="B13" s="11">
        <v>5378</v>
      </c>
      <c r="C13" s="11">
        <v>12590</v>
      </c>
      <c r="D13" s="12">
        <f>(LN(Inputs!$B$4/A13)+(Inputs!$B$6+Inputs!$B$5^2/2)*Inputs!$B$8)/(Inputs!$B$5*SQRT(Inputs!$B$8))</f>
        <v>0.42779991961768354</v>
      </c>
      <c r="E13" s="12">
        <f t="shared" si="0"/>
        <v>0.43717043538793121</v>
      </c>
      <c r="F13" s="13">
        <f>E13/(Inputs!$B$4*Inputs!$B$5*SQRT(Inputs!$B$8))</f>
        <v>1.4318152419165839E-3</v>
      </c>
      <c r="G13" s="14">
        <f>F13*Inputs!$B$10*Inputs!$B$4^2*0.01</f>
        <v>72177.806345014993</v>
      </c>
      <c r="H13" s="14">
        <f t="shared" si="1"/>
        <v>72177.806345014993</v>
      </c>
      <c r="I13" s="15">
        <f>-Inputs!$B$14*B13*G13/1000000</f>
        <v>-388.17224252349058</v>
      </c>
      <c r="J13" s="15">
        <f>+Inputs!$B$14*C13*H13/1000000</f>
        <v>908.71858188373881</v>
      </c>
    </row>
    <row r="14" spans="1:10" x14ac:dyDescent="0.3">
      <c r="A14" s="10">
        <f>Inputs!$B$12+(9-10)*Inputs!$B$11</f>
        <v>7050</v>
      </c>
      <c r="B14" s="11">
        <v>6696</v>
      </c>
      <c r="C14" s="11">
        <v>9326</v>
      </c>
      <c r="D14" s="12">
        <f>(LN(Inputs!$B$4/A14)+(Inputs!$B$6+Inputs!$B$5^2/2)*Inputs!$B$8)/(Inputs!$B$5*SQRT(Inputs!$B$8))</f>
        <v>0.26229151403098866</v>
      </c>
      <c r="E14" s="12">
        <f t="shared" si="0"/>
        <v>0.41290401838372276</v>
      </c>
      <c r="F14" s="13">
        <f>E14/(Inputs!$B$4*Inputs!$B$5*SQRT(Inputs!$B$8))</f>
        <v>1.3523381709145208E-3</v>
      </c>
      <c r="G14" s="14">
        <f>F14*Inputs!$B$10*Inputs!$B$4^2*0.01</f>
        <v>68171.367195800995</v>
      </c>
      <c r="H14" s="14">
        <f t="shared" si="1"/>
        <v>68171.367195800995</v>
      </c>
      <c r="I14" s="15">
        <f>-Inputs!$B$14*B14*G14/1000000</f>
        <v>-456.47547474308345</v>
      </c>
      <c r="J14" s="15">
        <f>+Inputs!$B$14*C14*H14/1000000</f>
        <v>635.76617046804006</v>
      </c>
    </row>
    <row r="15" spans="1:10" x14ac:dyDescent="0.3">
      <c r="A15" s="10">
        <f>Inputs!$B$12+(10-10)*Inputs!$B$11</f>
        <v>7100</v>
      </c>
      <c r="B15" s="11">
        <v>9143</v>
      </c>
      <c r="C15" s="11">
        <v>6911</v>
      </c>
      <c r="D15" s="12">
        <f>(LN(Inputs!$B$4/A15)+(Inputs!$B$6+Inputs!$B$5^2/2)*Inputs!$B$8)/(Inputs!$B$5*SQRT(Inputs!$B$8))</f>
        <v>9.7952788926336812E-2</v>
      </c>
      <c r="E15" s="12">
        <f t="shared" si="0"/>
        <v>0.40086075403490357</v>
      </c>
      <c r="F15" s="13">
        <f>E15/(Inputs!$B$4*Inputs!$B$5*SQRT(Inputs!$B$8))</f>
        <v>1.3128942193998939E-3</v>
      </c>
      <c r="G15" s="14">
        <f>F15*Inputs!$B$10*Inputs!$B$4^2*0.01</f>
        <v>66182.997599948649</v>
      </c>
      <c r="H15" s="14">
        <f t="shared" si="1"/>
        <v>66182.997599948649</v>
      </c>
      <c r="I15" s="15">
        <f>-Inputs!$B$14*B15*G15/1000000</f>
        <v>-605.11114705633042</v>
      </c>
      <c r="J15" s="15">
        <f>+Inputs!$B$14*C15*H15/1000000</f>
        <v>457.39069641324511</v>
      </c>
    </row>
    <row r="16" spans="1:10" x14ac:dyDescent="0.3">
      <c r="A16" s="10">
        <f>Inputs!$B$12+(11-10)*Inputs!$B$11</f>
        <v>7150</v>
      </c>
      <c r="B16" s="11">
        <v>10660</v>
      </c>
      <c r="C16" s="11">
        <v>6131</v>
      </c>
      <c r="D16" s="12">
        <f>(LN(Inputs!$B$4/A16)+(Inputs!$B$6+Inputs!$B$5^2/2)*Inputs!$B$8)/(Inputs!$B$5*SQRT(Inputs!$B$8))</f>
        <v>-6.5232672467996328E-2</v>
      </c>
      <c r="E16" s="12">
        <f t="shared" si="0"/>
        <v>0.39979199388119485</v>
      </c>
      <c r="F16" s="13">
        <f>E16/(Inputs!$B$4*Inputs!$B$5*SQRT(Inputs!$B$8))</f>
        <v>1.3093938292678955E-3</v>
      </c>
      <c r="G16" s="14">
        <f>F16*Inputs!$B$10*Inputs!$B$4^2*0.01</f>
        <v>66006.542933394609</v>
      </c>
      <c r="H16" s="14">
        <f t="shared" si="1"/>
        <v>66006.542933394609</v>
      </c>
      <c r="I16" s="15">
        <f>-Inputs!$B$14*B16*G16/1000000</f>
        <v>-703.6297476699865</v>
      </c>
      <c r="J16" s="15">
        <f>+Inputs!$B$14*C16*H16/1000000</f>
        <v>404.68611472464232</v>
      </c>
    </row>
    <row r="17" spans="1:10" x14ac:dyDescent="0.3">
      <c r="A17" s="10">
        <f>Inputs!$B$12+(12-10)*Inputs!$B$11</f>
        <v>7200</v>
      </c>
      <c r="B17" s="11">
        <v>9915</v>
      </c>
      <c r="C17" s="11">
        <v>4586</v>
      </c>
      <c r="D17" s="12">
        <f>(LN(Inputs!$B$4/A17)+(Inputs!$B$6+Inputs!$B$5^2/2)*Inputs!$B$8)/(Inputs!$B$5*SQRT(Inputs!$B$8))</f>
        <v>-0.22728094371034135</v>
      </c>
      <c r="E17" s="12">
        <f t="shared" si="0"/>
        <v>0.40938050738957443</v>
      </c>
      <c r="F17" s="13">
        <f>E17/(Inputs!$B$4*Inputs!$B$5*SQRT(Inputs!$B$8))</f>
        <v>1.3407980109720822E-3</v>
      </c>
      <c r="G17" s="14">
        <f>F17*Inputs!$B$10*Inputs!$B$4^2*0.01</f>
        <v>67589.627733102665</v>
      </c>
      <c r="H17" s="14">
        <f t="shared" si="1"/>
        <v>67589.627733102665</v>
      </c>
      <c r="I17" s="15">
        <f>-Inputs!$B$14*B17*G17/1000000</f>
        <v>-670.15115897371288</v>
      </c>
      <c r="J17" s="15">
        <f>+Inputs!$B$14*C17*H17/1000000</f>
        <v>309.9660327840088</v>
      </c>
    </row>
    <row r="18" spans="1:10" x14ac:dyDescent="0.3">
      <c r="A18" s="10">
        <f>Inputs!$B$12+(13-10)*Inputs!$B$11</f>
        <v>7250</v>
      </c>
      <c r="B18" s="11">
        <v>11711</v>
      </c>
      <c r="C18" s="11">
        <v>4275</v>
      </c>
      <c r="D18" s="12">
        <f>(LN(Inputs!$B$4/A18)+(Inputs!$B$6+Inputs!$B$5^2/2)*Inputs!$B$8)/(Inputs!$B$5*SQRT(Inputs!$B$8))</f>
        <v>-0.38820776464655776</v>
      </c>
      <c r="E18" s="12">
        <f t="shared" si="0"/>
        <v>0.43016522541839625</v>
      </c>
      <c r="F18" s="13">
        <f>E18/(Inputs!$B$4*Inputs!$B$5*SQRT(Inputs!$B$8))</f>
        <v>1.4088718642421404E-3</v>
      </c>
      <c r="G18" s="14">
        <f>F18*Inputs!$B$10*Inputs!$B$4^2*0.01</f>
        <v>71021.230676446314</v>
      </c>
      <c r="H18" s="14">
        <f t="shared" si="1"/>
        <v>71021.230676446314</v>
      </c>
      <c r="I18" s="15">
        <f>-Inputs!$B$14*B18*G18/1000000</f>
        <v>-831.72963245186281</v>
      </c>
      <c r="J18" s="15">
        <f>+Inputs!$B$14*C18*H18/1000000</f>
        <v>303.61576114180798</v>
      </c>
    </row>
    <row r="19" spans="1:10" x14ac:dyDescent="0.3">
      <c r="A19" s="10">
        <f>Inputs!$B$12+(14-10)*Inputs!$B$11</f>
        <v>7300</v>
      </c>
      <c r="B19" s="11">
        <v>22135</v>
      </c>
      <c r="C19" s="11">
        <v>5015</v>
      </c>
      <c r="D19" s="12">
        <f>(LN(Inputs!$B$4/A19)+(Inputs!$B$6+Inputs!$B$5^2/2)*Inputs!$B$8)/(Inputs!$B$5*SQRT(Inputs!$B$8))</f>
        <v>-0.54802855058442768</v>
      </c>
      <c r="E19" s="12">
        <f t="shared" si="0"/>
        <v>0.46358251354163871</v>
      </c>
      <c r="F19" s="13">
        <f>E19/(Inputs!$B$4*Inputs!$B$5*SQRT(Inputs!$B$8))</f>
        <v>1.5183197559686665E-3</v>
      </c>
      <c r="G19" s="14">
        <f>F19*Inputs!$B$10*Inputs!$B$4^2*0.01</f>
        <v>76538.49889838048</v>
      </c>
      <c r="H19" s="14">
        <f t="shared" si="1"/>
        <v>76538.49889838048</v>
      </c>
      <c r="I19" s="15">
        <f>-Inputs!$B$14*B19*G19/1000000</f>
        <v>-1694.1796731156519</v>
      </c>
      <c r="J19" s="15">
        <f>+Inputs!$B$14*C19*H19/1000000</f>
        <v>383.84057197537811</v>
      </c>
    </row>
    <row r="20" spans="1:10" x14ac:dyDescent="0.3">
      <c r="A20" s="10">
        <f>Inputs!$B$12+(15-10)*Inputs!$B$11</f>
        <v>7350</v>
      </c>
      <c r="B20" s="11">
        <v>15234</v>
      </c>
      <c r="C20" s="11">
        <v>1562</v>
      </c>
      <c r="D20" s="12">
        <f>(LN(Inputs!$B$4/A20)+(Inputs!$B$6+Inputs!$B$5^2/2)*Inputs!$B$8)/(Inputs!$B$5*SQRT(Inputs!$B$8))</f>
        <v>-0.7067584011549588</v>
      </c>
      <c r="E20" s="12">
        <f t="shared" si="0"/>
        <v>0.51212588531739112</v>
      </c>
      <c r="F20" s="13">
        <f>E20/(Inputs!$B$4*Inputs!$B$5*SQRT(Inputs!$B$8))</f>
        <v>1.6773084111389755E-3</v>
      </c>
      <c r="G20" s="14">
        <f>F20*Inputs!$B$10*Inputs!$B$4^2*0.01</f>
        <v>84553.117005515756</v>
      </c>
      <c r="H20" s="14">
        <f t="shared" si="1"/>
        <v>84553.117005515756</v>
      </c>
      <c r="I20" s="15">
        <f>-Inputs!$B$14*B20*G20/1000000</f>
        <v>-1288.082184462027</v>
      </c>
      <c r="J20" s="15">
        <f>+Inputs!$B$14*C20*H20/1000000</f>
        <v>132.0719687626156</v>
      </c>
    </row>
    <row r="21" spans="1:10" x14ac:dyDescent="0.3">
      <c r="A21" s="10">
        <f>Inputs!$B$12+(16-10)*Inputs!$B$11</f>
        <v>7400</v>
      </c>
      <c r="B21" s="11">
        <v>34588</v>
      </c>
      <c r="C21" s="11">
        <v>1077</v>
      </c>
      <c r="D21" s="12">
        <f>(LN(Inputs!$B$4/A21)+(Inputs!$B$6+Inputs!$B$5^2/2)*Inputs!$B$8)/(Inputs!$B$5*SQRT(Inputs!$B$8))</f>
        <v>-0.86441210887325792</v>
      </c>
      <c r="E21" s="12">
        <f t="shared" si="0"/>
        <v>0.57964792465059778</v>
      </c>
      <c r="F21" s="13">
        <f>E21/(Inputs!$B$4*Inputs!$B$5*SQRT(Inputs!$B$8))</f>
        <v>1.8984557652522206E-3</v>
      </c>
      <c r="G21" s="14">
        <f>F21*Inputs!$B$10*Inputs!$B$4^2*0.01</f>
        <v>95701.155126364436</v>
      </c>
      <c r="H21" s="14">
        <f t="shared" si="1"/>
        <v>95701.155126364436</v>
      </c>
      <c r="I21" s="15">
        <f>-Inputs!$B$14*B21*G21/1000000</f>
        <v>-3310.1115535106933</v>
      </c>
      <c r="J21" s="15">
        <f>+Inputs!$B$14*C21*H21/1000000</f>
        <v>103.0701440710945</v>
      </c>
    </row>
    <row r="22" spans="1:10" x14ac:dyDescent="0.3">
      <c r="A22" s="10">
        <f>Inputs!$B$12+(17-10)*Inputs!$B$11</f>
        <v>7450</v>
      </c>
      <c r="B22" s="11">
        <v>14081</v>
      </c>
      <c r="C22" s="11">
        <v>1075</v>
      </c>
      <c r="D22" s="12">
        <f>(LN(Inputs!$B$4/A22)+(Inputs!$B$6+Inputs!$B$5^2/2)*Inputs!$B$8)/(Inputs!$B$5*SQRT(Inputs!$B$8))</f>
        <v>-1.0210041674111834</v>
      </c>
      <c r="E22" s="12">
        <f t="shared" si="0"/>
        <v>0.67185429944496811</v>
      </c>
      <c r="F22" s="13">
        <f>E22/(Inputs!$B$4*Inputs!$B$5*SQRT(Inputs!$B$8))</f>
        <v>2.2004489517660798E-3</v>
      </c>
      <c r="G22" s="14">
        <f>F22*Inputs!$B$10*Inputs!$B$4^2*0.01</f>
        <v>110924.63165852807</v>
      </c>
      <c r="H22" s="14">
        <f t="shared" si="1"/>
        <v>110924.63165852807</v>
      </c>
      <c r="I22" s="15">
        <f>-Inputs!$B$14*B22*G22/1000000</f>
        <v>-1561.9297383837338</v>
      </c>
      <c r="J22" s="15">
        <f>+Inputs!$B$14*C22*H22/1000000</f>
        <v>119.24397903291768</v>
      </c>
    </row>
    <row r="23" spans="1:10" x14ac:dyDescent="0.3">
      <c r="A23" s="10">
        <f>Inputs!$B$12+(18-10)*Inputs!$B$11</f>
        <v>7500</v>
      </c>
      <c r="B23" s="11">
        <v>31876</v>
      </c>
      <c r="C23" s="11">
        <v>1972</v>
      </c>
      <c r="D23" s="12">
        <f>(LN(Inputs!$B$4/A23)+(Inputs!$B$6+Inputs!$B$5^2/2)*Inputs!$B$8)/(Inputs!$B$5*SQRT(Inputs!$B$8))</f>
        <v>-1.1765487795932952</v>
      </c>
      <c r="E23" s="12">
        <f t="shared" si="0"/>
        <v>0.79707618278849068</v>
      </c>
      <c r="F23" s="13">
        <f>E23/(Inputs!$B$4*Inputs!$B$5*SQRT(Inputs!$B$8))</f>
        <v>2.6105741264789025E-3</v>
      </c>
      <c r="G23" s="14">
        <f>F23*Inputs!$B$10*Inputs!$B$4^2*0.01</f>
        <v>131599.04171580146</v>
      </c>
      <c r="H23" s="14">
        <f t="shared" si="1"/>
        <v>131599.04171580146</v>
      </c>
      <c r="I23" s="15">
        <f>-Inputs!$B$14*B23*G23/1000000</f>
        <v>-4194.8510537328875</v>
      </c>
      <c r="J23" s="15">
        <f>+Inputs!$B$14*C23*H23/1000000</f>
        <v>259.51331026356047</v>
      </c>
    </row>
    <row r="24" spans="1:10" x14ac:dyDescent="0.3">
      <c r="A24" s="10">
        <f>Inputs!$B$12+(19-10)*Inputs!$B$11</f>
        <v>7550</v>
      </c>
      <c r="B24" s="11">
        <v>16264</v>
      </c>
      <c r="C24" s="11">
        <v>1087</v>
      </c>
      <c r="D24" s="12">
        <f>(LN(Inputs!$B$4/A24)+(Inputs!$B$6+Inputs!$B$5^2/2)*Inputs!$B$8)/(Inputs!$B$5*SQRT(Inputs!$B$8))</f>
        <v>-1.331059865127165</v>
      </c>
      <c r="E24" s="12">
        <f t="shared" si="0"/>
        <v>0.9674627550142475</v>
      </c>
      <c r="F24" s="13">
        <f>E24/(Inputs!$B$4*Inputs!$B$5*SQRT(Inputs!$B$8))</f>
        <v>3.1686221356364182E-3</v>
      </c>
      <c r="G24" s="14">
        <f>F24*Inputs!$B$10*Inputs!$B$4^2*0.01</f>
        <v>159730.24185743183</v>
      </c>
      <c r="H24" s="14">
        <f t="shared" si="1"/>
        <v>159730.24185743183</v>
      </c>
      <c r="I24" s="15">
        <f>-Inputs!$B$14*B24*G24/1000000</f>
        <v>-2597.8526535692713</v>
      </c>
      <c r="J24" s="15">
        <f>+Inputs!$B$14*C24*H24/1000000</f>
        <v>173.6267728990284</v>
      </c>
    </row>
    <row r="25" spans="1:10" x14ac:dyDescent="0.3">
      <c r="A25" s="10">
        <f>Inputs!$B$12+(20-10)*Inputs!$B$11</f>
        <v>7600</v>
      </c>
      <c r="B25" s="11">
        <v>17254</v>
      </c>
      <c r="C25" s="11">
        <v>939</v>
      </c>
      <c r="D25" s="12">
        <f>(LN(Inputs!$B$4/A25)+(Inputs!$B$6+Inputs!$B$5^2/2)*Inputs!$B$8)/(Inputs!$B$5*SQRT(Inputs!$B$8))</f>
        <v>-1.4845510680785488</v>
      </c>
      <c r="E25" s="12">
        <f t="shared" si="0"/>
        <v>1.2008232985376326</v>
      </c>
      <c r="F25" s="13">
        <f>E25/(Inputs!$B$4*Inputs!$B$5*SQRT(Inputs!$B$8))</f>
        <v>3.9329217223233025E-3</v>
      </c>
      <c r="G25" s="14">
        <f>F25*Inputs!$B$10*Inputs!$B$4^2*0.01</f>
        <v>198258.58402231769</v>
      </c>
      <c r="H25" s="14">
        <f t="shared" si="1"/>
        <v>198258.58402231769</v>
      </c>
      <c r="I25" s="15">
        <f>-Inputs!$B$14*B25*G25/1000000</f>
        <v>-3420.7536087210692</v>
      </c>
      <c r="J25" s="15">
        <f>+Inputs!$B$14*C25*H25/1000000</f>
        <v>186.16481039695631</v>
      </c>
    </row>
    <row r="27" spans="1:10" x14ac:dyDescent="0.3">
      <c r="A27" s="2" t="s">
        <v>62</v>
      </c>
      <c r="B27" s="16">
        <f>SUM(B5:B25)</f>
        <v>220780</v>
      </c>
      <c r="C27" s="16">
        <f>SUM(C5:C25)</f>
        <v>217032</v>
      </c>
      <c r="I27" s="16">
        <f>SUM(I5:I25)</f>
        <v>-23807.071480734445</v>
      </c>
      <c r="J27" s="16">
        <f>SUM(J5:J25)</f>
        <v>29688.726688763814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zoomScaleNormal="100" workbookViewId="0">
      <pane ySplit="4" topLeftCell="A5" activePane="bottomLeft" state="frozen"/>
      <selection pane="bottomLeft" activeCell="B10" sqref="B10"/>
    </sheetView>
  </sheetViews>
  <sheetFormatPr defaultColWidth="8.6640625" defaultRowHeight="14.4" x14ac:dyDescent="0.3"/>
  <cols>
    <col min="1" max="1" width="12" customWidth="1"/>
    <col min="2" max="3" width="18" customWidth="1"/>
    <col min="4" max="4" width="20" customWidth="1"/>
    <col min="5" max="5" width="14" customWidth="1"/>
    <col min="6" max="6" width="20" customWidth="1"/>
  </cols>
  <sheetData>
    <row r="1" spans="1:7" ht="17.399999999999999" x14ac:dyDescent="0.3">
      <c r="A1" s="3" t="s">
        <v>63</v>
      </c>
    </row>
    <row r="2" spans="1:7" x14ac:dyDescent="0.3">
      <c r="A2" s="8" t="s">
        <v>64</v>
      </c>
    </row>
    <row r="4" spans="1:7" x14ac:dyDescent="0.3">
      <c r="A4" s="9" t="s">
        <v>52</v>
      </c>
      <c r="B4" s="9" t="s">
        <v>60</v>
      </c>
      <c r="C4" s="9" t="s">
        <v>61</v>
      </c>
      <c r="D4" s="9" t="s">
        <v>65</v>
      </c>
      <c r="E4" s="9" t="s">
        <v>66</v>
      </c>
      <c r="F4" s="9" t="s">
        <v>67</v>
      </c>
      <c r="G4" s="9" t="s">
        <v>68</v>
      </c>
    </row>
    <row r="5" spans="1:7" x14ac:dyDescent="0.3">
      <c r="A5" s="17">
        <f>'Option Chain'!A5</f>
        <v>6600</v>
      </c>
      <c r="B5" s="18">
        <f>'Option Chain'!I5</f>
        <v>-312.9672323345502</v>
      </c>
      <c r="C5" s="18">
        <f>'Option Chain'!J5</f>
        <v>5177.3438878068246</v>
      </c>
      <c r="D5" s="15">
        <f t="shared" ref="D5:D25" si="0">B5+C5</f>
        <v>4864.3766554722743</v>
      </c>
      <c r="E5" s="19">
        <f>A5-Inputs!$B$4</f>
        <v>-500</v>
      </c>
      <c r="F5" s="15">
        <f>D5</f>
        <v>4864.3766554722743</v>
      </c>
      <c r="G5" s="15">
        <f t="shared" ref="G5:G25" si="1">ABS(F5)</f>
        <v>4864.3766554722743</v>
      </c>
    </row>
    <row r="6" spans="1:7" x14ac:dyDescent="0.3">
      <c r="A6" s="17">
        <f>'Option Chain'!A6</f>
        <v>6650</v>
      </c>
      <c r="B6" s="18">
        <f>'Option Chain'!I6</f>
        <v>-271.075214545981</v>
      </c>
      <c r="C6" s="18">
        <f>'Option Chain'!J6</f>
        <v>3676.7789940450807</v>
      </c>
      <c r="D6" s="15">
        <f t="shared" si="0"/>
        <v>3405.7037794990997</v>
      </c>
      <c r="E6" s="19">
        <f>A6-Inputs!$B$4</f>
        <v>-450</v>
      </c>
      <c r="F6" s="15">
        <f t="shared" ref="F6:F25" si="2">F5+D6</f>
        <v>8270.0804349713744</v>
      </c>
      <c r="G6" s="15">
        <f t="shared" si="1"/>
        <v>8270.0804349713744</v>
      </c>
    </row>
    <row r="7" spans="1:7" x14ac:dyDescent="0.3">
      <c r="A7" s="17">
        <f>'Option Chain'!A7</f>
        <v>6700</v>
      </c>
      <c r="B7" s="18">
        <f>'Option Chain'!I7</f>
        <v>-381.88142406680805</v>
      </c>
      <c r="C7" s="18">
        <f>'Option Chain'!J7</f>
        <v>5440.6385900063015</v>
      </c>
      <c r="D7" s="15">
        <f t="shared" si="0"/>
        <v>5058.7571659394935</v>
      </c>
      <c r="E7" s="19">
        <f>A7-Inputs!$B$4</f>
        <v>-400</v>
      </c>
      <c r="F7" s="15">
        <f t="shared" si="2"/>
        <v>13328.837600910869</v>
      </c>
      <c r="G7" s="15">
        <f t="shared" si="1"/>
        <v>13328.837600910869</v>
      </c>
    </row>
    <row r="8" spans="1:7" x14ac:dyDescent="0.3">
      <c r="A8" s="17">
        <f>'Option Chain'!A8</f>
        <v>6750</v>
      </c>
      <c r="B8" s="18">
        <f>'Option Chain'!I8</f>
        <v>-151.60073561952885</v>
      </c>
      <c r="C8" s="18">
        <f>'Option Chain'!J8</f>
        <v>2409.7551924820714</v>
      </c>
      <c r="D8" s="15">
        <f t="shared" si="0"/>
        <v>2258.1544568625427</v>
      </c>
      <c r="E8" s="19">
        <f>A8-Inputs!$B$4</f>
        <v>-350</v>
      </c>
      <c r="F8" s="15">
        <f t="shared" si="2"/>
        <v>15586.992057773412</v>
      </c>
      <c r="G8" s="15">
        <f t="shared" si="1"/>
        <v>15586.992057773412</v>
      </c>
    </row>
    <row r="9" spans="1:7" x14ac:dyDescent="0.3">
      <c r="A9" s="17">
        <f>'Option Chain'!A9</f>
        <v>6800</v>
      </c>
      <c r="B9" s="18">
        <f>'Option Chain'!I9</f>
        <v>-128.96451980733258</v>
      </c>
      <c r="C9" s="18">
        <f>'Option Chain'!J9</f>
        <v>4039.4781785200212</v>
      </c>
      <c r="D9" s="15">
        <f t="shared" si="0"/>
        <v>3910.5136587126885</v>
      </c>
      <c r="E9" s="19">
        <f>A9-Inputs!$B$4</f>
        <v>-300</v>
      </c>
      <c r="F9" s="15">
        <f t="shared" si="2"/>
        <v>19497.505716486099</v>
      </c>
      <c r="G9" s="15">
        <f t="shared" si="1"/>
        <v>19497.505716486099</v>
      </c>
    </row>
    <row r="10" spans="1:7" x14ac:dyDescent="0.3">
      <c r="A10" s="17">
        <f>'Option Chain'!A10</f>
        <v>6850</v>
      </c>
      <c r="B10" s="18">
        <f>'Option Chain'!I10</f>
        <v>-143.82736831213757</v>
      </c>
      <c r="C10" s="18">
        <f>'Option Chain'!J10</f>
        <v>1304.0009244356274</v>
      </c>
      <c r="D10" s="15">
        <f t="shared" si="0"/>
        <v>1160.1735561234898</v>
      </c>
      <c r="E10" s="19">
        <f>A10-Inputs!$B$4</f>
        <v>-250</v>
      </c>
      <c r="F10" s="15">
        <f t="shared" si="2"/>
        <v>20657.679272609588</v>
      </c>
      <c r="G10" s="15">
        <f t="shared" si="1"/>
        <v>20657.679272609588</v>
      </c>
    </row>
    <row r="11" spans="1:7" x14ac:dyDescent="0.3">
      <c r="A11" s="17">
        <f>'Option Chain'!A11</f>
        <v>6900</v>
      </c>
      <c r="B11" s="18">
        <f>'Option Chain'!I11</f>
        <v>-421.4638267929264</v>
      </c>
      <c r="C11" s="18">
        <f>'Option Chain'!J11</f>
        <v>2367.5961680655923</v>
      </c>
      <c r="D11" s="15">
        <f t="shared" si="0"/>
        <v>1946.1323412726661</v>
      </c>
      <c r="E11" s="19">
        <f>A11-Inputs!$B$4</f>
        <v>-200</v>
      </c>
      <c r="F11" s="15">
        <f t="shared" si="2"/>
        <v>22603.811613882255</v>
      </c>
      <c r="G11" s="15">
        <f t="shared" si="1"/>
        <v>22603.811613882255</v>
      </c>
    </row>
    <row r="12" spans="1:7" x14ac:dyDescent="0.3">
      <c r="A12" s="17">
        <f>'Option Chain'!A12</f>
        <v>6950</v>
      </c>
      <c r="B12" s="18">
        <f>'Option Chain'!I12</f>
        <v>-272.26129034138023</v>
      </c>
      <c r="C12" s="18">
        <f>'Option Chain'!J12</f>
        <v>895.45983858526131</v>
      </c>
      <c r="D12" s="15">
        <f t="shared" si="0"/>
        <v>623.19854824388108</v>
      </c>
      <c r="E12" s="19">
        <f>A12-Inputs!$B$4</f>
        <v>-150</v>
      </c>
      <c r="F12" s="15">
        <f t="shared" si="2"/>
        <v>23227.010162126135</v>
      </c>
      <c r="G12" s="15">
        <f t="shared" si="1"/>
        <v>23227.010162126135</v>
      </c>
    </row>
    <row r="13" spans="1:7" x14ac:dyDescent="0.3">
      <c r="A13" s="17">
        <f>'Option Chain'!A13</f>
        <v>7000</v>
      </c>
      <c r="B13" s="18">
        <f>'Option Chain'!I13</f>
        <v>-388.17224252349058</v>
      </c>
      <c r="C13" s="18">
        <f>'Option Chain'!J13</f>
        <v>908.71858188373881</v>
      </c>
      <c r="D13" s="15">
        <f t="shared" si="0"/>
        <v>520.54633936024823</v>
      </c>
      <c r="E13" s="19">
        <f>A13-Inputs!$B$4</f>
        <v>-100</v>
      </c>
      <c r="F13" s="15">
        <f t="shared" si="2"/>
        <v>23747.556501486382</v>
      </c>
      <c r="G13" s="15">
        <f t="shared" si="1"/>
        <v>23747.556501486382</v>
      </c>
    </row>
    <row r="14" spans="1:7" x14ac:dyDescent="0.3">
      <c r="A14" s="17">
        <f>'Option Chain'!A14</f>
        <v>7050</v>
      </c>
      <c r="B14" s="18">
        <f>'Option Chain'!I14</f>
        <v>-456.47547474308345</v>
      </c>
      <c r="C14" s="18">
        <f>'Option Chain'!J14</f>
        <v>635.76617046804006</v>
      </c>
      <c r="D14" s="15">
        <f t="shared" si="0"/>
        <v>179.29069572495661</v>
      </c>
      <c r="E14" s="19">
        <f>A14-Inputs!$B$4</f>
        <v>-50</v>
      </c>
      <c r="F14" s="15">
        <f t="shared" si="2"/>
        <v>23926.84719721134</v>
      </c>
      <c r="G14" s="15">
        <f t="shared" si="1"/>
        <v>23926.84719721134</v>
      </c>
    </row>
    <row r="15" spans="1:7" x14ac:dyDescent="0.3">
      <c r="A15" s="17">
        <f>'Option Chain'!A15</f>
        <v>7100</v>
      </c>
      <c r="B15" s="18">
        <f>'Option Chain'!I15</f>
        <v>-605.11114705633042</v>
      </c>
      <c r="C15" s="18">
        <f>'Option Chain'!J15</f>
        <v>457.39069641324511</v>
      </c>
      <c r="D15" s="15">
        <f t="shared" si="0"/>
        <v>-147.72045064308531</v>
      </c>
      <c r="E15" s="19">
        <f>A15-Inputs!$B$4</f>
        <v>0</v>
      </c>
      <c r="F15" s="15">
        <f t="shared" si="2"/>
        <v>23779.126746568254</v>
      </c>
      <c r="G15" s="15">
        <f t="shared" si="1"/>
        <v>23779.126746568254</v>
      </c>
    </row>
    <row r="16" spans="1:7" x14ac:dyDescent="0.3">
      <c r="A16" s="17">
        <f>'Option Chain'!A16</f>
        <v>7150</v>
      </c>
      <c r="B16" s="18">
        <f>'Option Chain'!I16</f>
        <v>-703.6297476699865</v>
      </c>
      <c r="C16" s="18">
        <f>'Option Chain'!J16</f>
        <v>404.68611472464232</v>
      </c>
      <c r="D16" s="15">
        <f t="shared" si="0"/>
        <v>-298.94363294534418</v>
      </c>
      <c r="E16" s="19">
        <f>A16-Inputs!$B$4</f>
        <v>50</v>
      </c>
      <c r="F16" s="15">
        <f t="shared" si="2"/>
        <v>23480.183113622908</v>
      </c>
      <c r="G16" s="15">
        <f t="shared" si="1"/>
        <v>23480.183113622908</v>
      </c>
    </row>
    <row r="17" spans="1:7" x14ac:dyDescent="0.3">
      <c r="A17" s="17">
        <f>'Option Chain'!A17</f>
        <v>7200</v>
      </c>
      <c r="B17" s="18">
        <f>'Option Chain'!I17</f>
        <v>-670.15115897371288</v>
      </c>
      <c r="C17" s="18">
        <f>'Option Chain'!J17</f>
        <v>309.9660327840088</v>
      </c>
      <c r="D17" s="15">
        <f t="shared" si="0"/>
        <v>-360.18512618970408</v>
      </c>
      <c r="E17" s="19">
        <f>A17-Inputs!$B$4</f>
        <v>100</v>
      </c>
      <c r="F17" s="15">
        <f t="shared" si="2"/>
        <v>23119.997987433206</v>
      </c>
      <c r="G17" s="15">
        <f t="shared" si="1"/>
        <v>23119.997987433206</v>
      </c>
    </row>
    <row r="18" spans="1:7" x14ac:dyDescent="0.3">
      <c r="A18" s="17">
        <f>'Option Chain'!A18</f>
        <v>7250</v>
      </c>
      <c r="B18" s="18">
        <f>'Option Chain'!I18</f>
        <v>-831.72963245186281</v>
      </c>
      <c r="C18" s="18">
        <f>'Option Chain'!J18</f>
        <v>303.61576114180798</v>
      </c>
      <c r="D18" s="15">
        <f t="shared" si="0"/>
        <v>-528.11387131005483</v>
      </c>
      <c r="E18" s="19">
        <f>A18-Inputs!$B$4</f>
        <v>150</v>
      </c>
      <c r="F18" s="15">
        <f t="shared" si="2"/>
        <v>22591.88411612315</v>
      </c>
      <c r="G18" s="15">
        <f t="shared" si="1"/>
        <v>22591.88411612315</v>
      </c>
    </row>
    <row r="19" spans="1:7" x14ac:dyDescent="0.3">
      <c r="A19" s="17">
        <f>'Option Chain'!A19</f>
        <v>7300</v>
      </c>
      <c r="B19" s="18">
        <f>'Option Chain'!I19</f>
        <v>-1694.1796731156519</v>
      </c>
      <c r="C19" s="18">
        <f>'Option Chain'!J19</f>
        <v>383.84057197537811</v>
      </c>
      <c r="D19" s="15">
        <f t="shared" si="0"/>
        <v>-1310.3391011402737</v>
      </c>
      <c r="E19" s="19">
        <f>A19-Inputs!$B$4</f>
        <v>200</v>
      </c>
      <c r="F19" s="15">
        <f t="shared" si="2"/>
        <v>21281.545014982876</v>
      </c>
      <c r="G19" s="15">
        <f t="shared" si="1"/>
        <v>21281.545014982876</v>
      </c>
    </row>
    <row r="20" spans="1:7" x14ac:dyDescent="0.3">
      <c r="A20" s="17">
        <f>'Option Chain'!A20</f>
        <v>7350</v>
      </c>
      <c r="B20" s="18">
        <f>'Option Chain'!I20</f>
        <v>-1288.082184462027</v>
      </c>
      <c r="C20" s="18">
        <f>'Option Chain'!J20</f>
        <v>132.0719687626156</v>
      </c>
      <c r="D20" s="15">
        <f t="shared" si="0"/>
        <v>-1156.0102156994114</v>
      </c>
      <c r="E20" s="19">
        <f>A20-Inputs!$B$4</f>
        <v>250</v>
      </c>
      <c r="F20" s="15">
        <f t="shared" si="2"/>
        <v>20125.534799283465</v>
      </c>
      <c r="G20" s="15">
        <f t="shared" si="1"/>
        <v>20125.534799283465</v>
      </c>
    </row>
    <row r="21" spans="1:7" x14ac:dyDescent="0.3">
      <c r="A21" s="17">
        <f>'Option Chain'!A21</f>
        <v>7400</v>
      </c>
      <c r="B21" s="18">
        <f>'Option Chain'!I21</f>
        <v>-3310.1115535106933</v>
      </c>
      <c r="C21" s="18">
        <f>'Option Chain'!J21</f>
        <v>103.0701440710945</v>
      </c>
      <c r="D21" s="15">
        <f t="shared" si="0"/>
        <v>-3207.0414094395987</v>
      </c>
      <c r="E21" s="19">
        <f>A21-Inputs!$B$4</f>
        <v>300</v>
      </c>
      <c r="F21" s="15">
        <f t="shared" si="2"/>
        <v>16918.493389843865</v>
      </c>
      <c r="G21" s="15">
        <f t="shared" si="1"/>
        <v>16918.493389843865</v>
      </c>
    </row>
    <row r="22" spans="1:7" x14ac:dyDescent="0.3">
      <c r="A22" s="17">
        <f>'Option Chain'!A22</f>
        <v>7450</v>
      </c>
      <c r="B22" s="18">
        <f>'Option Chain'!I22</f>
        <v>-1561.9297383837338</v>
      </c>
      <c r="C22" s="18">
        <f>'Option Chain'!J22</f>
        <v>119.24397903291768</v>
      </c>
      <c r="D22" s="15">
        <f t="shared" si="0"/>
        <v>-1442.6857593508162</v>
      </c>
      <c r="E22" s="19">
        <f>A22-Inputs!$B$4</f>
        <v>350</v>
      </c>
      <c r="F22" s="15">
        <f t="shared" si="2"/>
        <v>15475.807630493049</v>
      </c>
      <c r="G22" s="15">
        <f t="shared" si="1"/>
        <v>15475.807630493049</v>
      </c>
    </row>
    <row r="23" spans="1:7" x14ac:dyDescent="0.3">
      <c r="A23" s="17">
        <f>'Option Chain'!A23</f>
        <v>7500</v>
      </c>
      <c r="B23" s="18">
        <f>'Option Chain'!I23</f>
        <v>-4194.8510537328875</v>
      </c>
      <c r="C23" s="18">
        <f>'Option Chain'!J23</f>
        <v>259.51331026356047</v>
      </c>
      <c r="D23" s="15">
        <f t="shared" si="0"/>
        <v>-3935.3377434693271</v>
      </c>
      <c r="E23" s="19">
        <f>A23-Inputs!$B$4</f>
        <v>400</v>
      </c>
      <c r="F23" s="15">
        <f t="shared" si="2"/>
        <v>11540.469887023723</v>
      </c>
      <c r="G23" s="15">
        <f t="shared" si="1"/>
        <v>11540.469887023723</v>
      </c>
    </row>
    <row r="24" spans="1:7" x14ac:dyDescent="0.3">
      <c r="A24" s="17">
        <f>'Option Chain'!A24</f>
        <v>7550</v>
      </c>
      <c r="B24" s="18">
        <f>'Option Chain'!I24</f>
        <v>-2597.8526535692713</v>
      </c>
      <c r="C24" s="18">
        <f>'Option Chain'!J24</f>
        <v>173.6267728990284</v>
      </c>
      <c r="D24" s="15">
        <f t="shared" si="0"/>
        <v>-2424.225880670243</v>
      </c>
      <c r="E24" s="19">
        <f>A24-Inputs!$B$4</f>
        <v>450</v>
      </c>
      <c r="F24" s="15">
        <f t="shared" si="2"/>
        <v>9116.2440063534796</v>
      </c>
      <c r="G24" s="15">
        <f t="shared" si="1"/>
        <v>9116.2440063534796</v>
      </c>
    </row>
    <row r="25" spans="1:7" x14ac:dyDescent="0.3">
      <c r="A25" s="17">
        <f>'Option Chain'!A25</f>
        <v>7600</v>
      </c>
      <c r="B25" s="18">
        <f>'Option Chain'!I25</f>
        <v>-3420.7536087210692</v>
      </c>
      <c r="C25" s="18">
        <f>'Option Chain'!J25</f>
        <v>186.16481039695631</v>
      </c>
      <c r="D25" s="15">
        <f t="shared" si="0"/>
        <v>-3234.5887983241128</v>
      </c>
      <c r="E25" s="19">
        <f>A25-Inputs!$B$4</f>
        <v>500</v>
      </c>
      <c r="F25" s="15">
        <f t="shared" si="2"/>
        <v>5881.6552080293668</v>
      </c>
      <c r="G25" s="15">
        <f t="shared" si="1"/>
        <v>5881.6552080293668</v>
      </c>
    </row>
    <row r="28" spans="1:7" ht="17.399999999999999" x14ac:dyDescent="0.3">
      <c r="A28" s="3" t="s">
        <v>69</v>
      </c>
    </row>
    <row r="29" spans="1:7" x14ac:dyDescent="0.3">
      <c r="A29" s="2" t="s">
        <v>28</v>
      </c>
      <c r="B29" s="20">
        <f>Inputs!B4</f>
        <v>7100</v>
      </c>
    </row>
    <row r="30" spans="1:7" x14ac:dyDescent="0.3">
      <c r="A30" s="2" t="s">
        <v>70</v>
      </c>
      <c r="B30" s="21">
        <f>SUM(D5:D25)</f>
        <v>5881.6552080293668</v>
      </c>
    </row>
    <row r="31" spans="1:7" x14ac:dyDescent="0.3">
      <c r="A31" s="2" t="s">
        <v>71</v>
      </c>
      <c r="B31" s="22" t="str">
        <f>IF(B30&gt;0,"POSITIVE (dampening, mean-reverting)","NEGATIVE (amplifying, trending/gappy)")</f>
        <v>POSITIVE (dampening, mean-reverting)</v>
      </c>
    </row>
    <row r="32" spans="1:7" x14ac:dyDescent="0.3">
      <c r="A32" s="2" t="s">
        <v>72</v>
      </c>
      <c r="B32" s="23">
        <f>INDEX(A5:A25,MATCH(MIN(B5:B25),B5:B25,0))</f>
        <v>7500</v>
      </c>
      <c r="C32" s="24" t="s">
        <v>73</v>
      </c>
    </row>
    <row r="33" spans="1:3" x14ac:dyDescent="0.3">
      <c r="A33" s="2" t="s">
        <v>74</v>
      </c>
      <c r="B33" s="23">
        <f>INDEX(A5:A25,MATCH(MAX(C5:C25),C5:C25,0))</f>
        <v>6700</v>
      </c>
      <c r="C33" s="24" t="s">
        <v>75</v>
      </c>
    </row>
    <row r="34" spans="1:3" x14ac:dyDescent="0.3">
      <c r="A34" s="2" t="s">
        <v>76</v>
      </c>
      <c r="B34" s="23">
        <f>INDEX(A5:A25,MATCH(MIN(G5:G25),G5:G25,0))</f>
        <v>6600</v>
      </c>
      <c r="C34" s="24" t="s">
        <v>77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/>
  </sheetViews>
  <sheetFormatPr defaultColWidth="8.6640625" defaultRowHeight="14.4" x14ac:dyDescent="0.3"/>
  <cols>
    <col min="1" max="1" width="28" customWidth="1"/>
    <col min="2" max="3" width="40" customWidth="1"/>
  </cols>
  <sheetData>
    <row r="1" spans="1:3" ht="17.399999999999999" x14ac:dyDescent="0.3">
      <c r="A1" s="3" t="s">
        <v>78</v>
      </c>
    </row>
    <row r="3" spans="1:3" ht="19.5" customHeight="1" x14ac:dyDescent="0.3">
      <c r="A3" s="25" t="s">
        <v>79</v>
      </c>
      <c r="B3" s="25" t="s">
        <v>80</v>
      </c>
      <c r="C3" s="25" t="s">
        <v>81</v>
      </c>
    </row>
    <row r="4" spans="1:3" ht="60" customHeight="1" x14ac:dyDescent="0.3">
      <c r="A4" s="26" t="s">
        <v>82</v>
      </c>
      <c r="B4" s="26" t="s">
        <v>83</v>
      </c>
      <c r="C4" s="26" t="s">
        <v>84</v>
      </c>
    </row>
    <row r="5" spans="1:3" ht="60" customHeight="1" x14ac:dyDescent="0.3">
      <c r="A5" s="27" t="s">
        <v>85</v>
      </c>
      <c r="B5" s="27" t="s">
        <v>86</v>
      </c>
      <c r="C5" s="27" t="s">
        <v>87</v>
      </c>
    </row>
    <row r="6" spans="1:3" ht="60" customHeight="1" x14ac:dyDescent="0.3">
      <c r="A6" s="28" t="s">
        <v>88</v>
      </c>
      <c r="B6" s="28" t="s">
        <v>89</v>
      </c>
      <c r="C6" s="28" t="s">
        <v>90</v>
      </c>
    </row>
    <row r="7" spans="1:3" ht="60" customHeight="1" x14ac:dyDescent="0.3">
      <c r="A7" s="28" t="s">
        <v>91</v>
      </c>
      <c r="B7" s="28" t="s">
        <v>92</v>
      </c>
      <c r="C7" s="28" t="s">
        <v>93</v>
      </c>
    </row>
    <row r="8" spans="1:3" ht="60" customHeight="1" x14ac:dyDescent="0.3">
      <c r="A8" s="28" t="s">
        <v>94</v>
      </c>
      <c r="B8" s="28" t="s">
        <v>95</v>
      </c>
      <c r="C8" s="28" t="s">
        <v>96</v>
      </c>
    </row>
    <row r="9" spans="1:3" ht="60" customHeight="1" x14ac:dyDescent="0.3">
      <c r="A9" s="28" t="s">
        <v>97</v>
      </c>
      <c r="B9" s="28" t="s">
        <v>98</v>
      </c>
      <c r="C9" s="28" t="s">
        <v>99</v>
      </c>
    </row>
    <row r="10" spans="1:3" ht="60" customHeight="1" x14ac:dyDescent="0.3">
      <c r="A10" s="28" t="s">
        <v>100</v>
      </c>
      <c r="B10" s="28" t="s">
        <v>101</v>
      </c>
      <c r="C10" s="28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zoomScaleNormal="100" workbookViewId="0"/>
  </sheetViews>
  <sheetFormatPr defaultColWidth="8.6640625" defaultRowHeight="14.4" x14ac:dyDescent="0.3"/>
  <cols>
    <col min="1" max="1" width="30" customWidth="1"/>
    <col min="2" max="4" width="18" customWidth="1"/>
    <col min="5" max="5" width="40" customWidth="1"/>
  </cols>
  <sheetData>
    <row r="1" spans="1:5" ht="17.399999999999999" x14ac:dyDescent="0.3">
      <c r="A1" s="3" t="s">
        <v>103</v>
      </c>
    </row>
    <row r="2" spans="1:5" x14ac:dyDescent="0.3">
      <c r="A2" s="8" t="s">
        <v>104</v>
      </c>
    </row>
    <row r="4" spans="1:5" x14ac:dyDescent="0.3">
      <c r="A4" s="9" t="s">
        <v>105</v>
      </c>
      <c r="B4" s="9" t="s">
        <v>106</v>
      </c>
      <c r="C4" s="9" t="s">
        <v>107</v>
      </c>
      <c r="D4" s="9" t="s">
        <v>108</v>
      </c>
      <c r="E4" s="9" t="s">
        <v>109</v>
      </c>
    </row>
    <row r="5" spans="1:5" x14ac:dyDescent="0.3">
      <c r="A5" s="2" t="s">
        <v>110</v>
      </c>
      <c r="B5">
        <f>Inputs!B4-200</f>
        <v>6900</v>
      </c>
      <c r="C5">
        <f>Inputs!B4</f>
        <v>7100</v>
      </c>
      <c r="D5">
        <f>Inputs!B4+200</f>
        <v>7300</v>
      </c>
      <c r="E5" t="s">
        <v>111</v>
      </c>
    </row>
    <row r="6" spans="1:5" x14ac:dyDescent="0.3">
      <c r="A6" s="2" t="s">
        <v>55</v>
      </c>
      <c r="B6">
        <f>(LN(Inputs!$B$4/B5)+(Inputs!$B$6+Inputs!$B$5^2/2)*Inputs!$B$8)/(Inputs!$B$5*SQRT(Inputs!$B$8))</f>
        <v>0.76239321479500055</v>
      </c>
      <c r="C6">
        <f>(LN(Inputs!$B$4/C5)+(Inputs!$B$6+Inputs!$B$5^2/2)*Inputs!$B$8)/(Inputs!$B$5*SQRT(Inputs!$B$8))</f>
        <v>9.7952788926336812E-2</v>
      </c>
      <c r="D6">
        <f>(LN(Inputs!$B$4/D5)+(Inputs!$B$6+Inputs!$B$5^2/2)*Inputs!$B$8)/(Inputs!$B$5*SQRT(Inputs!$B$8))</f>
        <v>-0.54802855058442768</v>
      </c>
      <c r="E6" t="s">
        <v>112</v>
      </c>
    </row>
    <row r="7" spans="1:5" x14ac:dyDescent="0.3">
      <c r="A7" s="2" t="s">
        <v>113</v>
      </c>
      <c r="B7">
        <f>B6-Inputs!$B$5*SQRT(Inputs!$B$8)</f>
        <v>0.71938955136392591</v>
      </c>
      <c r="C7">
        <f>C6-Inputs!$B$5*SQRT(Inputs!$B$8)</f>
        <v>5.4949125495262124E-2</v>
      </c>
      <c r="D7">
        <f>D6-Inputs!$B$5*SQRT(Inputs!$B$8)</f>
        <v>-0.59103221401550232</v>
      </c>
    </row>
    <row r="8" spans="1:5" x14ac:dyDescent="0.3">
      <c r="A8" s="2" t="s">
        <v>114</v>
      </c>
      <c r="B8">
        <f>EXP(-B6^2/2)/SQRT(2*PI())</f>
        <v>0.53348900042020297</v>
      </c>
      <c r="C8">
        <f>EXP(-C6^2/2)/SQRT(2*PI())</f>
        <v>0.40086075403490357</v>
      </c>
      <c r="D8">
        <f>EXP(-D6^2/2)/SQRT(2*PI())</f>
        <v>0.46358251354163871</v>
      </c>
    </row>
    <row r="10" spans="1:5" x14ac:dyDescent="0.3">
      <c r="A10" s="29" t="s">
        <v>115</v>
      </c>
      <c r="B10" s="13">
        <f>B8/(Inputs!$B$4*Inputs!$B$5*SQRT(Inputs!$B$8))</f>
        <v>1.7472766234035617E-3</v>
      </c>
      <c r="C10" s="13">
        <f>C8/(Inputs!$B$4*Inputs!$B$5*SQRT(Inputs!$B$8))</f>
        <v>1.3128942193998939E-3</v>
      </c>
      <c r="D10" s="13">
        <f>D8/(Inputs!$B$4*Inputs!$B$5*SQRT(Inputs!$B$8))</f>
        <v>1.5183197559686665E-3</v>
      </c>
      <c r="E10" t="s">
        <v>116</v>
      </c>
    </row>
    <row r="12" spans="1:5" x14ac:dyDescent="0.3">
      <c r="A12" s="2" t="s">
        <v>117</v>
      </c>
      <c r="B12" s="12">
        <f>Inputs!$B$4*B8*SQRT(Inputs!$B$8)</f>
        <v>1085.920453797208</v>
      </c>
      <c r="C12" s="12">
        <f>Inputs!$B$4*C8*SQRT(Inputs!$B$8)</f>
        <v>815.95476493087358</v>
      </c>
      <c r="D12" s="12">
        <f>Inputs!$B$4*D8*SQRT(Inputs!$B$8)</f>
        <v>943.62532888414285</v>
      </c>
      <c r="E12" t="s">
        <v>118</v>
      </c>
    </row>
    <row r="13" spans="1:5" x14ac:dyDescent="0.3">
      <c r="A13" s="29" t="s">
        <v>119</v>
      </c>
      <c r="B13" s="12">
        <f>-B8*B7/Inputs!$B$5</f>
        <v>-2.5585760844658609</v>
      </c>
      <c r="C13" s="12">
        <f>-C8*C7/Inputs!$B$5</f>
        <v>-0.14684631919726213</v>
      </c>
      <c r="D13" s="12">
        <f>-D8*D7/Inputs!$B$5</f>
        <v>1.8266146623825756</v>
      </c>
      <c r="E13" t="s">
        <v>120</v>
      </c>
    </row>
    <row r="14" spans="1:5" x14ac:dyDescent="0.3">
      <c r="A14" s="29" t="s">
        <v>121</v>
      </c>
      <c r="B14" s="12">
        <f>-B8*(2*Inputs!$B$6*Inputs!$B$8-B7*Inputs!$B$5*SQRT(Inputs!$B$8))/(2*Inputs!$B$8*Inputs!$B$5*SQRT(Inputs!$B$8))</f>
        <v>1.8384741160284863</v>
      </c>
      <c r="C14" s="12">
        <f>-C8*(2*Inputs!$B$6*Inputs!$B$8-C7*Inputs!$B$5*SQRT(Inputs!$B$8))/(2*Inputs!$B$8*Inputs!$B$5*SQRT(Inputs!$B$8))</f>
        <v>-0.23886469204206806</v>
      </c>
      <c r="D14" s="12">
        <f>-D8*(2*Inputs!$B$6*Inputs!$B$8-D7*Inputs!$B$5*SQRT(Inputs!$B$8))/(2*Inputs!$B$8*Inputs!$B$5*SQRT(Inputs!$B$8))</f>
        <v>-2.0979886901192013</v>
      </c>
      <c r="E14" t="s">
        <v>122</v>
      </c>
    </row>
    <row r="15" spans="1:5" x14ac:dyDescent="0.3">
      <c r="A15" s="6" t="s">
        <v>123</v>
      </c>
      <c r="B15" s="13">
        <f>B14/365</f>
        <v>5.0369153863794149E-3</v>
      </c>
      <c r="C15" s="13">
        <f>C14/365</f>
        <v>-6.544238138138851E-4</v>
      </c>
      <c r="D15" s="13">
        <f>D14/365</f>
        <v>-5.7479142195046608E-3</v>
      </c>
    </row>
    <row r="16" spans="1:5" x14ac:dyDescent="0.3">
      <c r="A16" s="29" t="s">
        <v>124</v>
      </c>
      <c r="B16" s="12">
        <f>B12*B6*B7/Inputs!$B$5</f>
        <v>3970.5429888180192</v>
      </c>
      <c r="C16" s="12">
        <f>C12*C6*C7/Inputs!$B$5</f>
        <v>29.278742135837675</v>
      </c>
      <c r="D16" s="12">
        <f>D12*D6*D7/Inputs!$B$5</f>
        <v>2037.6175275254866</v>
      </c>
      <c r="E16" t="s">
        <v>125</v>
      </c>
    </row>
    <row r="18" spans="1:4" x14ac:dyDescent="0.3">
      <c r="A18" s="16" t="s">
        <v>126</v>
      </c>
    </row>
    <row r="19" spans="1:4" x14ac:dyDescent="0.3">
      <c r="A19" t="s">
        <v>127</v>
      </c>
      <c r="B19" s="30">
        <f>B10*10000*Inputs!$B$10*Inputs!$B$4^2*0.01</f>
        <v>880802145.85773551</v>
      </c>
      <c r="C19" s="30">
        <f>C10*10000*Inputs!$B$10*Inputs!$B$4^2*0.01</f>
        <v>661829975.99948645</v>
      </c>
      <c r="D19" s="30">
        <f>D10*10000*Inputs!$B$10*Inputs!$B$4^2*0.01</f>
        <v>765384988.98380482</v>
      </c>
    </row>
    <row r="20" spans="1:4" x14ac:dyDescent="0.3">
      <c r="A20" t="s">
        <v>128</v>
      </c>
      <c r="B20" s="30">
        <f>B12*10000*Inputs!$B$10*0.01</f>
        <v>10859204.537972081</v>
      </c>
      <c r="C20" s="30">
        <f>C12*10000*Inputs!$B$10*0.01</f>
        <v>8159547.6493087355</v>
      </c>
      <c r="D20" s="30">
        <f>D12*10000*Inputs!$B$10*0.01</f>
        <v>9436253.2888414282</v>
      </c>
    </row>
    <row r="21" spans="1:4" x14ac:dyDescent="0.3">
      <c r="A21" t="s">
        <v>129</v>
      </c>
      <c r="B21" s="30">
        <f>B13*0.01*Inputs!$B$4*Inputs!$B$10*10000</f>
        <v>-181658901.99707612</v>
      </c>
      <c r="C21" s="30">
        <f>C13*0.01*Inputs!$B$4*Inputs!$B$10*10000</f>
        <v>-10426088.663005613</v>
      </c>
      <c r="D21" s="30">
        <f>D13*0.01*Inputs!$B$4*Inputs!$B$10*10000</f>
        <v>129689641.02916285</v>
      </c>
    </row>
    <row r="22" spans="1:4" x14ac:dyDescent="0.3">
      <c r="A22" t="s">
        <v>130</v>
      </c>
      <c r="B22" s="30">
        <f>B15*Inputs!$B$4*Inputs!$B$10*10000</f>
        <v>35762099.243293844</v>
      </c>
      <c r="C22" s="30">
        <f>C15*Inputs!$B$4*Inputs!$B$10*10000</f>
        <v>-4646409.0780785838</v>
      </c>
      <c r="D22" s="30">
        <f>D15*Inputs!$B$4*Inputs!$B$10*10000</f>
        <v>-40810190.958483092</v>
      </c>
    </row>
    <row r="24" spans="1:4" x14ac:dyDescent="0.3">
      <c r="A24" s="2" t="s">
        <v>131</v>
      </c>
    </row>
    <row r="25" spans="1:4" x14ac:dyDescent="0.3">
      <c r="A25" t="s">
        <v>132</v>
      </c>
    </row>
    <row r="26" spans="1:4" x14ac:dyDescent="0.3">
      <c r="A26" t="s">
        <v>133</v>
      </c>
    </row>
    <row r="27" spans="1:4" x14ac:dyDescent="0.3">
      <c r="A27" t="s">
        <v>134</v>
      </c>
    </row>
    <row r="29" spans="1:4" x14ac:dyDescent="0.3">
      <c r="A29" t="s">
        <v>135</v>
      </c>
    </row>
    <row r="30" spans="1:4" x14ac:dyDescent="0.3">
      <c r="A30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556776d-8a0f-4dc9-bb5c-b5e28f8e36fe}" enabled="0" method="" siteId="{b556776d-8a0f-4dc9-bb5c-b5e28f8e36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Option Chain</vt:lpstr>
      <vt:lpstr>GEX Profile</vt:lpstr>
      <vt:lpstr>Regime Rules</vt:lpstr>
      <vt:lpstr>Other Greeks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Luiscar Gaitan Riascos</cp:lastModifiedBy>
  <cp:revision>1</cp:revision>
  <dcterms:created xsi:type="dcterms:W3CDTF">2026-04-23T19:26:42Z</dcterms:created>
  <dcterms:modified xsi:type="dcterms:W3CDTF">2026-05-17T10:29:46Z</dcterms:modified>
  <dc:language>en-US</dc:language>
</cp:coreProperties>
</file>