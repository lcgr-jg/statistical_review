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ainglobalcom-my.sharepoint.com/personal/luiscarlos_gaitan_jainglobal_com/Documents/Coding/trading_indicators/cot/"/>
    </mc:Choice>
  </mc:AlternateContent>
  <xr:revisionPtr revIDLastSave="465" documentId="8_{56E70DD4-B865-460A-A259-6CD2A6A41A95}" xr6:coauthVersionLast="47" xr6:coauthVersionMax="47" xr10:uidLastSave="{77AFE8CD-678F-46B8-BF66-7D0F368CE3CC}"/>
  <bookViews>
    <workbookView xWindow="5070" yWindow="5070" windowWidth="18675" windowHeight="17145" xr2:uid="{F6F94663-2E28-4474-839A-FB53FE82080F}"/>
  </bookViews>
  <sheets>
    <sheet name="Sheet1" sheetId="1" r:id="rId1"/>
  </sheets>
  <definedNames>
    <definedName name="SpreadsheetBuilder_1" hidden="1">Sheet1!$B$3:$D$9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C984" i="1" l="1"/>
  <c r="AP5" i="1"/>
  <c r="AF984" i="1"/>
  <c r="AH984" i="1" s="1"/>
  <c r="AE984" i="1"/>
  <c r="AA984" i="1"/>
  <c r="Z984" i="1"/>
  <c r="AF983" i="1"/>
  <c r="AH983" i="1" s="1"/>
  <c r="AE983" i="1"/>
  <c r="AA983" i="1"/>
  <c r="AC983" i="1" s="1"/>
  <c r="Z983" i="1"/>
  <c r="AF982" i="1"/>
  <c r="AH982" i="1" s="1"/>
  <c r="AE982" i="1"/>
  <c r="AA982" i="1"/>
  <c r="AC982" i="1" s="1"/>
  <c r="Z982" i="1"/>
  <c r="W984" i="1"/>
  <c r="W983" i="1"/>
  <c r="W982" i="1"/>
  <c r="Q984" i="1"/>
  <c r="Q983" i="1"/>
  <c r="Q982" i="1"/>
  <c r="L984" i="1"/>
  <c r="L983" i="1"/>
  <c r="L982" i="1"/>
  <c r="F984" i="1"/>
  <c r="F983" i="1"/>
  <c r="F982" i="1"/>
  <c r="AF981" i="1"/>
  <c r="AH981" i="1" s="1"/>
  <c r="AE981" i="1"/>
  <c r="AA981" i="1"/>
  <c r="Z981" i="1"/>
  <c r="W981" i="1"/>
  <c r="Q981" i="1"/>
  <c r="L981" i="1"/>
  <c r="F981" i="1"/>
  <c r="AF980" i="1"/>
  <c r="AE980" i="1"/>
  <c r="AH980" i="1" s="1"/>
  <c r="AA980" i="1"/>
  <c r="Z980" i="1"/>
  <c r="W980" i="1"/>
  <c r="Q980" i="1"/>
  <c r="L980" i="1"/>
  <c r="F980" i="1"/>
  <c r="AF979" i="1"/>
  <c r="AE979" i="1"/>
  <c r="AA979" i="1"/>
  <c r="AC979" i="1" s="1"/>
  <c r="Z979" i="1"/>
  <c r="W979" i="1"/>
  <c r="Q979" i="1"/>
  <c r="L979" i="1"/>
  <c r="F979" i="1"/>
  <c r="AF978" i="1"/>
  <c r="AH978" i="1" s="1"/>
  <c r="AE978" i="1"/>
  <c r="AA978" i="1"/>
  <c r="Z978" i="1"/>
  <c r="W978" i="1"/>
  <c r="Q978" i="1"/>
  <c r="L978" i="1"/>
  <c r="F978" i="1"/>
  <c r="AF977" i="1"/>
  <c r="AE977" i="1"/>
  <c r="AA977" i="1"/>
  <c r="Z977" i="1"/>
  <c r="W977" i="1"/>
  <c r="Q977" i="1"/>
  <c r="L977" i="1"/>
  <c r="F977" i="1"/>
  <c r="AF976" i="1"/>
  <c r="AH976" i="1" s="1"/>
  <c r="AE976" i="1"/>
  <c r="AA976" i="1"/>
  <c r="Z976" i="1"/>
  <c r="W976" i="1"/>
  <c r="Q976" i="1"/>
  <c r="L976" i="1"/>
  <c r="F976" i="1"/>
  <c r="AF975" i="1"/>
  <c r="AE975" i="1"/>
  <c r="AA975" i="1"/>
  <c r="Z975" i="1"/>
  <c r="AC975" i="1" s="1"/>
  <c r="W975" i="1"/>
  <c r="Q975" i="1"/>
  <c r="L975" i="1"/>
  <c r="F975" i="1"/>
  <c r="AF974" i="1"/>
  <c r="AH974" i="1" s="1"/>
  <c r="AE974" i="1"/>
  <c r="AA974" i="1"/>
  <c r="Z974" i="1"/>
  <c r="W974" i="1"/>
  <c r="Q974" i="1"/>
  <c r="L974" i="1"/>
  <c r="F974" i="1"/>
  <c r="AF973" i="1"/>
  <c r="AE973" i="1"/>
  <c r="AH973" i="1" s="1"/>
  <c r="AA973" i="1"/>
  <c r="Z973" i="1"/>
  <c r="AC973" i="1" s="1"/>
  <c r="W973" i="1"/>
  <c r="Q973" i="1"/>
  <c r="L973" i="1"/>
  <c r="F973" i="1"/>
  <c r="AF972" i="1"/>
  <c r="AE972" i="1"/>
  <c r="AA972" i="1"/>
  <c r="Z972" i="1"/>
  <c r="AC972" i="1" s="1"/>
  <c r="W972" i="1"/>
  <c r="Q972" i="1"/>
  <c r="L972" i="1"/>
  <c r="F972" i="1"/>
  <c r="AF971" i="1"/>
  <c r="AE971" i="1"/>
  <c r="AH971" i="1" s="1"/>
  <c r="AA971" i="1"/>
  <c r="Z971" i="1"/>
  <c r="AC971" i="1" s="1"/>
  <c r="W971" i="1"/>
  <c r="Q971" i="1"/>
  <c r="L971" i="1"/>
  <c r="F971" i="1"/>
  <c r="AF970" i="1"/>
  <c r="AE970" i="1"/>
  <c r="AH970" i="1" s="1"/>
  <c r="AA970" i="1"/>
  <c r="Z970" i="1"/>
  <c r="AC970" i="1" s="1"/>
  <c r="W970" i="1"/>
  <c r="Q970" i="1"/>
  <c r="L970" i="1"/>
  <c r="F970" i="1"/>
  <c r="AF969" i="1"/>
  <c r="AE969" i="1"/>
  <c r="AA969" i="1"/>
  <c r="Z969" i="1"/>
  <c r="W969" i="1"/>
  <c r="Q969" i="1"/>
  <c r="L969" i="1"/>
  <c r="F969" i="1"/>
  <c r="AF968" i="1"/>
  <c r="AE968" i="1"/>
  <c r="AA968" i="1"/>
  <c r="Z968" i="1"/>
  <c r="W968" i="1"/>
  <c r="Q968" i="1"/>
  <c r="L968" i="1"/>
  <c r="F968" i="1"/>
  <c r="AF967" i="1"/>
  <c r="AE967" i="1"/>
  <c r="AH967" i="1" s="1"/>
  <c r="AA967" i="1"/>
  <c r="Z967" i="1"/>
  <c r="W967" i="1"/>
  <c r="Q967" i="1"/>
  <c r="L967" i="1"/>
  <c r="F967" i="1"/>
  <c r="AF966" i="1"/>
  <c r="AE966" i="1"/>
  <c r="AH966" i="1" s="1"/>
  <c r="AA966" i="1"/>
  <c r="Z966" i="1"/>
  <c r="W966" i="1"/>
  <c r="Q966" i="1"/>
  <c r="L966" i="1"/>
  <c r="F966" i="1"/>
  <c r="AF965" i="1"/>
  <c r="AE965" i="1"/>
  <c r="AA965" i="1"/>
  <c r="Z965" i="1"/>
  <c r="W965" i="1"/>
  <c r="Q965" i="1"/>
  <c r="L965" i="1"/>
  <c r="F965" i="1"/>
  <c r="AF964" i="1"/>
  <c r="AE964" i="1"/>
  <c r="AH964" i="1" s="1"/>
  <c r="AA964" i="1"/>
  <c r="Z964" i="1"/>
  <c r="W964" i="1"/>
  <c r="Q964" i="1"/>
  <c r="L964" i="1"/>
  <c r="F964" i="1"/>
  <c r="AF963" i="1"/>
  <c r="AE963" i="1"/>
  <c r="AA963" i="1"/>
  <c r="Z963" i="1"/>
  <c r="W963" i="1"/>
  <c r="Q963" i="1"/>
  <c r="L963" i="1"/>
  <c r="F963" i="1"/>
  <c r="AF962" i="1"/>
  <c r="AE962" i="1"/>
  <c r="AA962" i="1"/>
  <c r="Z962" i="1"/>
  <c r="W962" i="1"/>
  <c r="Q962" i="1"/>
  <c r="L962" i="1"/>
  <c r="F962" i="1"/>
  <c r="AF961" i="1"/>
  <c r="AE961" i="1"/>
  <c r="AA961" i="1"/>
  <c r="Z961" i="1"/>
  <c r="W961" i="1"/>
  <c r="Q961" i="1"/>
  <c r="L961" i="1"/>
  <c r="F961" i="1"/>
  <c r="AF960" i="1"/>
  <c r="AH960" i="1" s="1"/>
  <c r="AE960" i="1"/>
  <c r="AA960" i="1"/>
  <c r="Z960" i="1"/>
  <c r="W960" i="1"/>
  <c r="Q960" i="1"/>
  <c r="L960" i="1"/>
  <c r="F960" i="1"/>
  <c r="AF959" i="1"/>
  <c r="AE959" i="1"/>
  <c r="AA959" i="1"/>
  <c r="Z959" i="1"/>
  <c r="W959" i="1"/>
  <c r="Q959" i="1"/>
  <c r="L959" i="1"/>
  <c r="F959" i="1"/>
  <c r="AF958" i="1"/>
  <c r="AH958" i="1" s="1"/>
  <c r="AE958" i="1"/>
  <c r="AA958" i="1"/>
  <c r="Z958" i="1"/>
  <c r="W958" i="1"/>
  <c r="Q958" i="1"/>
  <c r="L958" i="1"/>
  <c r="F958" i="1"/>
  <c r="AF957" i="1"/>
  <c r="AE957" i="1"/>
  <c r="AA957" i="1"/>
  <c r="Z957" i="1"/>
  <c r="AC957" i="1" s="1"/>
  <c r="W957" i="1"/>
  <c r="Q957" i="1"/>
  <c r="L957" i="1"/>
  <c r="F957" i="1"/>
  <c r="AF956" i="1"/>
  <c r="AE956" i="1"/>
  <c r="AA956" i="1"/>
  <c r="AC956" i="1" s="1"/>
  <c r="Z956" i="1"/>
  <c r="W956" i="1"/>
  <c r="Q956" i="1"/>
  <c r="L956" i="1"/>
  <c r="F956" i="1"/>
  <c r="AF955" i="1"/>
  <c r="AE955" i="1"/>
  <c r="AA955" i="1"/>
  <c r="Z955" i="1"/>
  <c r="W955" i="1"/>
  <c r="Q955" i="1"/>
  <c r="L955" i="1"/>
  <c r="F955" i="1"/>
  <c r="AF954" i="1"/>
  <c r="AE954" i="1"/>
  <c r="AA954" i="1"/>
  <c r="Z954" i="1"/>
  <c r="W954" i="1"/>
  <c r="Q954" i="1"/>
  <c r="L954" i="1"/>
  <c r="F954" i="1"/>
  <c r="AF953" i="1"/>
  <c r="AH953" i="1" s="1"/>
  <c r="AE953" i="1"/>
  <c r="AA953" i="1"/>
  <c r="Z953" i="1"/>
  <c r="W953" i="1"/>
  <c r="Q953" i="1"/>
  <c r="L953" i="1"/>
  <c r="F953" i="1"/>
  <c r="AH952" i="1"/>
  <c r="AF952" i="1"/>
  <c r="AE952" i="1"/>
  <c r="AA952" i="1"/>
  <c r="AC952" i="1" s="1"/>
  <c r="Z952" i="1"/>
  <c r="W952" i="1"/>
  <c r="Q952" i="1"/>
  <c r="L952" i="1"/>
  <c r="F952" i="1"/>
  <c r="AF951" i="1"/>
  <c r="AE951" i="1"/>
  <c r="AH951" i="1" s="1"/>
  <c r="AA951" i="1"/>
  <c r="Z951" i="1"/>
  <c r="W951" i="1"/>
  <c r="Q951" i="1"/>
  <c r="L951" i="1"/>
  <c r="F951" i="1"/>
  <c r="AF950" i="1"/>
  <c r="AE950" i="1"/>
  <c r="AA950" i="1"/>
  <c r="Z950" i="1"/>
  <c r="W950" i="1"/>
  <c r="Q950" i="1"/>
  <c r="L950" i="1"/>
  <c r="F950" i="1"/>
  <c r="AF949" i="1"/>
  <c r="AE949" i="1"/>
  <c r="AA949" i="1"/>
  <c r="Z949" i="1"/>
  <c r="W949" i="1"/>
  <c r="Q949" i="1"/>
  <c r="L949" i="1"/>
  <c r="F949" i="1"/>
  <c r="AF948" i="1"/>
  <c r="AE948" i="1"/>
  <c r="AH948" i="1" s="1"/>
  <c r="AA948" i="1"/>
  <c r="AC948" i="1" s="1"/>
  <c r="Z948" i="1"/>
  <c r="W948" i="1"/>
  <c r="Q948" i="1"/>
  <c r="L948" i="1"/>
  <c r="F948" i="1"/>
  <c r="AF947" i="1"/>
  <c r="AE947" i="1"/>
  <c r="AA947" i="1"/>
  <c r="Z947" i="1"/>
  <c r="W947" i="1"/>
  <c r="Q947" i="1"/>
  <c r="L947" i="1"/>
  <c r="F947" i="1"/>
  <c r="AF946" i="1"/>
  <c r="AH946" i="1" s="1"/>
  <c r="AE946" i="1"/>
  <c r="AA946" i="1"/>
  <c r="Z946" i="1"/>
  <c r="W946" i="1"/>
  <c r="Q946" i="1"/>
  <c r="L946" i="1"/>
  <c r="F946" i="1"/>
  <c r="AF945" i="1"/>
  <c r="AE945" i="1"/>
  <c r="AA945" i="1"/>
  <c r="AC945" i="1" s="1"/>
  <c r="Z945" i="1"/>
  <c r="W945" i="1"/>
  <c r="Q945" i="1"/>
  <c r="L945" i="1"/>
  <c r="F945" i="1"/>
  <c r="AF944" i="1"/>
  <c r="AE944" i="1"/>
  <c r="AA944" i="1"/>
  <c r="Z944" i="1"/>
  <c r="W944" i="1"/>
  <c r="Q944" i="1"/>
  <c r="L944" i="1"/>
  <c r="F944" i="1"/>
  <c r="AF943" i="1"/>
  <c r="AE943" i="1"/>
  <c r="AA943" i="1"/>
  <c r="Z943" i="1"/>
  <c r="AC943" i="1" s="1"/>
  <c r="W943" i="1"/>
  <c r="Q943" i="1"/>
  <c r="L943" i="1"/>
  <c r="F943" i="1"/>
  <c r="AF942" i="1"/>
  <c r="AH942" i="1" s="1"/>
  <c r="AE942" i="1"/>
  <c r="AA942" i="1"/>
  <c r="AC942" i="1" s="1"/>
  <c r="Z942" i="1"/>
  <c r="W942" i="1"/>
  <c r="Q942" i="1"/>
  <c r="L942" i="1"/>
  <c r="F942" i="1"/>
  <c r="AF941" i="1"/>
  <c r="AE941" i="1"/>
  <c r="AA941" i="1"/>
  <c r="Z941" i="1"/>
  <c r="W941" i="1"/>
  <c r="Q941" i="1"/>
  <c r="L941" i="1"/>
  <c r="F941" i="1"/>
  <c r="AF940" i="1"/>
  <c r="AE940" i="1"/>
  <c r="AA940" i="1"/>
  <c r="Z940" i="1"/>
  <c r="AC940" i="1" s="1"/>
  <c r="W940" i="1"/>
  <c r="Q940" i="1"/>
  <c r="L940" i="1"/>
  <c r="F940" i="1"/>
  <c r="AF939" i="1"/>
  <c r="AE939" i="1"/>
  <c r="AH939" i="1" s="1"/>
  <c r="AA939" i="1"/>
  <c r="Z939" i="1"/>
  <c r="AC939" i="1" s="1"/>
  <c r="W939" i="1"/>
  <c r="Q939" i="1"/>
  <c r="L939" i="1"/>
  <c r="F939" i="1"/>
  <c r="AH938" i="1"/>
  <c r="AF938" i="1"/>
  <c r="AE938" i="1"/>
  <c r="AA938" i="1"/>
  <c r="Z938" i="1"/>
  <c r="W938" i="1"/>
  <c r="Q938" i="1"/>
  <c r="L938" i="1"/>
  <c r="F938" i="1"/>
  <c r="AF937" i="1"/>
  <c r="AE937" i="1"/>
  <c r="AA937" i="1"/>
  <c r="Z937" i="1"/>
  <c r="W937" i="1"/>
  <c r="Q937" i="1"/>
  <c r="L937" i="1"/>
  <c r="F937" i="1"/>
  <c r="AH936" i="1"/>
  <c r="AF936" i="1"/>
  <c r="AE936" i="1"/>
  <c r="AA936" i="1"/>
  <c r="Z936" i="1"/>
  <c r="W936" i="1"/>
  <c r="Q936" i="1"/>
  <c r="L936" i="1"/>
  <c r="F936" i="1"/>
  <c r="AF935" i="1"/>
  <c r="AE935" i="1"/>
  <c r="AH935" i="1" s="1"/>
  <c r="AA935" i="1"/>
  <c r="Z935" i="1"/>
  <c r="W935" i="1"/>
  <c r="Q935" i="1"/>
  <c r="L935" i="1"/>
  <c r="F935" i="1"/>
  <c r="AF934" i="1"/>
  <c r="AH934" i="1" s="1"/>
  <c r="AE934" i="1"/>
  <c r="AA934" i="1"/>
  <c r="Z934" i="1"/>
  <c r="W934" i="1"/>
  <c r="Q934" i="1"/>
  <c r="L934" i="1"/>
  <c r="F934" i="1"/>
  <c r="AF933" i="1"/>
  <c r="AH933" i="1" s="1"/>
  <c r="AE933" i="1"/>
  <c r="AA933" i="1"/>
  <c r="Z933" i="1"/>
  <c r="W933" i="1"/>
  <c r="Q933" i="1"/>
  <c r="L933" i="1"/>
  <c r="F933" i="1"/>
  <c r="AF932" i="1"/>
  <c r="AE932" i="1"/>
  <c r="AH932" i="1" s="1"/>
  <c r="AA932" i="1"/>
  <c r="Z932" i="1"/>
  <c r="W932" i="1"/>
  <c r="Q932" i="1"/>
  <c r="L932" i="1"/>
  <c r="F932" i="1"/>
  <c r="AF931" i="1"/>
  <c r="AE931" i="1"/>
  <c r="AA931" i="1"/>
  <c r="Z931" i="1"/>
  <c r="W931" i="1"/>
  <c r="Q931" i="1"/>
  <c r="L931" i="1"/>
  <c r="F931" i="1"/>
  <c r="AF930" i="1"/>
  <c r="AH930" i="1" s="1"/>
  <c r="AE930" i="1"/>
  <c r="AA930" i="1"/>
  <c r="Z930" i="1"/>
  <c r="W930" i="1"/>
  <c r="Q930" i="1"/>
  <c r="L930" i="1"/>
  <c r="F930" i="1"/>
  <c r="AF929" i="1"/>
  <c r="AH929" i="1" s="1"/>
  <c r="AE929" i="1"/>
  <c r="AA929" i="1"/>
  <c r="Z929" i="1"/>
  <c r="W929" i="1"/>
  <c r="Q929" i="1"/>
  <c r="L929" i="1"/>
  <c r="F929" i="1"/>
  <c r="AF928" i="1"/>
  <c r="AE928" i="1"/>
  <c r="AA928" i="1"/>
  <c r="Z928" i="1"/>
  <c r="W928" i="1"/>
  <c r="Q928" i="1"/>
  <c r="L928" i="1"/>
  <c r="F928" i="1"/>
  <c r="AF927" i="1"/>
  <c r="AE927" i="1"/>
  <c r="AA927" i="1"/>
  <c r="Z927" i="1"/>
  <c r="W927" i="1"/>
  <c r="Q927" i="1"/>
  <c r="L927" i="1"/>
  <c r="F927" i="1"/>
  <c r="AF926" i="1"/>
  <c r="AH926" i="1" s="1"/>
  <c r="AE926" i="1"/>
  <c r="AA926" i="1"/>
  <c r="Z926" i="1"/>
  <c r="W926" i="1"/>
  <c r="Q926" i="1"/>
  <c r="L926" i="1"/>
  <c r="F926" i="1"/>
  <c r="AH925" i="1"/>
  <c r="AF925" i="1"/>
  <c r="AE925" i="1"/>
  <c r="AA925" i="1"/>
  <c r="Z925" i="1"/>
  <c r="AC925" i="1" s="1"/>
  <c r="W925" i="1"/>
  <c r="Q925" i="1"/>
  <c r="L925" i="1"/>
  <c r="F925" i="1"/>
  <c r="AF924" i="1"/>
  <c r="AH924" i="1" s="1"/>
  <c r="AE924" i="1"/>
  <c r="AA924" i="1"/>
  <c r="Z924" i="1"/>
  <c r="W924" i="1"/>
  <c r="Q924" i="1"/>
  <c r="L924" i="1"/>
  <c r="F924" i="1"/>
  <c r="AF923" i="1"/>
  <c r="AE923" i="1"/>
  <c r="AA923" i="1"/>
  <c r="Z923" i="1"/>
  <c r="AC923" i="1" s="1"/>
  <c r="W923" i="1"/>
  <c r="Q923" i="1"/>
  <c r="L923" i="1"/>
  <c r="F923" i="1"/>
  <c r="AF922" i="1"/>
  <c r="AE922" i="1"/>
  <c r="AH922" i="1" s="1"/>
  <c r="AA922" i="1"/>
  <c r="Z922" i="1"/>
  <c r="W922" i="1"/>
  <c r="Q922" i="1"/>
  <c r="L922" i="1"/>
  <c r="F922" i="1"/>
  <c r="AF921" i="1"/>
  <c r="AE921" i="1"/>
  <c r="AA921" i="1"/>
  <c r="Z921" i="1"/>
  <c r="W921" i="1"/>
  <c r="Q921" i="1"/>
  <c r="L921" i="1"/>
  <c r="F921" i="1"/>
  <c r="AF920" i="1"/>
  <c r="AE920" i="1"/>
  <c r="AA920" i="1"/>
  <c r="Z920" i="1"/>
  <c r="W920" i="1"/>
  <c r="Q920" i="1"/>
  <c r="L920" i="1"/>
  <c r="F920" i="1"/>
  <c r="AF919" i="1"/>
  <c r="AE919" i="1"/>
  <c r="AA919" i="1"/>
  <c r="Z919" i="1"/>
  <c r="W919" i="1"/>
  <c r="Q919" i="1"/>
  <c r="L919" i="1"/>
  <c r="F919" i="1"/>
  <c r="AF918" i="1"/>
  <c r="AH918" i="1" s="1"/>
  <c r="AE918" i="1"/>
  <c r="AA918" i="1"/>
  <c r="Z918" i="1"/>
  <c r="W918" i="1"/>
  <c r="Q918" i="1"/>
  <c r="L918" i="1"/>
  <c r="F918" i="1"/>
  <c r="AF917" i="1"/>
  <c r="AH917" i="1" s="1"/>
  <c r="AE917" i="1"/>
  <c r="AA917" i="1"/>
  <c r="Z917" i="1"/>
  <c r="W917" i="1"/>
  <c r="Q917" i="1"/>
  <c r="L917" i="1"/>
  <c r="F917" i="1"/>
  <c r="AF916" i="1"/>
  <c r="AE916" i="1"/>
  <c r="AH916" i="1" s="1"/>
  <c r="AA916" i="1"/>
  <c r="Z916" i="1"/>
  <c r="W916" i="1"/>
  <c r="Q916" i="1"/>
  <c r="L916" i="1"/>
  <c r="F916" i="1"/>
  <c r="AF915" i="1"/>
  <c r="AE915" i="1"/>
  <c r="AA915" i="1"/>
  <c r="Z915" i="1"/>
  <c r="W915" i="1"/>
  <c r="Q915" i="1"/>
  <c r="L915" i="1"/>
  <c r="F915" i="1"/>
  <c r="AF914" i="1"/>
  <c r="AE914" i="1"/>
  <c r="AA914" i="1"/>
  <c r="Z914" i="1"/>
  <c r="W914" i="1"/>
  <c r="Q914" i="1"/>
  <c r="L914" i="1"/>
  <c r="F914" i="1"/>
  <c r="AF913" i="1"/>
  <c r="AH913" i="1" s="1"/>
  <c r="AE913" i="1"/>
  <c r="AA913" i="1"/>
  <c r="Z913" i="1"/>
  <c r="W913" i="1"/>
  <c r="Q913" i="1"/>
  <c r="L913" i="1"/>
  <c r="F913" i="1"/>
  <c r="AF912" i="1"/>
  <c r="AE912" i="1"/>
  <c r="AA912" i="1"/>
  <c r="Z912" i="1"/>
  <c r="W912" i="1"/>
  <c r="Q912" i="1"/>
  <c r="L912" i="1"/>
  <c r="F912" i="1"/>
  <c r="AF911" i="1"/>
  <c r="AE911" i="1"/>
  <c r="AA911" i="1"/>
  <c r="Z911" i="1"/>
  <c r="W911" i="1"/>
  <c r="Q911" i="1"/>
  <c r="L911" i="1"/>
  <c r="F911" i="1"/>
  <c r="AF910" i="1"/>
  <c r="AE910" i="1"/>
  <c r="AA910" i="1"/>
  <c r="Z910" i="1"/>
  <c r="W910" i="1"/>
  <c r="Q910" i="1"/>
  <c r="L910" i="1"/>
  <c r="F910" i="1"/>
  <c r="AF909" i="1"/>
  <c r="AE909" i="1"/>
  <c r="AH909" i="1" s="1"/>
  <c r="AA909" i="1"/>
  <c r="Z909" i="1"/>
  <c r="W909" i="1"/>
  <c r="Q909" i="1"/>
  <c r="L909" i="1"/>
  <c r="F909" i="1"/>
  <c r="AF908" i="1"/>
  <c r="AE908" i="1"/>
  <c r="AA908" i="1"/>
  <c r="Z908" i="1"/>
  <c r="W908" i="1"/>
  <c r="Q908" i="1"/>
  <c r="L908" i="1"/>
  <c r="F908" i="1"/>
  <c r="AF907" i="1"/>
  <c r="AE907" i="1"/>
  <c r="AH907" i="1" s="1"/>
  <c r="AA907" i="1"/>
  <c r="AC907" i="1" s="1"/>
  <c r="Z907" i="1"/>
  <c r="W907" i="1"/>
  <c r="Q907" i="1"/>
  <c r="L907" i="1"/>
  <c r="F907" i="1"/>
  <c r="AF906" i="1"/>
  <c r="AE906" i="1"/>
  <c r="AH906" i="1" s="1"/>
  <c r="AA906" i="1"/>
  <c r="Z906" i="1"/>
  <c r="W906" i="1"/>
  <c r="Q906" i="1"/>
  <c r="L906" i="1"/>
  <c r="F906" i="1"/>
  <c r="AF905" i="1"/>
  <c r="AE905" i="1"/>
  <c r="AA905" i="1"/>
  <c r="Z905" i="1"/>
  <c r="W905" i="1"/>
  <c r="Q905" i="1"/>
  <c r="L905" i="1"/>
  <c r="F905" i="1"/>
  <c r="AF904" i="1"/>
  <c r="AH904" i="1" s="1"/>
  <c r="AE904" i="1"/>
  <c r="AA904" i="1"/>
  <c r="Z904" i="1"/>
  <c r="W904" i="1"/>
  <c r="Q904" i="1"/>
  <c r="L904" i="1"/>
  <c r="F904" i="1"/>
  <c r="AF903" i="1"/>
  <c r="AE903" i="1"/>
  <c r="AH903" i="1" s="1"/>
  <c r="AA903" i="1"/>
  <c r="Z903" i="1"/>
  <c r="W903" i="1"/>
  <c r="Q903" i="1"/>
  <c r="L903" i="1"/>
  <c r="F903" i="1"/>
  <c r="AH902" i="1"/>
  <c r="AF902" i="1"/>
  <c r="AE902" i="1"/>
  <c r="AA902" i="1"/>
  <c r="Z902" i="1"/>
  <c r="AC902" i="1" s="1"/>
  <c r="W902" i="1"/>
  <c r="Q902" i="1"/>
  <c r="L902" i="1"/>
  <c r="F902" i="1"/>
  <c r="AF901" i="1"/>
  <c r="AE901" i="1"/>
  <c r="AA901" i="1"/>
  <c r="Z901" i="1"/>
  <c r="W901" i="1"/>
  <c r="Q901" i="1"/>
  <c r="L901" i="1"/>
  <c r="F901" i="1"/>
  <c r="AF900" i="1"/>
  <c r="AE900" i="1"/>
  <c r="AH900" i="1" s="1"/>
  <c r="AA900" i="1"/>
  <c r="Z900" i="1"/>
  <c r="W900" i="1"/>
  <c r="Q900" i="1"/>
  <c r="L900" i="1"/>
  <c r="F900" i="1"/>
  <c r="AF899" i="1"/>
  <c r="AE899" i="1"/>
  <c r="AA899" i="1"/>
  <c r="Z899" i="1"/>
  <c r="AC899" i="1" s="1"/>
  <c r="W899" i="1"/>
  <c r="Q899" i="1"/>
  <c r="L899" i="1"/>
  <c r="F899" i="1"/>
  <c r="AH898" i="1"/>
  <c r="AF898" i="1"/>
  <c r="AE898" i="1"/>
  <c r="AA898" i="1"/>
  <c r="Z898" i="1"/>
  <c r="W898" i="1"/>
  <c r="Q898" i="1"/>
  <c r="L898" i="1"/>
  <c r="F898" i="1"/>
  <c r="AF897" i="1"/>
  <c r="AE897" i="1"/>
  <c r="AA897" i="1"/>
  <c r="Z897" i="1"/>
  <c r="W897" i="1"/>
  <c r="Q897" i="1"/>
  <c r="L897" i="1"/>
  <c r="F897" i="1"/>
  <c r="AF896" i="1"/>
  <c r="AE896" i="1"/>
  <c r="AA896" i="1"/>
  <c r="Z896" i="1"/>
  <c r="W896" i="1"/>
  <c r="Q896" i="1"/>
  <c r="L896" i="1"/>
  <c r="F896" i="1"/>
  <c r="AF895" i="1"/>
  <c r="AE895" i="1"/>
  <c r="AA895" i="1"/>
  <c r="Z895" i="1"/>
  <c r="AC895" i="1" s="1"/>
  <c r="W895" i="1"/>
  <c r="Q895" i="1"/>
  <c r="L895" i="1"/>
  <c r="F895" i="1"/>
  <c r="AF894" i="1"/>
  <c r="AE894" i="1"/>
  <c r="AA894" i="1"/>
  <c r="Z894" i="1"/>
  <c r="W894" i="1"/>
  <c r="Q894" i="1"/>
  <c r="L894" i="1"/>
  <c r="F894" i="1"/>
  <c r="AF893" i="1"/>
  <c r="AE893" i="1"/>
  <c r="AA893" i="1"/>
  <c r="Z893" i="1"/>
  <c r="AC893" i="1" s="1"/>
  <c r="W893" i="1"/>
  <c r="Q893" i="1"/>
  <c r="L893" i="1"/>
  <c r="F893" i="1"/>
  <c r="AF892" i="1"/>
  <c r="AE892" i="1"/>
  <c r="AA892" i="1"/>
  <c r="AC892" i="1" s="1"/>
  <c r="Z892" i="1"/>
  <c r="W892" i="1"/>
  <c r="Q892" i="1"/>
  <c r="L892" i="1"/>
  <c r="F892" i="1"/>
  <c r="AF891" i="1"/>
  <c r="AE891" i="1"/>
  <c r="AH891" i="1" s="1"/>
  <c r="AA891" i="1"/>
  <c r="Z891" i="1"/>
  <c r="AC891" i="1" s="1"/>
  <c r="W891" i="1"/>
  <c r="Q891" i="1"/>
  <c r="L891" i="1"/>
  <c r="F891" i="1"/>
  <c r="AF890" i="1"/>
  <c r="AE890" i="1"/>
  <c r="AH890" i="1" s="1"/>
  <c r="AA890" i="1"/>
  <c r="Z890" i="1"/>
  <c r="W890" i="1"/>
  <c r="Q890" i="1"/>
  <c r="L890" i="1"/>
  <c r="F890" i="1"/>
  <c r="AF889" i="1"/>
  <c r="AH889" i="1" s="1"/>
  <c r="AE889" i="1"/>
  <c r="AA889" i="1"/>
  <c r="Z889" i="1"/>
  <c r="W889" i="1"/>
  <c r="Q889" i="1"/>
  <c r="L889" i="1"/>
  <c r="F889" i="1"/>
  <c r="AH888" i="1"/>
  <c r="AF888" i="1"/>
  <c r="AE888" i="1"/>
  <c r="AA888" i="1"/>
  <c r="Z888" i="1"/>
  <c r="W888" i="1"/>
  <c r="Q888" i="1"/>
  <c r="L888" i="1"/>
  <c r="F888" i="1"/>
  <c r="AF887" i="1"/>
  <c r="AE887" i="1"/>
  <c r="AH887" i="1" s="1"/>
  <c r="AA887" i="1"/>
  <c r="Z887" i="1"/>
  <c r="W887" i="1"/>
  <c r="Q887" i="1"/>
  <c r="L887" i="1"/>
  <c r="F887" i="1"/>
  <c r="AF886" i="1"/>
  <c r="AE886" i="1"/>
  <c r="AA886" i="1"/>
  <c r="Z886" i="1"/>
  <c r="W886" i="1"/>
  <c r="Q886" i="1"/>
  <c r="L886" i="1"/>
  <c r="F886" i="1"/>
  <c r="AF885" i="1"/>
  <c r="AE885" i="1"/>
  <c r="AA885" i="1"/>
  <c r="Z885" i="1"/>
  <c r="W885" i="1"/>
  <c r="Q885" i="1"/>
  <c r="L885" i="1"/>
  <c r="F885" i="1"/>
  <c r="AF884" i="1"/>
  <c r="AE884" i="1"/>
  <c r="AA884" i="1"/>
  <c r="Z884" i="1"/>
  <c r="W884" i="1"/>
  <c r="Q884" i="1"/>
  <c r="L884" i="1"/>
  <c r="F884" i="1"/>
  <c r="AF883" i="1"/>
  <c r="AE883" i="1"/>
  <c r="AA883" i="1"/>
  <c r="Z883" i="1"/>
  <c r="W883" i="1"/>
  <c r="Q883" i="1"/>
  <c r="L883" i="1"/>
  <c r="F883" i="1"/>
  <c r="AF882" i="1"/>
  <c r="AE882" i="1"/>
  <c r="AA882" i="1"/>
  <c r="Z882" i="1"/>
  <c r="W882" i="1"/>
  <c r="Q882" i="1"/>
  <c r="L882" i="1"/>
  <c r="F882" i="1"/>
  <c r="AF881" i="1"/>
  <c r="AE881" i="1"/>
  <c r="AA881" i="1"/>
  <c r="Z881" i="1"/>
  <c r="W881" i="1"/>
  <c r="Q881" i="1"/>
  <c r="L881" i="1"/>
  <c r="F881" i="1"/>
  <c r="AF880" i="1"/>
  <c r="AH880" i="1" s="1"/>
  <c r="AE880" i="1"/>
  <c r="AA880" i="1"/>
  <c r="Z880" i="1"/>
  <c r="W880" i="1"/>
  <c r="Q880" i="1"/>
  <c r="L880" i="1"/>
  <c r="F880" i="1"/>
  <c r="AF879" i="1"/>
  <c r="AE879" i="1"/>
  <c r="AA879" i="1"/>
  <c r="Z879" i="1"/>
  <c r="AC879" i="1" s="1"/>
  <c r="W879" i="1"/>
  <c r="Q879" i="1"/>
  <c r="L879" i="1"/>
  <c r="F879" i="1"/>
  <c r="AF878" i="1"/>
  <c r="AE878" i="1"/>
  <c r="AA878" i="1"/>
  <c r="Z878" i="1"/>
  <c r="W878" i="1"/>
  <c r="Q878" i="1"/>
  <c r="L878" i="1"/>
  <c r="F878" i="1"/>
  <c r="AF877" i="1"/>
  <c r="AE877" i="1"/>
  <c r="AA877" i="1"/>
  <c r="Z877" i="1"/>
  <c r="AC877" i="1" s="1"/>
  <c r="W877" i="1"/>
  <c r="Q877" i="1"/>
  <c r="L877" i="1"/>
  <c r="F877" i="1"/>
  <c r="AH876" i="1"/>
  <c r="AF876" i="1"/>
  <c r="AE876" i="1"/>
  <c r="AA876" i="1"/>
  <c r="Z876" i="1"/>
  <c r="W876" i="1"/>
  <c r="Q876" i="1"/>
  <c r="L876" i="1"/>
  <c r="F876" i="1"/>
  <c r="AF875" i="1"/>
  <c r="AE875" i="1"/>
  <c r="AH875" i="1" s="1"/>
  <c r="AA875" i="1"/>
  <c r="Z875" i="1"/>
  <c r="W875" i="1"/>
  <c r="Q875" i="1"/>
  <c r="L875" i="1"/>
  <c r="F875" i="1"/>
  <c r="AF874" i="1"/>
  <c r="AH874" i="1" s="1"/>
  <c r="AE874" i="1"/>
  <c r="AA874" i="1"/>
  <c r="Z874" i="1"/>
  <c r="W874" i="1"/>
  <c r="Q874" i="1"/>
  <c r="L874" i="1"/>
  <c r="F874" i="1"/>
  <c r="AF873" i="1"/>
  <c r="AH873" i="1" s="1"/>
  <c r="AE873" i="1"/>
  <c r="AA873" i="1"/>
  <c r="AC873" i="1" s="1"/>
  <c r="Z873" i="1"/>
  <c r="W873" i="1"/>
  <c r="Q873" i="1"/>
  <c r="L873" i="1"/>
  <c r="F873" i="1"/>
  <c r="AH872" i="1"/>
  <c r="AF872" i="1"/>
  <c r="AE872" i="1"/>
  <c r="AA872" i="1"/>
  <c r="Z872" i="1"/>
  <c r="W872" i="1"/>
  <c r="Q872" i="1"/>
  <c r="L872" i="1"/>
  <c r="F872" i="1"/>
  <c r="AF871" i="1"/>
  <c r="AE871" i="1"/>
  <c r="AA871" i="1"/>
  <c r="Z871" i="1"/>
  <c r="W871" i="1"/>
  <c r="Q871" i="1"/>
  <c r="L871" i="1"/>
  <c r="F871" i="1"/>
  <c r="AF870" i="1"/>
  <c r="AE870" i="1"/>
  <c r="AA870" i="1"/>
  <c r="Z870" i="1"/>
  <c r="W870" i="1"/>
  <c r="Q870" i="1"/>
  <c r="L870" i="1"/>
  <c r="F870" i="1"/>
  <c r="AF869" i="1"/>
  <c r="AH869" i="1" s="1"/>
  <c r="AE869" i="1"/>
  <c r="AA869" i="1"/>
  <c r="Z869" i="1"/>
  <c r="W869" i="1"/>
  <c r="Q869" i="1"/>
  <c r="L869" i="1"/>
  <c r="F869" i="1"/>
  <c r="AF868" i="1"/>
  <c r="AE868" i="1"/>
  <c r="AA868" i="1"/>
  <c r="Z868" i="1"/>
  <c r="W868" i="1"/>
  <c r="Q868" i="1"/>
  <c r="L868" i="1"/>
  <c r="F868" i="1"/>
  <c r="AF867" i="1"/>
  <c r="AE867" i="1"/>
  <c r="AA867" i="1"/>
  <c r="AC867" i="1" s="1"/>
  <c r="Z867" i="1"/>
  <c r="W867" i="1"/>
  <c r="Q867" i="1"/>
  <c r="L867" i="1"/>
  <c r="F867" i="1"/>
  <c r="AF866" i="1"/>
  <c r="AE866" i="1"/>
  <c r="AA866" i="1"/>
  <c r="Z866" i="1"/>
  <c r="W866" i="1"/>
  <c r="Q866" i="1"/>
  <c r="L866" i="1"/>
  <c r="F866" i="1"/>
  <c r="AF865" i="1"/>
  <c r="AE865" i="1"/>
  <c r="AA865" i="1"/>
  <c r="AC865" i="1" s="1"/>
  <c r="Z865" i="1"/>
  <c r="W865" i="1"/>
  <c r="Q865" i="1"/>
  <c r="L865" i="1"/>
  <c r="F865" i="1"/>
  <c r="AF864" i="1"/>
  <c r="AE864" i="1"/>
  <c r="AA864" i="1"/>
  <c r="Z864" i="1"/>
  <c r="W864" i="1"/>
  <c r="Q864" i="1"/>
  <c r="L864" i="1"/>
  <c r="F864" i="1"/>
  <c r="AF863" i="1"/>
  <c r="AH863" i="1" s="1"/>
  <c r="AE863" i="1"/>
  <c r="AA863" i="1"/>
  <c r="Z863" i="1"/>
  <c r="W863" i="1"/>
  <c r="Q863" i="1"/>
  <c r="L863" i="1"/>
  <c r="F863" i="1"/>
  <c r="AF862" i="1"/>
  <c r="AE862" i="1"/>
  <c r="AA862" i="1"/>
  <c r="Z862" i="1"/>
  <c r="W862" i="1"/>
  <c r="Q862" i="1"/>
  <c r="L862" i="1"/>
  <c r="F862" i="1"/>
  <c r="AF861" i="1"/>
  <c r="AH861" i="1" s="1"/>
  <c r="AE861" i="1"/>
  <c r="AA861" i="1"/>
  <c r="Z861" i="1"/>
  <c r="AC861" i="1" s="1"/>
  <c r="W861" i="1"/>
  <c r="Q861" i="1"/>
  <c r="L861" i="1"/>
  <c r="F861" i="1"/>
  <c r="AF860" i="1"/>
  <c r="AE860" i="1"/>
  <c r="AA860" i="1"/>
  <c r="Z860" i="1"/>
  <c r="W860" i="1"/>
  <c r="Q860" i="1"/>
  <c r="L860" i="1"/>
  <c r="F860" i="1"/>
  <c r="AF859" i="1"/>
  <c r="AE859" i="1"/>
  <c r="AH859" i="1" s="1"/>
  <c r="AA859" i="1"/>
  <c r="Z859" i="1"/>
  <c r="W859" i="1"/>
  <c r="Q859" i="1"/>
  <c r="L859" i="1"/>
  <c r="F859" i="1"/>
  <c r="AF858" i="1"/>
  <c r="AE858" i="1"/>
  <c r="AH858" i="1" s="1"/>
  <c r="AA858" i="1"/>
  <c r="Z858" i="1"/>
  <c r="W858" i="1"/>
  <c r="Q858" i="1"/>
  <c r="L858" i="1"/>
  <c r="F858" i="1"/>
  <c r="AF857" i="1"/>
  <c r="AE857" i="1"/>
  <c r="AA857" i="1"/>
  <c r="Z857" i="1"/>
  <c r="W857" i="1"/>
  <c r="Q857" i="1"/>
  <c r="L857" i="1"/>
  <c r="F857" i="1"/>
  <c r="AF856" i="1"/>
  <c r="AH856" i="1" s="1"/>
  <c r="AE856" i="1"/>
  <c r="AA856" i="1"/>
  <c r="Z856" i="1"/>
  <c r="W856" i="1"/>
  <c r="Q856" i="1"/>
  <c r="L856" i="1"/>
  <c r="F856" i="1"/>
  <c r="AF855" i="1"/>
  <c r="AE855" i="1"/>
  <c r="AH855" i="1" s="1"/>
  <c r="AA855" i="1"/>
  <c r="Z855" i="1"/>
  <c r="W855" i="1"/>
  <c r="Q855" i="1"/>
  <c r="L855" i="1"/>
  <c r="F855" i="1"/>
  <c r="AF854" i="1"/>
  <c r="AE854" i="1"/>
  <c r="AA854" i="1"/>
  <c r="Z854" i="1"/>
  <c r="W854" i="1"/>
  <c r="Q854" i="1"/>
  <c r="L854" i="1"/>
  <c r="F854" i="1"/>
  <c r="AF853" i="1"/>
  <c r="AE853" i="1"/>
  <c r="AA853" i="1"/>
  <c r="Z853" i="1"/>
  <c r="W853" i="1"/>
  <c r="Q853" i="1"/>
  <c r="L853" i="1"/>
  <c r="F853" i="1"/>
  <c r="AF852" i="1"/>
  <c r="AE852" i="1"/>
  <c r="AH852" i="1" s="1"/>
  <c r="AA852" i="1"/>
  <c r="Z852" i="1"/>
  <c r="W852" i="1"/>
  <c r="Q852" i="1"/>
  <c r="L852" i="1"/>
  <c r="F852" i="1"/>
  <c r="AF851" i="1"/>
  <c r="AE851" i="1"/>
  <c r="AA851" i="1"/>
  <c r="Z851" i="1"/>
  <c r="W851" i="1"/>
  <c r="Q851" i="1"/>
  <c r="L851" i="1"/>
  <c r="F851" i="1"/>
  <c r="AF850" i="1"/>
  <c r="AE850" i="1"/>
  <c r="AA850" i="1"/>
  <c r="Z850" i="1"/>
  <c r="W850" i="1"/>
  <c r="Q850" i="1"/>
  <c r="L850" i="1"/>
  <c r="F850" i="1"/>
  <c r="AF849" i="1"/>
  <c r="AE849" i="1"/>
  <c r="AA849" i="1"/>
  <c r="Z849" i="1"/>
  <c r="W849" i="1"/>
  <c r="Q849" i="1"/>
  <c r="L849" i="1"/>
  <c r="F849" i="1"/>
  <c r="AF848" i="1"/>
  <c r="AH848" i="1" s="1"/>
  <c r="AE848" i="1"/>
  <c r="AA848" i="1"/>
  <c r="Z848" i="1"/>
  <c r="W848" i="1"/>
  <c r="Q848" i="1"/>
  <c r="L848" i="1"/>
  <c r="F848" i="1"/>
  <c r="AF847" i="1"/>
  <c r="AE847" i="1"/>
  <c r="AA847" i="1"/>
  <c r="Z847" i="1"/>
  <c r="W847" i="1"/>
  <c r="Q847" i="1"/>
  <c r="L847" i="1"/>
  <c r="F847" i="1"/>
  <c r="AF846" i="1"/>
  <c r="AE846" i="1"/>
  <c r="AA846" i="1"/>
  <c r="AC846" i="1" s="1"/>
  <c r="Z846" i="1"/>
  <c r="W846" i="1"/>
  <c r="Q846" i="1"/>
  <c r="L846" i="1"/>
  <c r="F846" i="1"/>
  <c r="AF845" i="1"/>
  <c r="AE845" i="1"/>
  <c r="AA845" i="1"/>
  <c r="Z845" i="1"/>
  <c r="W845" i="1"/>
  <c r="Q845" i="1"/>
  <c r="L845" i="1"/>
  <c r="F845" i="1"/>
  <c r="AF844" i="1"/>
  <c r="AE844" i="1"/>
  <c r="AA844" i="1"/>
  <c r="Z844" i="1"/>
  <c r="W844" i="1"/>
  <c r="Q844" i="1"/>
  <c r="L844" i="1"/>
  <c r="F844" i="1"/>
  <c r="AF843" i="1"/>
  <c r="AE843" i="1"/>
  <c r="AH843" i="1" s="1"/>
  <c r="AA843" i="1"/>
  <c r="Z843" i="1"/>
  <c r="W843" i="1"/>
  <c r="Q843" i="1"/>
  <c r="L843" i="1"/>
  <c r="F843" i="1"/>
  <c r="AF842" i="1"/>
  <c r="AH842" i="1" s="1"/>
  <c r="AE842" i="1"/>
  <c r="AA842" i="1"/>
  <c r="Z842" i="1"/>
  <c r="W842" i="1"/>
  <c r="Q842" i="1"/>
  <c r="L842" i="1"/>
  <c r="F842" i="1"/>
  <c r="AF841" i="1"/>
  <c r="AH841" i="1" s="1"/>
  <c r="AE841" i="1"/>
  <c r="AA841" i="1"/>
  <c r="Z841" i="1"/>
  <c r="W841" i="1"/>
  <c r="Q841" i="1"/>
  <c r="L841" i="1"/>
  <c r="F841" i="1"/>
  <c r="AF840" i="1"/>
  <c r="AE840" i="1"/>
  <c r="AA840" i="1"/>
  <c r="Z840" i="1"/>
  <c r="W840" i="1"/>
  <c r="Q840" i="1"/>
  <c r="L840" i="1"/>
  <c r="F840" i="1"/>
  <c r="AF839" i="1"/>
  <c r="AE839" i="1"/>
  <c r="AA839" i="1"/>
  <c r="Z839" i="1"/>
  <c r="W839" i="1"/>
  <c r="Q839" i="1"/>
  <c r="L839" i="1"/>
  <c r="F839" i="1"/>
  <c r="AH838" i="1"/>
  <c r="AF838" i="1"/>
  <c r="AE838" i="1"/>
  <c r="AA838" i="1"/>
  <c r="AC838" i="1" s="1"/>
  <c r="Z838" i="1"/>
  <c r="W838" i="1"/>
  <c r="Q838" i="1"/>
  <c r="L838" i="1"/>
  <c r="F838" i="1"/>
  <c r="AF837" i="1"/>
  <c r="AH837" i="1" s="1"/>
  <c r="AE837" i="1"/>
  <c r="AA837" i="1"/>
  <c r="Z837" i="1"/>
  <c r="W837" i="1"/>
  <c r="Q837" i="1"/>
  <c r="L837" i="1"/>
  <c r="F837" i="1"/>
  <c r="AF836" i="1"/>
  <c r="AE836" i="1"/>
  <c r="AA836" i="1"/>
  <c r="Z836" i="1"/>
  <c r="W836" i="1"/>
  <c r="Q836" i="1"/>
  <c r="L836" i="1"/>
  <c r="F836" i="1"/>
  <c r="AF835" i="1"/>
  <c r="AE835" i="1"/>
  <c r="AA835" i="1"/>
  <c r="Z835" i="1"/>
  <c r="W835" i="1"/>
  <c r="Q835" i="1"/>
  <c r="L835" i="1"/>
  <c r="F835" i="1"/>
  <c r="AF834" i="1"/>
  <c r="AH834" i="1" s="1"/>
  <c r="AE834" i="1"/>
  <c r="AA834" i="1"/>
  <c r="AC834" i="1" s="1"/>
  <c r="Z834" i="1"/>
  <c r="W834" i="1"/>
  <c r="Q834" i="1"/>
  <c r="L834" i="1"/>
  <c r="F834" i="1"/>
  <c r="AF833" i="1"/>
  <c r="AH833" i="1" s="1"/>
  <c r="AE833" i="1"/>
  <c r="AA833" i="1"/>
  <c r="Z833" i="1"/>
  <c r="W833" i="1"/>
  <c r="Q833" i="1"/>
  <c r="L833" i="1"/>
  <c r="F833" i="1"/>
  <c r="AF832" i="1"/>
  <c r="AH832" i="1" s="1"/>
  <c r="AE832" i="1"/>
  <c r="AA832" i="1"/>
  <c r="Z832" i="1"/>
  <c r="W832" i="1"/>
  <c r="Q832" i="1"/>
  <c r="L832" i="1"/>
  <c r="F832" i="1"/>
  <c r="AF831" i="1"/>
  <c r="AE831" i="1"/>
  <c r="AA831" i="1"/>
  <c r="Z831" i="1"/>
  <c r="W831" i="1"/>
  <c r="Q831" i="1"/>
  <c r="L831" i="1"/>
  <c r="F831" i="1"/>
  <c r="AF830" i="1"/>
  <c r="AE830" i="1"/>
  <c r="AA830" i="1"/>
  <c r="Z830" i="1"/>
  <c r="W830" i="1"/>
  <c r="Q830" i="1"/>
  <c r="L830" i="1"/>
  <c r="F830" i="1"/>
  <c r="AF829" i="1"/>
  <c r="AE829" i="1"/>
  <c r="AA829" i="1"/>
  <c r="Z829" i="1"/>
  <c r="AC829" i="1" s="1"/>
  <c r="W829" i="1"/>
  <c r="Q829" i="1"/>
  <c r="L829" i="1"/>
  <c r="F829" i="1"/>
  <c r="AF828" i="1"/>
  <c r="AE828" i="1"/>
  <c r="AA828" i="1"/>
  <c r="Z828" i="1"/>
  <c r="W828" i="1"/>
  <c r="Q828" i="1"/>
  <c r="L828" i="1"/>
  <c r="F828" i="1"/>
  <c r="AF827" i="1"/>
  <c r="AE827" i="1"/>
  <c r="AH827" i="1" s="1"/>
  <c r="AA827" i="1"/>
  <c r="Z827" i="1"/>
  <c r="W827" i="1"/>
  <c r="Q827" i="1"/>
  <c r="L827" i="1"/>
  <c r="F827" i="1"/>
  <c r="AF826" i="1"/>
  <c r="AE826" i="1"/>
  <c r="AA826" i="1"/>
  <c r="Z826" i="1"/>
  <c r="W826" i="1"/>
  <c r="Q826" i="1"/>
  <c r="L826" i="1"/>
  <c r="F826" i="1"/>
  <c r="AF825" i="1"/>
  <c r="AH825" i="1" s="1"/>
  <c r="AE825" i="1"/>
  <c r="AA825" i="1"/>
  <c r="Z825" i="1"/>
  <c r="W825" i="1"/>
  <c r="Q825" i="1"/>
  <c r="L825" i="1"/>
  <c r="F825" i="1"/>
  <c r="AF824" i="1"/>
  <c r="AH824" i="1" s="1"/>
  <c r="AE824" i="1"/>
  <c r="AA824" i="1"/>
  <c r="Z824" i="1"/>
  <c r="W824" i="1"/>
  <c r="Q824" i="1"/>
  <c r="L824" i="1"/>
  <c r="F824" i="1"/>
  <c r="AF823" i="1"/>
  <c r="AE823" i="1"/>
  <c r="AH823" i="1" s="1"/>
  <c r="AA823" i="1"/>
  <c r="Z823" i="1"/>
  <c r="W823" i="1"/>
  <c r="Q823" i="1"/>
  <c r="L823" i="1"/>
  <c r="F823" i="1"/>
  <c r="AF822" i="1"/>
  <c r="AE822" i="1"/>
  <c r="AA822" i="1"/>
  <c r="Z822" i="1"/>
  <c r="W822" i="1"/>
  <c r="Q822" i="1"/>
  <c r="L822" i="1"/>
  <c r="F822" i="1"/>
  <c r="AF821" i="1"/>
  <c r="AE821" i="1"/>
  <c r="AA821" i="1"/>
  <c r="Z821" i="1"/>
  <c r="W821" i="1"/>
  <c r="Q821" i="1"/>
  <c r="L821" i="1"/>
  <c r="F821" i="1"/>
  <c r="AF820" i="1"/>
  <c r="AE820" i="1"/>
  <c r="AA820" i="1"/>
  <c r="Z820" i="1"/>
  <c r="W820" i="1"/>
  <c r="Q820" i="1"/>
  <c r="L820" i="1"/>
  <c r="F820" i="1"/>
  <c r="AF819" i="1"/>
  <c r="AE819" i="1"/>
  <c r="AA819" i="1"/>
  <c r="AC819" i="1" s="1"/>
  <c r="Z819" i="1"/>
  <c r="W819" i="1"/>
  <c r="Q819" i="1"/>
  <c r="L819" i="1"/>
  <c r="F819" i="1"/>
  <c r="AF818" i="1"/>
  <c r="AE818" i="1"/>
  <c r="AA818" i="1"/>
  <c r="Z818" i="1"/>
  <c r="W818" i="1"/>
  <c r="Q818" i="1"/>
  <c r="L818" i="1"/>
  <c r="F818" i="1"/>
  <c r="AF817" i="1"/>
  <c r="AE817" i="1"/>
  <c r="AA817" i="1"/>
  <c r="Z817" i="1"/>
  <c r="W817" i="1"/>
  <c r="Q817" i="1"/>
  <c r="L817" i="1"/>
  <c r="F817" i="1"/>
  <c r="AF816" i="1"/>
  <c r="AE816" i="1"/>
  <c r="AA816" i="1"/>
  <c r="Z816" i="1"/>
  <c r="W816" i="1"/>
  <c r="Q816" i="1"/>
  <c r="L816" i="1"/>
  <c r="F816" i="1"/>
  <c r="AF815" i="1"/>
  <c r="AE815" i="1"/>
  <c r="AA815" i="1"/>
  <c r="Z815" i="1"/>
  <c r="W815" i="1"/>
  <c r="Q815" i="1"/>
  <c r="L815" i="1"/>
  <c r="F815" i="1"/>
  <c r="AF814" i="1"/>
  <c r="AE814" i="1"/>
  <c r="AA814" i="1"/>
  <c r="Z814" i="1"/>
  <c r="W814" i="1"/>
  <c r="Q814" i="1"/>
  <c r="L814" i="1"/>
  <c r="F814" i="1"/>
  <c r="AF813" i="1"/>
  <c r="AE813" i="1"/>
  <c r="AH813" i="1" s="1"/>
  <c r="AA813" i="1"/>
  <c r="Z813" i="1"/>
  <c r="AC813" i="1" s="1"/>
  <c r="W813" i="1"/>
  <c r="Q813" i="1"/>
  <c r="L813" i="1"/>
  <c r="F813" i="1"/>
  <c r="AF812" i="1"/>
  <c r="AE812" i="1"/>
  <c r="AA812" i="1"/>
  <c r="Z812" i="1"/>
  <c r="W812" i="1"/>
  <c r="Q812" i="1"/>
  <c r="L812" i="1"/>
  <c r="F812" i="1"/>
  <c r="AF811" i="1"/>
  <c r="AE811" i="1"/>
  <c r="AH811" i="1" s="1"/>
  <c r="AC811" i="1"/>
  <c r="AA811" i="1"/>
  <c r="Z811" i="1"/>
  <c r="W811" i="1"/>
  <c r="Q811" i="1"/>
  <c r="L811" i="1"/>
  <c r="F811" i="1"/>
  <c r="AH810" i="1"/>
  <c r="AF810" i="1"/>
  <c r="AE810" i="1"/>
  <c r="AA810" i="1"/>
  <c r="Z810" i="1"/>
  <c r="W810" i="1"/>
  <c r="Q810" i="1"/>
  <c r="L810" i="1"/>
  <c r="F810" i="1"/>
  <c r="AF809" i="1"/>
  <c r="AE809" i="1"/>
  <c r="AA809" i="1"/>
  <c r="Z809" i="1"/>
  <c r="W809" i="1"/>
  <c r="Q809" i="1"/>
  <c r="L809" i="1"/>
  <c r="F809" i="1"/>
  <c r="AH808" i="1"/>
  <c r="AF808" i="1"/>
  <c r="AE808" i="1"/>
  <c r="AA808" i="1"/>
  <c r="Z808" i="1"/>
  <c r="W808" i="1"/>
  <c r="Q808" i="1"/>
  <c r="L808" i="1"/>
  <c r="F808" i="1"/>
  <c r="AF807" i="1"/>
  <c r="AE807" i="1"/>
  <c r="AH807" i="1" s="1"/>
  <c r="AA807" i="1"/>
  <c r="Z807" i="1"/>
  <c r="W807" i="1"/>
  <c r="Q807" i="1"/>
  <c r="L807" i="1"/>
  <c r="F807" i="1"/>
  <c r="AF806" i="1"/>
  <c r="AH806" i="1" s="1"/>
  <c r="AE806" i="1"/>
  <c r="AA806" i="1"/>
  <c r="Z806" i="1"/>
  <c r="AC806" i="1" s="1"/>
  <c r="W806" i="1"/>
  <c r="Q806" i="1"/>
  <c r="L806" i="1"/>
  <c r="F806" i="1"/>
  <c r="AF805" i="1"/>
  <c r="AH805" i="1" s="1"/>
  <c r="AE805" i="1"/>
  <c r="AA805" i="1"/>
  <c r="Z805" i="1"/>
  <c r="W805" i="1"/>
  <c r="Q805" i="1"/>
  <c r="L805" i="1"/>
  <c r="F805" i="1"/>
  <c r="AF804" i="1"/>
  <c r="AE804" i="1"/>
  <c r="AH804" i="1" s="1"/>
  <c r="AA804" i="1"/>
  <c r="Z804" i="1"/>
  <c r="W804" i="1"/>
  <c r="Q804" i="1"/>
  <c r="L804" i="1"/>
  <c r="F804" i="1"/>
  <c r="AF803" i="1"/>
  <c r="AE803" i="1"/>
  <c r="AA803" i="1"/>
  <c r="Z803" i="1"/>
  <c r="W803" i="1"/>
  <c r="Q803" i="1"/>
  <c r="L803" i="1"/>
  <c r="F803" i="1"/>
  <c r="AF802" i="1"/>
  <c r="AE802" i="1"/>
  <c r="AH802" i="1" s="1"/>
  <c r="AA802" i="1"/>
  <c r="Z802" i="1"/>
  <c r="W802" i="1"/>
  <c r="Q802" i="1"/>
  <c r="L802" i="1"/>
  <c r="F802" i="1"/>
  <c r="AF801" i="1"/>
  <c r="AH801" i="1" s="1"/>
  <c r="AE801" i="1"/>
  <c r="AA801" i="1"/>
  <c r="Z801" i="1"/>
  <c r="W801" i="1"/>
  <c r="Q801" i="1"/>
  <c r="L801" i="1"/>
  <c r="F801" i="1"/>
  <c r="AF800" i="1"/>
  <c r="AE800" i="1"/>
  <c r="AA800" i="1"/>
  <c r="Z800" i="1"/>
  <c r="W800" i="1"/>
  <c r="Q800" i="1"/>
  <c r="L800" i="1"/>
  <c r="F800" i="1"/>
  <c r="AF799" i="1"/>
  <c r="AH799" i="1" s="1"/>
  <c r="AE799" i="1"/>
  <c r="AA799" i="1"/>
  <c r="Z799" i="1"/>
  <c r="AC799" i="1" s="1"/>
  <c r="W799" i="1"/>
  <c r="Q799" i="1"/>
  <c r="L799" i="1"/>
  <c r="F799" i="1"/>
  <c r="AF798" i="1"/>
  <c r="AE798" i="1"/>
  <c r="AA798" i="1"/>
  <c r="Z798" i="1"/>
  <c r="W798" i="1"/>
  <c r="Q798" i="1"/>
  <c r="L798" i="1"/>
  <c r="F798" i="1"/>
  <c r="AF797" i="1"/>
  <c r="AH797" i="1" s="1"/>
  <c r="AE797" i="1"/>
  <c r="AA797" i="1"/>
  <c r="Z797" i="1"/>
  <c r="AC797" i="1" s="1"/>
  <c r="W797" i="1"/>
  <c r="Q797" i="1"/>
  <c r="L797" i="1"/>
  <c r="F797" i="1"/>
  <c r="AF796" i="1"/>
  <c r="AE796" i="1"/>
  <c r="AA796" i="1"/>
  <c r="Z796" i="1"/>
  <c r="W796" i="1"/>
  <c r="Q796" i="1"/>
  <c r="L796" i="1"/>
  <c r="F796" i="1"/>
  <c r="AF795" i="1"/>
  <c r="AE795" i="1"/>
  <c r="AA795" i="1"/>
  <c r="AC795" i="1" s="1"/>
  <c r="Z795" i="1"/>
  <c r="W795" i="1"/>
  <c r="Q795" i="1"/>
  <c r="L795" i="1"/>
  <c r="F795" i="1"/>
  <c r="AF794" i="1"/>
  <c r="AE794" i="1"/>
  <c r="AH794" i="1" s="1"/>
  <c r="AA794" i="1"/>
  <c r="Z794" i="1"/>
  <c r="W794" i="1"/>
  <c r="Q794" i="1"/>
  <c r="L794" i="1"/>
  <c r="F794" i="1"/>
  <c r="AH793" i="1"/>
  <c r="AF793" i="1"/>
  <c r="AE793" i="1"/>
  <c r="AA793" i="1"/>
  <c r="Z793" i="1"/>
  <c r="W793" i="1"/>
  <c r="Q793" i="1"/>
  <c r="L793" i="1"/>
  <c r="F793" i="1"/>
  <c r="AF792" i="1"/>
  <c r="AH792" i="1" s="1"/>
  <c r="AE792" i="1"/>
  <c r="AA792" i="1"/>
  <c r="Z792" i="1"/>
  <c r="W792" i="1"/>
  <c r="Q792" i="1"/>
  <c r="L792" i="1"/>
  <c r="F792" i="1"/>
  <c r="AF791" i="1"/>
  <c r="AE791" i="1"/>
  <c r="AA791" i="1"/>
  <c r="Z791" i="1"/>
  <c r="W791" i="1"/>
  <c r="Q791" i="1"/>
  <c r="L791" i="1"/>
  <c r="F791" i="1"/>
  <c r="AF790" i="1"/>
  <c r="AE790" i="1"/>
  <c r="AA790" i="1"/>
  <c r="Z790" i="1"/>
  <c r="W790" i="1"/>
  <c r="Q790" i="1"/>
  <c r="L790" i="1"/>
  <c r="F790" i="1"/>
  <c r="AF789" i="1"/>
  <c r="AE789" i="1"/>
  <c r="AA789" i="1"/>
  <c r="Z789" i="1"/>
  <c r="W789" i="1"/>
  <c r="Q789" i="1"/>
  <c r="L789" i="1"/>
  <c r="F789" i="1"/>
  <c r="AF788" i="1"/>
  <c r="AE788" i="1"/>
  <c r="AH788" i="1" s="1"/>
  <c r="AA788" i="1"/>
  <c r="Z788" i="1"/>
  <c r="W788" i="1"/>
  <c r="Q788" i="1"/>
  <c r="L788" i="1"/>
  <c r="F788" i="1"/>
  <c r="AF787" i="1"/>
  <c r="AE787" i="1"/>
  <c r="AA787" i="1"/>
  <c r="Z787" i="1"/>
  <c r="W787" i="1"/>
  <c r="Q787" i="1"/>
  <c r="L787" i="1"/>
  <c r="F787" i="1"/>
  <c r="AF786" i="1"/>
  <c r="AE786" i="1"/>
  <c r="AA786" i="1"/>
  <c r="Z786" i="1"/>
  <c r="W786" i="1"/>
  <c r="Q786" i="1"/>
  <c r="L786" i="1"/>
  <c r="F786" i="1"/>
  <c r="AF785" i="1"/>
  <c r="AH785" i="1" s="1"/>
  <c r="AE785" i="1"/>
  <c r="AA785" i="1"/>
  <c r="Z785" i="1"/>
  <c r="W785" i="1"/>
  <c r="Q785" i="1"/>
  <c r="L785" i="1"/>
  <c r="F785" i="1"/>
  <c r="AF784" i="1"/>
  <c r="AH784" i="1" s="1"/>
  <c r="AE784" i="1"/>
  <c r="AA784" i="1"/>
  <c r="Z784" i="1"/>
  <c r="W784" i="1"/>
  <c r="Q784" i="1"/>
  <c r="L784" i="1"/>
  <c r="F784" i="1"/>
  <c r="AF783" i="1"/>
  <c r="AH783" i="1" s="1"/>
  <c r="AE783" i="1"/>
  <c r="AA783" i="1"/>
  <c r="AC783" i="1" s="1"/>
  <c r="Z783" i="1"/>
  <c r="W783" i="1"/>
  <c r="Q783" i="1"/>
  <c r="L783" i="1"/>
  <c r="F783" i="1"/>
  <c r="AF782" i="1"/>
  <c r="AH782" i="1" s="1"/>
  <c r="AE782" i="1"/>
  <c r="AA782" i="1"/>
  <c r="Z782" i="1"/>
  <c r="W782" i="1"/>
  <c r="Q782" i="1"/>
  <c r="L782" i="1"/>
  <c r="F782" i="1"/>
  <c r="AF781" i="1"/>
  <c r="AE781" i="1"/>
  <c r="AA781" i="1"/>
  <c r="Z781" i="1"/>
  <c r="AC781" i="1" s="1"/>
  <c r="W781" i="1"/>
  <c r="Q781" i="1"/>
  <c r="L781" i="1"/>
  <c r="F781" i="1"/>
  <c r="AF780" i="1"/>
  <c r="AH780" i="1" s="1"/>
  <c r="AE780" i="1"/>
  <c r="AA780" i="1"/>
  <c r="Z780" i="1"/>
  <c r="W780" i="1"/>
  <c r="Q780" i="1"/>
  <c r="L780" i="1"/>
  <c r="F780" i="1"/>
  <c r="AF779" i="1"/>
  <c r="AE779" i="1"/>
  <c r="AA779" i="1"/>
  <c r="Z779" i="1"/>
  <c r="AC779" i="1" s="1"/>
  <c r="W779" i="1"/>
  <c r="Q779" i="1"/>
  <c r="L779" i="1"/>
  <c r="F779" i="1"/>
  <c r="AF778" i="1"/>
  <c r="AE778" i="1"/>
  <c r="AA778" i="1"/>
  <c r="Z778" i="1"/>
  <c r="AC778" i="1" s="1"/>
  <c r="W778" i="1"/>
  <c r="Q778" i="1"/>
  <c r="L778" i="1"/>
  <c r="F778" i="1"/>
  <c r="AF777" i="1"/>
  <c r="AE777" i="1"/>
  <c r="AA777" i="1"/>
  <c r="Z777" i="1"/>
  <c r="W777" i="1"/>
  <c r="Q777" i="1"/>
  <c r="L777" i="1"/>
  <c r="F777" i="1"/>
  <c r="AF776" i="1"/>
  <c r="AH776" i="1" s="1"/>
  <c r="AE776" i="1"/>
  <c r="AA776" i="1"/>
  <c r="Z776" i="1"/>
  <c r="W776" i="1"/>
  <c r="Q776" i="1"/>
  <c r="L776" i="1"/>
  <c r="F776" i="1"/>
  <c r="AF775" i="1"/>
  <c r="AE775" i="1"/>
  <c r="AH775" i="1" s="1"/>
  <c r="AA775" i="1"/>
  <c r="Z775" i="1"/>
  <c r="W775" i="1"/>
  <c r="Q775" i="1"/>
  <c r="L775" i="1"/>
  <c r="F775" i="1"/>
  <c r="AF774" i="1"/>
  <c r="AH774" i="1" s="1"/>
  <c r="AE774" i="1"/>
  <c r="AA774" i="1"/>
  <c r="Z774" i="1"/>
  <c r="W774" i="1"/>
  <c r="Q774" i="1"/>
  <c r="L774" i="1"/>
  <c r="F774" i="1"/>
  <c r="AF773" i="1"/>
  <c r="AE773" i="1"/>
  <c r="AA773" i="1"/>
  <c r="Z773" i="1"/>
  <c r="W773" i="1"/>
  <c r="Q773" i="1"/>
  <c r="L773" i="1"/>
  <c r="F773" i="1"/>
  <c r="AF772" i="1"/>
  <c r="AE772" i="1"/>
  <c r="AH772" i="1" s="1"/>
  <c r="AA772" i="1"/>
  <c r="Z772" i="1"/>
  <c r="W772" i="1"/>
  <c r="Q772" i="1"/>
  <c r="L772" i="1"/>
  <c r="F772" i="1"/>
  <c r="AF771" i="1"/>
  <c r="AE771" i="1"/>
  <c r="AA771" i="1"/>
  <c r="Z771" i="1"/>
  <c r="W771" i="1"/>
  <c r="Q771" i="1"/>
  <c r="L771" i="1"/>
  <c r="F771" i="1"/>
  <c r="AF770" i="1"/>
  <c r="AH770" i="1" s="1"/>
  <c r="AE770" i="1"/>
  <c r="AA770" i="1"/>
  <c r="Z770" i="1"/>
  <c r="W770" i="1"/>
  <c r="Q770" i="1"/>
  <c r="L770" i="1"/>
  <c r="F770" i="1"/>
  <c r="AF769" i="1"/>
  <c r="AE769" i="1"/>
  <c r="AA769" i="1"/>
  <c r="Z769" i="1"/>
  <c r="W769" i="1"/>
  <c r="Q769" i="1"/>
  <c r="L769" i="1"/>
  <c r="F769" i="1"/>
  <c r="AF768" i="1"/>
  <c r="AE768" i="1"/>
  <c r="AA768" i="1"/>
  <c r="Z768" i="1"/>
  <c r="W768" i="1"/>
  <c r="Q768" i="1"/>
  <c r="L768" i="1"/>
  <c r="F768" i="1"/>
  <c r="AF767" i="1"/>
  <c r="AE767" i="1"/>
  <c r="AA767" i="1"/>
  <c r="AC767" i="1" s="1"/>
  <c r="Z767" i="1"/>
  <c r="W767" i="1"/>
  <c r="Q767" i="1"/>
  <c r="L767" i="1"/>
  <c r="F767" i="1"/>
  <c r="AF766" i="1"/>
  <c r="AE766" i="1"/>
  <c r="AA766" i="1"/>
  <c r="Z766" i="1"/>
  <c r="W766" i="1"/>
  <c r="Q766" i="1"/>
  <c r="L766" i="1"/>
  <c r="F766" i="1"/>
  <c r="AF765" i="1"/>
  <c r="AE765" i="1"/>
  <c r="AA765" i="1"/>
  <c r="Z765" i="1"/>
  <c r="AC765" i="1" s="1"/>
  <c r="W765" i="1"/>
  <c r="Q765" i="1"/>
  <c r="L765" i="1"/>
  <c r="F765" i="1"/>
  <c r="AF764" i="1"/>
  <c r="AH764" i="1" s="1"/>
  <c r="AE764" i="1"/>
  <c r="AA764" i="1"/>
  <c r="Z764" i="1"/>
  <c r="AC764" i="1" s="1"/>
  <c r="W764" i="1"/>
  <c r="Q764" i="1"/>
  <c r="L764" i="1"/>
  <c r="F764" i="1"/>
  <c r="AF763" i="1"/>
  <c r="AE763" i="1"/>
  <c r="AA763" i="1"/>
  <c r="Z763" i="1"/>
  <c r="AC763" i="1" s="1"/>
  <c r="W763" i="1"/>
  <c r="Q763" i="1"/>
  <c r="L763" i="1"/>
  <c r="F763" i="1"/>
  <c r="AF762" i="1"/>
  <c r="AE762" i="1"/>
  <c r="AH762" i="1" s="1"/>
  <c r="AA762" i="1"/>
  <c r="Z762" i="1"/>
  <c r="W762" i="1"/>
  <c r="Q762" i="1"/>
  <c r="L762" i="1"/>
  <c r="F762" i="1"/>
  <c r="AF761" i="1"/>
  <c r="AE761" i="1"/>
  <c r="AA761" i="1"/>
  <c r="Z761" i="1"/>
  <c r="W761" i="1"/>
  <c r="Q761" i="1"/>
  <c r="L761" i="1"/>
  <c r="F761" i="1"/>
  <c r="AH760" i="1"/>
  <c r="AF760" i="1"/>
  <c r="AE760" i="1"/>
  <c r="AA760" i="1"/>
  <c r="Z760" i="1"/>
  <c r="W760" i="1"/>
  <c r="Q760" i="1"/>
  <c r="L760" i="1"/>
  <c r="F760" i="1"/>
  <c r="AF759" i="1"/>
  <c r="AE759" i="1"/>
  <c r="AH759" i="1" s="1"/>
  <c r="AA759" i="1"/>
  <c r="Z759" i="1"/>
  <c r="W759" i="1"/>
  <c r="Q759" i="1"/>
  <c r="L759" i="1"/>
  <c r="F759" i="1"/>
  <c r="AF758" i="1"/>
  <c r="AE758" i="1"/>
  <c r="AA758" i="1"/>
  <c r="Z758" i="1"/>
  <c r="W758" i="1"/>
  <c r="Q758" i="1"/>
  <c r="L758" i="1"/>
  <c r="F758" i="1"/>
  <c r="AF757" i="1"/>
  <c r="AE757" i="1"/>
  <c r="AA757" i="1"/>
  <c r="Z757" i="1"/>
  <c r="W757" i="1"/>
  <c r="Q757" i="1"/>
  <c r="L757" i="1"/>
  <c r="F757" i="1"/>
  <c r="AF756" i="1"/>
  <c r="AE756" i="1"/>
  <c r="AA756" i="1"/>
  <c r="Z756" i="1"/>
  <c r="W756" i="1"/>
  <c r="Q756" i="1"/>
  <c r="L756" i="1"/>
  <c r="F756" i="1"/>
  <c r="AF755" i="1"/>
  <c r="AE755" i="1"/>
  <c r="AA755" i="1"/>
  <c r="Z755" i="1"/>
  <c r="W755" i="1"/>
  <c r="Q755" i="1"/>
  <c r="L755" i="1"/>
  <c r="F755" i="1"/>
  <c r="AF754" i="1"/>
  <c r="AE754" i="1"/>
  <c r="AA754" i="1"/>
  <c r="Z754" i="1"/>
  <c r="W754" i="1"/>
  <c r="Q754" i="1"/>
  <c r="L754" i="1"/>
  <c r="F754" i="1"/>
  <c r="AF753" i="1"/>
  <c r="AE753" i="1"/>
  <c r="AA753" i="1"/>
  <c r="Z753" i="1"/>
  <c r="W753" i="1"/>
  <c r="Q753" i="1"/>
  <c r="L753" i="1"/>
  <c r="F753" i="1"/>
  <c r="AF752" i="1"/>
  <c r="AE752" i="1"/>
  <c r="AH752" i="1" s="1"/>
  <c r="AA752" i="1"/>
  <c r="AC752" i="1" s="1"/>
  <c r="Z752" i="1"/>
  <c r="W752" i="1"/>
  <c r="Q752" i="1"/>
  <c r="L752" i="1"/>
  <c r="F752" i="1"/>
  <c r="AF751" i="1"/>
  <c r="AE751" i="1"/>
  <c r="AA751" i="1"/>
  <c r="Z751" i="1"/>
  <c r="W751" i="1"/>
  <c r="Q751" i="1"/>
  <c r="L751" i="1"/>
  <c r="F751" i="1"/>
  <c r="AF750" i="1"/>
  <c r="AH750" i="1" s="1"/>
  <c r="AE750" i="1"/>
  <c r="AA750" i="1"/>
  <c r="Z750" i="1"/>
  <c r="W750" i="1"/>
  <c r="Q750" i="1"/>
  <c r="L750" i="1"/>
  <c r="F750" i="1"/>
  <c r="AF749" i="1"/>
  <c r="AE749" i="1"/>
  <c r="AA749" i="1"/>
  <c r="Z749" i="1"/>
  <c r="AC749" i="1" s="1"/>
  <c r="W749" i="1"/>
  <c r="Q749" i="1"/>
  <c r="L749" i="1"/>
  <c r="F749" i="1"/>
  <c r="AF748" i="1"/>
  <c r="AE748" i="1"/>
  <c r="AA748" i="1"/>
  <c r="Z748" i="1"/>
  <c r="W748" i="1"/>
  <c r="Q748" i="1"/>
  <c r="L748" i="1"/>
  <c r="F748" i="1"/>
  <c r="AF747" i="1"/>
  <c r="AE747" i="1"/>
  <c r="AA747" i="1"/>
  <c r="Z747" i="1"/>
  <c r="W747" i="1"/>
  <c r="Q747" i="1"/>
  <c r="L747" i="1"/>
  <c r="F747" i="1"/>
  <c r="AH746" i="1"/>
  <c r="AF746" i="1"/>
  <c r="AE746" i="1"/>
  <c r="AA746" i="1"/>
  <c r="Z746" i="1"/>
  <c r="W746" i="1"/>
  <c r="Q746" i="1"/>
  <c r="L746" i="1"/>
  <c r="F746" i="1"/>
  <c r="AF745" i="1"/>
  <c r="AE745" i="1"/>
  <c r="AA745" i="1"/>
  <c r="Z745" i="1"/>
  <c r="W745" i="1"/>
  <c r="Q745" i="1"/>
  <c r="L745" i="1"/>
  <c r="F745" i="1"/>
  <c r="AF744" i="1"/>
  <c r="AH744" i="1" s="1"/>
  <c r="AE744" i="1"/>
  <c r="AA744" i="1"/>
  <c r="Z744" i="1"/>
  <c r="W744" i="1"/>
  <c r="Q744" i="1"/>
  <c r="L744" i="1"/>
  <c r="F744" i="1"/>
  <c r="AF743" i="1"/>
  <c r="AE743" i="1"/>
  <c r="AH743" i="1" s="1"/>
  <c r="AA743" i="1"/>
  <c r="Z743" i="1"/>
  <c r="W743" i="1"/>
  <c r="Q743" i="1"/>
  <c r="L743" i="1"/>
  <c r="F743" i="1"/>
  <c r="AF742" i="1"/>
  <c r="AE742" i="1"/>
  <c r="AA742" i="1"/>
  <c r="Z742" i="1"/>
  <c r="AC742" i="1" s="1"/>
  <c r="W742" i="1"/>
  <c r="Q742" i="1"/>
  <c r="L742" i="1"/>
  <c r="F742" i="1"/>
  <c r="AF741" i="1"/>
  <c r="AE741" i="1"/>
  <c r="AA741" i="1"/>
  <c r="Z741" i="1"/>
  <c r="W741" i="1"/>
  <c r="Q741" i="1"/>
  <c r="L741" i="1"/>
  <c r="F741" i="1"/>
  <c r="AF740" i="1"/>
  <c r="AE740" i="1"/>
  <c r="AA740" i="1"/>
  <c r="Z740" i="1"/>
  <c r="W740" i="1"/>
  <c r="Q740" i="1"/>
  <c r="L740" i="1"/>
  <c r="F740" i="1"/>
  <c r="AF739" i="1"/>
  <c r="AE739" i="1"/>
  <c r="AA739" i="1"/>
  <c r="AC739" i="1" s="1"/>
  <c r="Z739" i="1"/>
  <c r="W739" i="1"/>
  <c r="Q739" i="1"/>
  <c r="L739" i="1"/>
  <c r="F739" i="1"/>
  <c r="AF738" i="1"/>
  <c r="AH738" i="1" s="1"/>
  <c r="AE738" i="1"/>
  <c r="AA738" i="1"/>
  <c r="Z738" i="1"/>
  <c r="W738" i="1"/>
  <c r="Q738" i="1"/>
  <c r="L738" i="1"/>
  <c r="F738" i="1"/>
  <c r="AF737" i="1"/>
  <c r="AH737" i="1" s="1"/>
  <c r="AE737" i="1"/>
  <c r="AA737" i="1"/>
  <c r="Z737" i="1"/>
  <c r="W737" i="1"/>
  <c r="Q737" i="1"/>
  <c r="L737" i="1"/>
  <c r="F737" i="1"/>
  <c r="AF736" i="1"/>
  <c r="AH736" i="1" s="1"/>
  <c r="AE736" i="1"/>
  <c r="AA736" i="1"/>
  <c r="Z736" i="1"/>
  <c r="W736" i="1"/>
  <c r="Q736" i="1"/>
  <c r="L736" i="1"/>
  <c r="F736" i="1"/>
  <c r="AF735" i="1"/>
  <c r="AH735" i="1" s="1"/>
  <c r="AE735" i="1"/>
  <c r="AA735" i="1"/>
  <c r="Z735" i="1"/>
  <c r="AC735" i="1" s="1"/>
  <c r="W735" i="1"/>
  <c r="Q735" i="1"/>
  <c r="L735" i="1"/>
  <c r="F735" i="1"/>
  <c r="AF734" i="1"/>
  <c r="AH734" i="1" s="1"/>
  <c r="AE734" i="1"/>
  <c r="AA734" i="1"/>
  <c r="Z734" i="1"/>
  <c r="W734" i="1"/>
  <c r="Q734" i="1"/>
  <c r="L734" i="1"/>
  <c r="F734" i="1"/>
  <c r="AF733" i="1"/>
  <c r="AH733" i="1" s="1"/>
  <c r="AE733" i="1"/>
  <c r="AA733" i="1"/>
  <c r="Z733" i="1"/>
  <c r="AC733" i="1" s="1"/>
  <c r="W733" i="1"/>
  <c r="Q733" i="1"/>
  <c r="L733" i="1"/>
  <c r="F733" i="1"/>
  <c r="AF732" i="1"/>
  <c r="AH732" i="1" s="1"/>
  <c r="AE732" i="1"/>
  <c r="AA732" i="1"/>
  <c r="Z732" i="1"/>
  <c r="W732" i="1"/>
  <c r="Q732" i="1"/>
  <c r="L732" i="1"/>
  <c r="F732" i="1"/>
  <c r="AF731" i="1"/>
  <c r="AH731" i="1" s="1"/>
  <c r="AE731" i="1"/>
  <c r="AA731" i="1"/>
  <c r="AC731" i="1" s="1"/>
  <c r="Z731" i="1"/>
  <c r="W731" i="1"/>
  <c r="Q731" i="1"/>
  <c r="L731" i="1"/>
  <c r="F731" i="1"/>
  <c r="AF730" i="1"/>
  <c r="AE730" i="1"/>
  <c r="AH730" i="1" s="1"/>
  <c r="AA730" i="1"/>
  <c r="Z730" i="1"/>
  <c r="W730" i="1"/>
  <c r="Q730" i="1"/>
  <c r="L730" i="1"/>
  <c r="F730" i="1"/>
  <c r="AF729" i="1"/>
  <c r="AH729" i="1" s="1"/>
  <c r="AE729" i="1"/>
  <c r="AA729" i="1"/>
  <c r="AC729" i="1" s="1"/>
  <c r="Z729" i="1"/>
  <c r="W729" i="1"/>
  <c r="Q729" i="1"/>
  <c r="L729" i="1"/>
  <c r="F729" i="1"/>
  <c r="AF728" i="1"/>
  <c r="AE728" i="1"/>
  <c r="AH728" i="1" s="1"/>
  <c r="AA728" i="1"/>
  <c r="Z728" i="1"/>
  <c r="W728" i="1"/>
  <c r="Q728" i="1"/>
  <c r="L728" i="1"/>
  <c r="F728" i="1"/>
  <c r="AF727" i="1"/>
  <c r="AE727" i="1"/>
  <c r="AH727" i="1" s="1"/>
  <c r="AA727" i="1"/>
  <c r="Z727" i="1"/>
  <c r="W727" i="1"/>
  <c r="Q727" i="1"/>
  <c r="L727" i="1"/>
  <c r="F727" i="1"/>
  <c r="AF726" i="1"/>
  <c r="AE726" i="1"/>
  <c r="AA726" i="1"/>
  <c r="Z726" i="1"/>
  <c r="W726" i="1"/>
  <c r="Q726" i="1"/>
  <c r="L726" i="1"/>
  <c r="F726" i="1"/>
  <c r="AF725" i="1"/>
  <c r="AE725" i="1"/>
  <c r="AA725" i="1"/>
  <c r="Z725" i="1"/>
  <c r="W725" i="1"/>
  <c r="Q725" i="1"/>
  <c r="L725" i="1"/>
  <c r="F725" i="1"/>
  <c r="AF724" i="1"/>
  <c r="AE724" i="1"/>
  <c r="AH724" i="1" s="1"/>
  <c r="AA724" i="1"/>
  <c r="Z724" i="1"/>
  <c r="W724" i="1"/>
  <c r="Q724" i="1"/>
  <c r="L724" i="1"/>
  <c r="F724" i="1"/>
  <c r="AF723" i="1"/>
  <c r="AE723" i="1"/>
  <c r="AA723" i="1"/>
  <c r="Z723" i="1"/>
  <c r="AC723" i="1" s="1"/>
  <c r="W723" i="1"/>
  <c r="Q723" i="1"/>
  <c r="L723" i="1"/>
  <c r="F723" i="1"/>
  <c r="AF722" i="1"/>
  <c r="AE722" i="1"/>
  <c r="AA722" i="1"/>
  <c r="Z722" i="1"/>
  <c r="W722" i="1"/>
  <c r="Q722" i="1"/>
  <c r="L722" i="1"/>
  <c r="F722" i="1"/>
  <c r="AF721" i="1"/>
  <c r="AE721" i="1"/>
  <c r="AA721" i="1"/>
  <c r="Z721" i="1"/>
  <c r="W721" i="1"/>
  <c r="Q721" i="1"/>
  <c r="L721" i="1"/>
  <c r="F721" i="1"/>
  <c r="AF720" i="1"/>
  <c r="AE720" i="1"/>
  <c r="AA720" i="1"/>
  <c r="Z720" i="1"/>
  <c r="W720" i="1"/>
  <c r="Q720" i="1"/>
  <c r="L720" i="1"/>
  <c r="F720" i="1"/>
  <c r="AF719" i="1"/>
  <c r="AE719" i="1"/>
  <c r="AA719" i="1"/>
  <c r="Z719" i="1"/>
  <c r="AC719" i="1" s="1"/>
  <c r="W719" i="1"/>
  <c r="Q719" i="1"/>
  <c r="L719" i="1"/>
  <c r="F719" i="1"/>
  <c r="AF718" i="1"/>
  <c r="AE718" i="1"/>
  <c r="AA718" i="1"/>
  <c r="Z718" i="1"/>
  <c r="W718" i="1"/>
  <c r="Q718" i="1"/>
  <c r="L718" i="1"/>
  <c r="F718" i="1"/>
  <c r="AF717" i="1"/>
  <c r="AH717" i="1" s="1"/>
  <c r="AE717" i="1"/>
  <c r="AA717" i="1"/>
  <c r="Z717" i="1"/>
  <c r="AC717" i="1" s="1"/>
  <c r="W717" i="1"/>
  <c r="Q717" i="1"/>
  <c r="L717" i="1"/>
  <c r="F717" i="1"/>
  <c r="AF716" i="1"/>
  <c r="AE716" i="1"/>
  <c r="AA716" i="1"/>
  <c r="AC716" i="1" s="1"/>
  <c r="Z716" i="1"/>
  <c r="W716" i="1"/>
  <c r="Q716" i="1"/>
  <c r="L716" i="1"/>
  <c r="F716" i="1"/>
  <c r="AF715" i="1"/>
  <c r="AE715" i="1"/>
  <c r="AA715" i="1"/>
  <c r="Z715" i="1"/>
  <c r="AC715" i="1" s="1"/>
  <c r="W715" i="1"/>
  <c r="Q715" i="1"/>
  <c r="L715" i="1"/>
  <c r="F715" i="1"/>
  <c r="AF714" i="1"/>
  <c r="AE714" i="1"/>
  <c r="AH714" i="1" s="1"/>
  <c r="AA714" i="1"/>
  <c r="Z714" i="1"/>
  <c r="AC714" i="1" s="1"/>
  <c r="W714" i="1"/>
  <c r="Q714" i="1"/>
  <c r="L714" i="1"/>
  <c r="F714" i="1"/>
  <c r="AF713" i="1"/>
  <c r="AE713" i="1"/>
  <c r="AH713" i="1" s="1"/>
  <c r="AA713" i="1"/>
  <c r="Z713" i="1"/>
  <c r="W713" i="1"/>
  <c r="Q713" i="1"/>
  <c r="L713" i="1"/>
  <c r="F713" i="1"/>
  <c r="AF712" i="1"/>
  <c r="AH712" i="1" s="1"/>
  <c r="AE712" i="1"/>
  <c r="AA712" i="1"/>
  <c r="Z712" i="1"/>
  <c r="W712" i="1"/>
  <c r="Q712" i="1"/>
  <c r="L712" i="1"/>
  <c r="F712" i="1"/>
  <c r="AF711" i="1"/>
  <c r="AE711" i="1"/>
  <c r="AH711" i="1" s="1"/>
  <c r="AA711" i="1"/>
  <c r="Z711" i="1"/>
  <c r="W711" i="1"/>
  <c r="Q711" i="1"/>
  <c r="L711" i="1"/>
  <c r="F711" i="1"/>
  <c r="AF710" i="1"/>
  <c r="AE710" i="1"/>
  <c r="AA710" i="1"/>
  <c r="Z710" i="1"/>
  <c r="W710" i="1"/>
  <c r="Q710" i="1"/>
  <c r="L710" i="1"/>
  <c r="F710" i="1"/>
  <c r="AF709" i="1"/>
  <c r="AE709" i="1"/>
  <c r="AA709" i="1"/>
  <c r="Z709" i="1"/>
  <c r="W709" i="1"/>
  <c r="Q709" i="1"/>
  <c r="L709" i="1"/>
  <c r="F709" i="1"/>
  <c r="AF708" i="1"/>
  <c r="AE708" i="1"/>
  <c r="AH708" i="1" s="1"/>
  <c r="AA708" i="1"/>
  <c r="Z708" i="1"/>
  <c r="W708" i="1"/>
  <c r="Q708" i="1"/>
  <c r="L708" i="1"/>
  <c r="F708" i="1"/>
  <c r="AF707" i="1"/>
  <c r="AE707" i="1"/>
  <c r="AA707" i="1"/>
  <c r="Z707" i="1"/>
  <c r="W707" i="1"/>
  <c r="Q707" i="1"/>
  <c r="L707" i="1"/>
  <c r="F707" i="1"/>
  <c r="AF706" i="1"/>
  <c r="AE706" i="1"/>
  <c r="AA706" i="1"/>
  <c r="Z706" i="1"/>
  <c r="W706" i="1"/>
  <c r="Q706" i="1"/>
  <c r="L706" i="1"/>
  <c r="F706" i="1"/>
  <c r="AF705" i="1"/>
  <c r="AE705" i="1"/>
  <c r="AA705" i="1"/>
  <c r="Z705" i="1"/>
  <c r="W705" i="1"/>
  <c r="Q705" i="1"/>
  <c r="L705" i="1"/>
  <c r="F705" i="1"/>
  <c r="AF704" i="1"/>
  <c r="AE704" i="1"/>
  <c r="AA704" i="1"/>
  <c r="Z704" i="1"/>
  <c r="W704" i="1"/>
  <c r="Q704" i="1"/>
  <c r="L704" i="1"/>
  <c r="F704" i="1"/>
  <c r="AF703" i="1"/>
  <c r="AH703" i="1" s="1"/>
  <c r="AE703" i="1"/>
  <c r="AA703" i="1"/>
  <c r="AC703" i="1" s="1"/>
  <c r="Z703" i="1"/>
  <c r="W703" i="1"/>
  <c r="Q703" i="1"/>
  <c r="L703" i="1"/>
  <c r="F703" i="1"/>
  <c r="AF702" i="1"/>
  <c r="AE702" i="1"/>
  <c r="AA702" i="1"/>
  <c r="Z702" i="1"/>
  <c r="W702" i="1"/>
  <c r="Q702" i="1"/>
  <c r="L702" i="1"/>
  <c r="F702" i="1"/>
  <c r="AF701" i="1"/>
  <c r="AE701" i="1"/>
  <c r="AH701" i="1" s="1"/>
  <c r="AA701" i="1"/>
  <c r="Z701" i="1"/>
  <c r="AC701" i="1" s="1"/>
  <c r="W701" i="1"/>
  <c r="Q701" i="1"/>
  <c r="L701" i="1"/>
  <c r="F701" i="1"/>
  <c r="AF700" i="1"/>
  <c r="AH700" i="1" s="1"/>
  <c r="AE700" i="1"/>
  <c r="AA700" i="1"/>
  <c r="Z700" i="1"/>
  <c r="W700" i="1"/>
  <c r="Q700" i="1"/>
  <c r="L700" i="1"/>
  <c r="F700" i="1"/>
  <c r="AF699" i="1"/>
  <c r="AE699" i="1"/>
  <c r="AA699" i="1"/>
  <c r="Z699" i="1"/>
  <c r="W699" i="1"/>
  <c r="Q699" i="1"/>
  <c r="L699" i="1"/>
  <c r="F699" i="1"/>
  <c r="AF698" i="1"/>
  <c r="AE698" i="1"/>
  <c r="AA698" i="1"/>
  <c r="Z698" i="1"/>
  <c r="W698" i="1"/>
  <c r="Q698" i="1"/>
  <c r="L698" i="1"/>
  <c r="F698" i="1"/>
  <c r="AF697" i="1"/>
  <c r="AH697" i="1" s="1"/>
  <c r="AE697" i="1"/>
  <c r="AA697" i="1"/>
  <c r="Z697" i="1"/>
  <c r="W697" i="1"/>
  <c r="Q697" i="1"/>
  <c r="L697" i="1"/>
  <c r="F697" i="1"/>
  <c r="AF696" i="1"/>
  <c r="AH696" i="1" s="1"/>
  <c r="AE696" i="1"/>
  <c r="AA696" i="1"/>
  <c r="Z696" i="1"/>
  <c r="W696" i="1"/>
  <c r="Q696" i="1"/>
  <c r="L696" i="1"/>
  <c r="F696" i="1"/>
  <c r="AF695" i="1"/>
  <c r="AE695" i="1"/>
  <c r="AA695" i="1"/>
  <c r="Z695" i="1"/>
  <c r="W695" i="1"/>
  <c r="Q695" i="1"/>
  <c r="L695" i="1"/>
  <c r="F695" i="1"/>
  <c r="AF694" i="1"/>
  <c r="AE694" i="1"/>
  <c r="AA694" i="1"/>
  <c r="Z694" i="1"/>
  <c r="W694" i="1"/>
  <c r="Q694" i="1"/>
  <c r="L694" i="1"/>
  <c r="F694" i="1"/>
  <c r="AF693" i="1"/>
  <c r="AE693" i="1"/>
  <c r="AH693" i="1" s="1"/>
  <c r="AA693" i="1"/>
  <c r="Z693" i="1"/>
  <c r="W693" i="1"/>
  <c r="Q693" i="1"/>
  <c r="L693" i="1"/>
  <c r="F693" i="1"/>
  <c r="AF692" i="1"/>
  <c r="AE692" i="1"/>
  <c r="AA692" i="1"/>
  <c r="Z692" i="1"/>
  <c r="W692" i="1"/>
  <c r="Q692" i="1"/>
  <c r="L692" i="1"/>
  <c r="F692" i="1"/>
  <c r="AF691" i="1"/>
  <c r="AE691" i="1"/>
  <c r="AA691" i="1"/>
  <c r="Z691" i="1"/>
  <c r="W691" i="1"/>
  <c r="Q691" i="1"/>
  <c r="L691" i="1"/>
  <c r="F691" i="1"/>
  <c r="AF690" i="1"/>
  <c r="AH690" i="1" s="1"/>
  <c r="AE690" i="1"/>
  <c r="AA690" i="1"/>
  <c r="Z690" i="1"/>
  <c r="W690" i="1"/>
  <c r="Q690" i="1"/>
  <c r="L690" i="1"/>
  <c r="F690" i="1"/>
  <c r="AF689" i="1"/>
  <c r="AE689" i="1"/>
  <c r="AA689" i="1"/>
  <c r="Z689" i="1"/>
  <c r="W689" i="1"/>
  <c r="Q689" i="1"/>
  <c r="L689" i="1"/>
  <c r="F689" i="1"/>
  <c r="AF688" i="1"/>
  <c r="AE688" i="1"/>
  <c r="AA688" i="1"/>
  <c r="Z688" i="1"/>
  <c r="W688" i="1"/>
  <c r="Q688" i="1"/>
  <c r="L688" i="1"/>
  <c r="F688" i="1"/>
  <c r="AF687" i="1"/>
  <c r="AH687" i="1" s="1"/>
  <c r="AE687" i="1"/>
  <c r="AA687" i="1"/>
  <c r="Z687" i="1"/>
  <c r="W687" i="1"/>
  <c r="Q687" i="1"/>
  <c r="L687" i="1"/>
  <c r="F687" i="1"/>
  <c r="AF686" i="1"/>
  <c r="AE686" i="1"/>
  <c r="AA686" i="1"/>
  <c r="Z686" i="1"/>
  <c r="W686" i="1"/>
  <c r="Q686" i="1"/>
  <c r="L686" i="1"/>
  <c r="F686" i="1"/>
  <c r="AF685" i="1"/>
  <c r="AE685" i="1"/>
  <c r="AA685" i="1"/>
  <c r="Z685" i="1"/>
  <c r="AC685" i="1" s="1"/>
  <c r="W685" i="1"/>
  <c r="Q685" i="1"/>
  <c r="L685" i="1"/>
  <c r="F685" i="1"/>
  <c r="AF684" i="1"/>
  <c r="AE684" i="1"/>
  <c r="AA684" i="1"/>
  <c r="Z684" i="1"/>
  <c r="W684" i="1"/>
  <c r="Q684" i="1"/>
  <c r="L684" i="1"/>
  <c r="F684" i="1"/>
  <c r="AF683" i="1"/>
  <c r="AH683" i="1" s="1"/>
  <c r="AE683" i="1"/>
  <c r="AA683" i="1"/>
  <c r="Z683" i="1"/>
  <c r="W683" i="1"/>
  <c r="Q683" i="1"/>
  <c r="L683" i="1"/>
  <c r="F683" i="1"/>
  <c r="AF682" i="1"/>
  <c r="AH682" i="1" s="1"/>
  <c r="AE682" i="1"/>
  <c r="AA682" i="1"/>
  <c r="Z682" i="1"/>
  <c r="W682" i="1"/>
  <c r="Q682" i="1"/>
  <c r="L682" i="1"/>
  <c r="F682" i="1"/>
  <c r="AF681" i="1"/>
  <c r="AE681" i="1"/>
  <c r="AA681" i="1"/>
  <c r="Z681" i="1"/>
  <c r="W681" i="1"/>
  <c r="Q681" i="1"/>
  <c r="L681" i="1"/>
  <c r="F681" i="1"/>
  <c r="AF680" i="1"/>
  <c r="AH680" i="1" s="1"/>
  <c r="AE680" i="1"/>
  <c r="AA680" i="1"/>
  <c r="Z680" i="1"/>
  <c r="W680" i="1"/>
  <c r="Q680" i="1"/>
  <c r="L680" i="1"/>
  <c r="F680" i="1"/>
  <c r="AF679" i="1"/>
  <c r="AE679" i="1"/>
  <c r="AA679" i="1"/>
  <c r="Z679" i="1"/>
  <c r="W679" i="1"/>
  <c r="Q679" i="1"/>
  <c r="L679" i="1"/>
  <c r="F679" i="1"/>
  <c r="AF678" i="1"/>
  <c r="AH678" i="1" s="1"/>
  <c r="AE678" i="1"/>
  <c r="AA678" i="1"/>
  <c r="Z678" i="1"/>
  <c r="W678" i="1"/>
  <c r="Q678" i="1"/>
  <c r="L678" i="1"/>
  <c r="F678" i="1"/>
  <c r="AF677" i="1"/>
  <c r="AE677" i="1"/>
  <c r="AH677" i="1" s="1"/>
  <c r="AA677" i="1"/>
  <c r="Z677" i="1"/>
  <c r="W677" i="1"/>
  <c r="Q677" i="1"/>
  <c r="L677" i="1"/>
  <c r="F677" i="1"/>
  <c r="AF676" i="1"/>
  <c r="AE676" i="1"/>
  <c r="AA676" i="1"/>
  <c r="Z676" i="1"/>
  <c r="W676" i="1"/>
  <c r="Q676" i="1"/>
  <c r="L676" i="1"/>
  <c r="F676" i="1"/>
  <c r="AF675" i="1"/>
  <c r="AH675" i="1" s="1"/>
  <c r="AE675" i="1"/>
  <c r="AA675" i="1"/>
  <c r="Z675" i="1"/>
  <c r="W675" i="1"/>
  <c r="Q675" i="1"/>
  <c r="L675" i="1"/>
  <c r="F675" i="1"/>
  <c r="AF674" i="1"/>
  <c r="AH674" i="1" s="1"/>
  <c r="AE674" i="1"/>
  <c r="AA674" i="1"/>
  <c r="Z674" i="1"/>
  <c r="W674" i="1"/>
  <c r="Q674" i="1"/>
  <c r="L674" i="1"/>
  <c r="F674" i="1"/>
  <c r="AF673" i="1"/>
  <c r="AE673" i="1"/>
  <c r="AA673" i="1"/>
  <c r="Z673" i="1"/>
  <c r="W673" i="1"/>
  <c r="Q673" i="1"/>
  <c r="L673" i="1"/>
  <c r="F673" i="1"/>
  <c r="AF672" i="1"/>
  <c r="AH672" i="1" s="1"/>
  <c r="AE672" i="1"/>
  <c r="AA672" i="1"/>
  <c r="Z672" i="1"/>
  <c r="W672" i="1"/>
  <c r="Q672" i="1"/>
  <c r="L672" i="1"/>
  <c r="F672" i="1"/>
  <c r="AF671" i="1"/>
  <c r="AE671" i="1"/>
  <c r="AA671" i="1"/>
  <c r="Z671" i="1"/>
  <c r="AC671" i="1" s="1"/>
  <c r="W671" i="1"/>
  <c r="Q671" i="1"/>
  <c r="L671" i="1"/>
  <c r="F671" i="1"/>
  <c r="AF670" i="1"/>
  <c r="AH670" i="1" s="1"/>
  <c r="AE670" i="1"/>
  <c r="AA670" i="1"/>
  <c r="Z670" i="1"/>
  <c r="W670" i="1"/>
  <c r="Q670" i="1"/>
  <c r="L670" i="1"/>
  <c r="F670" i="1"/>
  <c r="AF669" i="1"/>
  <c r="AE669" i="1"/>
  <c r="AA669" i="1"/>
  <c r="Z669" i="1"/>
  <c r="W669" i="1"/>
  <c r="Q669" i="1"/>
  <c r="L669" i="1"/>
  <c r="F669" i="1"/>
  <c r="AH668" i="1"/>
  <c r="AF668" i="1"/>
  <c r="AE668" i="1"/>
  <c r="AA668" i="1"/>
  <c r="Z668" i="1"/>
  <c r="W668" i="1"/>
  <c r="Q668" i="1"/>
  <c r="L668" i="1"/>
  <c r="F668" i="1"/>
  <c r="AF667" i="1"/>
  <c r="AH667" i="1" s="1"/>
  <c r="AE667" i="1"/>
  <c r="AC667" i="1"/>
  <c r="AA667" i="1"/>
  <c r="Z667" i="1"/>
  <c r="W667" i="1"/>
  <c r="Q667" i="1"/>
  <c r="L667" i="1"/>
  <c r="F667" i="1"/>
  <c r="AF666" i="1"/>
  <c r="AE666" i="1"/>
  <c r="AH666" i="1" s="1"/>
  <c r="AA666" i="1"/>
  <c r="Z666" i="1"/>
  <c r="W666" i="1"/>
  <c r="Q666" i="1"/>
  <c r="L666" i="1"/>
  <c r="F666" i="1"/>
  <c r="AF665" i="1"/>
  <c r="AH665" i="1" s="1"/>
  <c r="AE665" i="1"/>
  <c r="AA665" i="1"/>
  <c r="Z665" i="1"/>
  <c r="AC665" i="1" s="1"/>
  <c r="W665" i="1"/>
  <c r="Q665" i="1"/>
  <c r="L665" i="1"/>
  <c r="F665" i="1"/>
  <c r="AF664" i="1"/>
  <c r="AH664" i="1" s="1"/>
  <c r="AE664" i="1"/>
  <c r="AA664" i="1"/>
  <c r="Z664" i="1"/>
  <c r="W664" i="1"/>
  <c r="Q664" i="1"/>
  <c r="L664" i="1"/>
  <c r="F664" i="1"/>
  <c r="AF663" i="1"/>
  <c r="AE663" i="1"/>
  <c r="AA663" i="1"/>
  <c r="Z663" i="1"/>
  <c r="W663" i="1"/>
  <c r="Q663" i="1"/>
  <c r="L663" i="1"/>
  <c r="F663" i="1"/>
  <c r="AF662" i="1"/>
  <c r="AE662" i="1"/>
  <c r="AA662" i="1"/>
  <c r="Z662" i="1"/>
  <c r="W662" i="1"/>
  <c r="Q662" i="1"/>
  <c r="L662" i="1"/>
  <c r="F662" i="1"/>
  <c r="AF661" i="1"/>
  <c r="AE661" i="1"/>
  <c r="AH661" i="1" s="1"/>
  <c r="AA661" i="1"/>
  <c r="AC661" i="1" s="1"/>
  <c r="Z661" i="1"/>
  <c r="W661" i="1"/>
  <c r="Q661" i="1"/>
  <c r="L661" i="1"/>
  <c r="F661" i="1"/>
  <c r="AF660" i="1"/>
  <c r="AE660" i="1"/>
  <c r="AH660" i="1" s="1"/>
  <c r="AA660" i="1"/>
  <c r="Z660" i="1"/>
  <c r="W660" i="1"/>
  <c r="Q660" i="1"/>
  <c r="L660" i="1"/>
  <c r="F660" i="1"/>
  <c r="AF659" i="1"/>
  <c r="AH659" i="1" s="1"/>
  <c r="AE659" i="1"/>
  <c r="AA659" i="1"/>
  <c r="Z659" i="1"/>
  <c r="W659" i="1"/>
  <c r="Q659" i="1"/>
  <c r="L659" i="1"/>
  <c r="F659" i="1"/>
  <c r="AF658" i="1"/>
  <c r="AE658" i="1"/>
  <c r="AA658" i="1"/>
  <c r="Z658" i="1"/>
  <c r="W658" i="1"/>
  <c r="Q658" i="1"/>
  <c r="L658" i="1"/>
  <c r="F658" i="1"/>
  <c r="AF657" i="1"/>
  <c r="AE657" i="1"/>
  <c r="AA657" i="1"/>
  <c r="AC657" i="1" s="1"/>
  <c r="Z657" i="1"/>
  <c r="W657" i="1"/>
  <c r="Q657" i="1"/>
  <c r="L657" i="1"/>
  <c r="F657" i="1"/>
  <c r="AF656" i="1"/>
  <c r="AE656" i="1"/>
  <c r="AA656" i="1"/>
  <c r="Z656" i="1"/>
  <c r="W656" i="1"/>
  <c r="Q656" i="1"/>
  <c r="L656" i="1"/>
  <c r="F656" i="1"/>
  <c r="AF655" i="1"/>
  <c r="AH655" i="1" s="1"/>
  <c r="AE655" i="1"/>
  <c r="AA655" i="1"/>
  <c r="AC655" i="1" s="1"/>
  <c r="Z655" i="1"/>
  <c r="W655" i="1"/>
  <c r="Q655" i="1"/>
  <c r="L655" i="1"/>
  <c r="F655" i="1"/>
  <c r="AF654" i="1"/>
  <c r="AE654" i="1"/>
  <c r="AA654" i="1"/>
  <c r="Z654" i="1"/>
  <c r="W654" i="1"/>
  <c r="Q654" i="1"/>
  <c r="L654" i="1"/>
  <c r="F654" i="1"/>
  <c r="AF653" i="1"/>
  <c r="AH653" i="1" s="1"/>
  <c r="AE653" i="1"/>
  <c r="AA653" i="1"/>
  <c r="Z653" i="1"/>
  <c r="AC653" i="1" s="1"/>
  <c r="W653" i="1"/>
  <c r="Q653" i="1"/>
  <c r="L653" i="1"/>
  <c r="F653" i="1"/>
  <c r="AF652" i="1"/>
  <c r="AE652" i="1"/>
  <c r="AA652" i="1"/>
  <c r="Z652" i="1"/>
  <c r="W652" i="1"/>
  <c r="Q652" i="1"/>
  <c r="L652" i="1"/>
  <c r="F652" i="1"/>
  <c r="AF651" i="1"/>
  <c r="AE651" i="1"/>
  <c r="AA651" i="1"/>
  <c r="Z651" i="1"/>
  <c r="W651" i="1"/>
  <c r="Q651" i="1"/>
  <c r="L651" i="1"/>
  <c r="F651" i="1"/>
  <c r="AF650" i="1"/>
  <c r="AE650" i="1"/>
  <c r="AH650" i="1" s="1"/>
  <c r="AA650" i="1"/>
  <c r="Z650" i="1"/>
  <c r="AC650" i="1" s="1"/>
  <c r="W650" i="1"/>
  <c r="Q650" i="1"/>
  <c r="L650" i="1"/>
  <c r="F650" i="1"/>
  <c r="AF649" i="1"/>
  <c r="AE649" i="1"/>
  <c r="AA649" i="1"/>
  <c r="Z649" i="1"/>
  <c r="W649" i="1"/>
  <c r="Q649" i="1"/>
  <c r="L649" i="1"/>
  <c r="F649" i="1"/>
  <c r="AF648" i="1"/>
  <c r="AH648" i="1" s="1"/>
  <c r="AE648" i="1"/>
  <c r="AA648" i="1"/>
  <c r="Z648" i="1"/>
  <c r="W648" i="1"/>
  <c r="Q648" i="1"/>
  <c r="L648" i="1"/>
  <c r="F648" i="1"/>
  <c r="AF647" i="1"/>
  <c r="AE647" i="1"/>
  <c r="AH647" i="1" s="1"/>
  <c r="AA647" i="1"/>
  <c r="Z647" i="1"/>
  <c r="W647" i="1"/>
  <c r="Q647" i="1"/>
  <c r="L647" i="1"/>
  <c r="F647" i="1"/>
  <c r="AF646" i="1"/>
  <c r="AE646" i="1"/>
  <c r="AA646" i="1"/>
  <c r="AC646" i="1" s="1"/>
  <c r="Z646" i="1"/>
  <c r="W646" i="1"/>
  <c r="Q646" i="1"/>
  <c r="L646" i="1"/>
  <c r="F646" i="1"/>
  <c r="AF645" i="1"/>
  <c r="AE645" i="1"/>
  <c r="AH645" i="1" s="1"/>
  <c r="AA645" i="1"/>
  <c r="Z645" i="1"/>
  <c r="W645" i="1"/>
  <c r="Q645" i="1"/>
  <c r="L645" i="1"/>
  <c r="F645" i="1"/>
  <c r="AF644" i="1"/>
  <c r="AE644" i="1"/>
  <c r="AH644" i="1" s="1"/>
  <c r="AA644" i="1"/>
  <c r="AC644" i="1" s="1"/>
  <c r="Z644" i="1"/>
  <c r="W644" i="1"/>
  <c r="Q644" i="1"/>
  <c r="L644" i="1"/>
  <c r="F644" i="1"/>
  <c r="AF643" i="1"/>
  <c r="AE643" i="1"/>
  <c r="AA643" i="1"/>
  <c r="Z643" i="1"/>
  <c r="W643" i="1"/>
  <c r="Q643" i="1"/>
  <c r="L643" i="1"/>
  <c r="F643" i="1"/>
  <c r="AF642" i="1"/>
  <c r="AE642" i="1"/>
  <c r="AA642" i="1"/>
  <c r="Z642" i="1"/>
  <c r="W642" i="1"/>
  <c r="Q642" i="1"/>
  <c r="L642" i="1"/>
  <c r="F642" i="1"/>
  <c r="AF641" i="1"/>
  <c r="AH641" i="1" s="1"/>
  <c r="AE641" i="1"/>
  <c r="AA641" i="1"/>
  <c r="Z641" i="1"/>
  <c r="W641" i="1"/>
  <c r="Q641" i="1"/>
  <c r="L641" i="1"/>
  <c r="F641" i="1"/>
  <c r="AF640" i="1"/>
  <c r="AH640" i="1" s="1"/>
  <c r="AE640" i="1"/>
  <c r="AA640" i="1"/>
  <c r="Z640" i="1"/>
  <c r="AC640" i="1" s="1"/>
  <c r="W640" i="1"/>
  <c r="Q640" i="1"/>
  <c r="L640" i="1"/>
  <c r="F640" i="1"/>
  <c r="AF639" i="1"/>
  <c r="AH639" i="1" s="1"/>
  <c r="AE639" i="1"/>
  <c r="AA639" i="1"/>
  <c r="Z639" i="1"/>
  <c r="AC639" i="1" s="1"/>
  <c r="W639" i="1"/>
  <c r="Q639" i="1"/>
  <c r="L639" i="1"/>
  <c r="F639" i="1"/>
  <c r="AF638" i="1"/>
  <c r="AE638" i="1"/>
  <c r="AA638" i="1"/>
  <c r="Z638" i="1"/>
  <c r="W638" i="1"/>
  <c r="Q638" i="1"/>
  <c r="L638" i="1"/>
  <c r="F638" i="1"/>
  <c r="AF637" i="1"/>
  <c r="AH637" i="1" s="1"/>
  <c r="AE637" i="1"/>
  <c r="AA637" i="1"/>
  <c r="Z637" i="1"/>
  <c r="AC637" i="1" s="1"/>
  <c r="W637" i="1"/>
  <c r="Q637" i="1"/>
  <c r="L637" i="1"/>
  <c r="F637" i="1"/>
  <c r="AF636" i="1"/>
  <c r="AE636" i="1"/>
  <c r="AA636" i="1"/>
  <c r="Z636" i="1"/>
  <c r="W636" i="1"/>
  <c r="Q636" i="1"/>
  <c r="L636" i="1"/>
  <c r="F636" i="1"/>
  <c r="AF635" i="1"/>
  <c r="AH635" i="1" s="1"/>
  <c r="AE635" i="1"/>
  <c r="AA635" i="1"/>
  <c r="Z635" i="1"/>
  <c r="AC635" i="1" s="1"/>
  <c r="W635" i="1"/>
  <c r="Q635" i="1"/>
  <c r="L635" i="1"/>
  <c r="F635" i="1"/>
  <c r="AF634" i="1"/>
  <c r="AE634" i="1"/>
  <c r="AH634" i="1" s="1"/>
  <c r="AA634" i="1"/>
  <c r="Z634" i="1"/>
  <c r="W634" i="1"/>
  <c r="Q634" i="1"/>
  <c r="L634" i="1"/>
  <c r="F634" i="1"/>
  <c r="AH633" i="1"/>
  <c r="AF633" i="1"/>
  <c r="AE633" i="1"/>
  <c r="AA633" i="1"/>
  <c r="Z633" i="1"/>
  <c r="W633" i="1"/>
  <c r="Q633" i="1"/>
  <c r="L633" i="1"/>
  <c r="F633" i="1"/>
  <c r="AF632" i="1"/>
  <c r="AE632" i="1"/>
  <c r="AH632" i="1" s="1"/>
  <c r="AA632" i="1"/>
  <c r="Z632" i="1"/>
  <c r="W632" i="1"/>
  <c r="Q632" i="1"/>
  <c r="L632" i="1"/>
  <c r="F632" i="1"/>
  <c r="AF631" i="1"/>
  <c r="AE631" i="1"/>
  <c r="AH631" i="1" s="1"/>
  <c r="AA631" i="1"/>
  <c r="Z631" i="1"/>
  <c r="W631" i="1"/>
  <c r="Q631" i="1"/>
  <c r="L631" i="1"/>
  <c r="F631" i="1"/>
  <c r="AF630" i="1"/>
  <c r="AH630" i="1" s="1"/>
  <c r="AE630" i="1"/>
  <c r="AA630" i="1"/>
  <c r="Z630" i="1"/>
  <c r="W630" i="1"/>
  <c r="Q630" i="1"/>
  <c r="L630" i="1"/>
  <c r="F630" i="1"/>
  <c r="AF629" i="1"/>
  <c r="AE629" i="1"/>
  <c r="AA629" i="1"/>
  <c r="Z629" i="1"/>
  <c r="W629" i="1"/>
  <c r="Q629" i="1"/>
  <c r="L629" i="1"/>
  <c r="F629" i="1"/>
  <c r="AF628" i="1"/>
  <c r="AE628" i="1"/>
  <c r="AH628" i="1" s="1"/>
  <c r="AA628" i="1"/>
  <c r="Z628" i="1"/>
  <c r="W628" i="1"/>
  <c r="Q628" i="1"/>
  <c r="L628" i="1"/>
  <c r="F628" i="1"/>
  <c r="AF627" i="1"/>
  <c r="AE627" i="1"/>
  <c r="AA627" i="1"/>
  <c r="Z627" i="1"/>
  <c r="W627" i="1"/>
  <c r="Q627" i="1"/>
  <c r="L627" i="1"/>
  <c r="F627" i="1"/>
  <c r="AF626" i="1"/>
  <c r="AH626" i="1" s="1"/>
  <c r="AE626" i="1"/>
  <c r="AA626" i="1"/>
  <c r="Z626" i="1"/>
  <c r="W626" i="1"/>
  <c r="Q626" i="1"/>
  <c r="L626" i="1"/>
  <c r="F626" i="1"/>
  <c r="AF625" i="1"/>
  <c r="AE625" i="1"/>
  <c r="AA625" i="1"/>
  <c r="Z625" i="1"/>
  <c r="W625" i="1"/>
  <c r="Q625" i="1"/>
  <c r="L625" i="1"/>
  <c r="F625" i="1"/>
  <c r="AF624" i="1"/>
  <c r="AE624" i="1"/>
  <c r="AA624" i="1"/>
  <c r="Z624" i="1"/>
  <c r="AC624" i="1" s="1"/>
  <c r="W624" i="1"/>
  <c r="Q624" i="1"/>
  <c r="L624" i="1"/>
  <c r="F624" i="1"/>
  <c r="AF623" i="1"/>
  <c r="AE623" i="1"/>
  <c r="AA623" i="1"/>
  <c r="AC623" i="1" s="1"/>
  <c r="Z623" i="1"/>
  <c r="W623" i="1"/>
  <c r="Q623" i="1"/>
  <c r="L623" i="1"/>
  <c r="F623" i="1"/>
  <c r="AF622" i="1"/>
  <c r="AE622" i="1"/>
  <c r="AA622" i="1"/>
  <c r="Z622" i="1"/>
  <c r="W622" i="1"/>
  <c r="Q622" i="1"/>
  <c r="L622" i="1"/>
  <c r="F622" i="1"/>
  <c r="AF621" i="1"/>
  <c r="AE621" i="1"/>
  <c r="AA621" i="1"/>
  <c r="Z621" i="1"/>
  <c r="AC621" i="1" s="1"/>
  <c r="W621" i="1"/>
  <c r="Q621" i="1"/>
  <c r="L621" i="1"/>
  <c r="F621" i="1"/>
  <c r="AF620" i="1"/>
  <c r="AH620" i="1" s="1"/>
  <c r="AE620" i="1"/>
  <c r="AA620" i="1"/>
  <c r="Z620" i="1"/>
  <c r="AC620" i="1" s="1"/>
  <c r="W620" i="1"/>
  <c r="Q620" i="1"/>
  <c r="L620" i="1"/>
  <c r="F620" i="1"/>
  <c r="AF619" i="1"/>
  <c r="AE619" i="1"/>
  <c r="AA619" i="1"/>
  <c r="Z619" i="1"/>
  <c r="AC619" i="1" s="1"/>
  <c r="W619" i="1"/>
  <c r="Q619" i="1"/>
  <c r="L619" i="1"/>
  <c r="F619" i="1"/>
  <c r="AF618" i="1"/>
  <c r="AH618" i="1" s="1"/>
  <c r="AE618" i="1"/>
  <c r="AA618" i="1"/>
  <c r="Z618" i="1"/>
  <c r="W618" i="1"/>
  <c r="Q618" i="1"/>
  <c r="L618" i="1"/>
  <c r="F618" i="1"/>
  <c r="AF617" i="1"/>
  <c r="AE617" i="1"/>
  <c r="AA617" i="1"/>
  <c r="Z617" i="1"/>
  <c r="W617" i="1"/>
  <c r="Q617" i="1"/>
  <c r="L617" i="1"/>
  <c r="F617" i="1"/>
  <c r="AF616" i="1"/>
  <c r="AH616" i="1" s="1"/>
  <c r="AE616" i="1"/>
  <c r="AA616" i="1"/>
  <c r="Z616" i="1"/>
  <c r="W616" i="1"/>
  <c r="Q616" i="1"/>
  <c r="L616" i="1"/>
  <c r="F616" i="1"/>
  <c r="AF615" i="1"/>
  <c r="AE615" i="1"/>
  <c r="AH615" i="1" s="1"/>
  <c r="AA615" i="1"/>
  <c r="Z615" i="1"/>
  <c r="W615" i="1"/>
  <c r="Q615" i="1"/>
  <c r="L615" i="1"/>
  <c r="F615" i="1"/>
  <c r="AF614" i="1"/>
  <c r="AE614" i="1"/>
  <c r="AA614" i="1"/>
  <c r="Z614" i="1"/>
  <c r="W614" i="1"/>
  <c r="Q614" i="1"/>
  <c r="L614" i="1"/>
  <c r="F614" i="1"/>
  <c r="AF613" i="1"/>
  <c r="AE613" i="1"/>
  <c r="AA613" i="1"/>
  <c r="Z613" i="1"/>
  <c r="W613" i="1"/>
  <c r="Q613" i="1"/>
  <c r="L613" i="1"/>
  <c r="F613" i="1"/>
  <c r="AF612" i="1"/>
  <c r="AE612" i="1"/>
  <c r="AH612" i="1" s="1"/>
  <c r="AA612" i="1"/>
  <c r="Z612" i="1"/>
  <c r="W612" i="1"/>
  <c r="Q612" i="1"/>
  <c r="L612" i="1"/>
  <c r="F612" i="1"/>
  <c r="AF611" i="1"/>
  <c r="AE611" i="1"/>
  <c r="AA611" i="1"/>
  <c r="Z611" i="1"/>
  <c r="W611" i="1"/>
  <c r="Q611" i="1"/>
  <c r="L611" i="1"/>
  <c r="F611" i="1"/>
  <c r="AF610" i="1"/>
  <c r="AH610" i="1" s="1"/>
  <c r="AE610" i="1"/>
  <c r="AA610" i="1"/>
  <c r="Z610" i="1"/>
  <c r="W610" i="1"/>
  <c r="Q610" i="1"/>
  <c r="L610" i="1"/>
  <c r="F610" i="1"/>
  <c r="AF609" i="1"/>
  <c r="AE609" i="1"/>
  <c r="AA609" i="1"/>
  <c r="Z609" i="1"/>
  <c r="W609" i="1"/>
  <c r="Q609" i="1"/>
  <c r="L609" i="1"/>
  <c r="F609" i="1"/>
  <c r="AF608" i="1"/>
  <c r="AH608" i="1" s="1"/>
  <c r="AE608" i="1"/>
  <c r="AA608" i="1"/>
  <c r="Z608" i="1"/>
  <c r="W608" i="1"/>
  <c r="Q608" i="1"/>
  <c r="L608" i="1"/>
  <c r="F608" i="1"/>
  <c r="AH607" i="1"/>
  <c r="AF607" i="1"/>
  <c r="AE607" i="1"/>
  <c r="AA607" i="1"/>
  <c r="Z607" i="1"/>
  <c r="AC607" i="1" s="1"/>
  <c r="W607" i="1"/>
  <c r="Q607" i="1"/>
  <c r="L607" i="1"/>
  <c r="F607" i="1"/>
  <c r="AF606" i="1"/>
  <c r="AH606" i="1" s="1"/>
  <c r="AE606" i="1"/>
  <c r="AA606" i="1"/>
  <c r="Z606" i="1"/>
  <c r="W606" i="1"/>
  <c r="Q606" i="1"/>
  <c r="L606" i="1"/>
  <c r="F606" i="1"/>
  <c r="AF605" i="1"/>
  <c r="AH605" i="1" s="1"/>
  <c r="AE605" i="1"/>
  <c r="AA605" i="1"/>
  <c r="Z605" i="1"/>
  <c r="AC605" i="1" s="1"/>
  <c r="W605" i="1"/>
  <c r="Q605" i="1"/>
  <c r="L605" i="1"/>
  <c r="F605" i="1"/>
  <c r="AF604" i="1"/>
  <c r="AH604" i="1" s="1"/>
  <c r="AE604" i="1"/>
  <c r="AA604" i="1"/>
  <c r="Z604" i="1"/>
  <c r="W604" i="1"/>
  <c r="Q604" i="1"/>
  <c r="L604" i="1"/>
  <c r="F604" i="1"/>
  <c r="AF603" i="1"/>
  <c r="AE603" i="1"/>
  <c r="AA603" i="1"/>
  <c r="Z603" i="1"/>
  <c r="AC603" i="1" s="1"/>
  <c r="W603" i="1"/>
  <c r="Q603" i="1"/>
  <c r="L603" i="1"/>
  <c r="F603" i="1"/>
  <c r="AF602" i="1"/>
  <c r="AE602" i="1"/>
  <c r="AA602" i="1"/>
  <c r="Z602" i="1"/>
  <c r="W602" i="1"/>
  <c r="Q602" i="1"/>
  <c r="L602" i="1"/>
  <c r="F602" i="1"/>
  <c r="AF601" i="1"/>
  <c r="AH601" i="1" s="1"/>
  <c r="AE601" i="1"/>
  <c r="AA601" i="1"/>
  <c r="Z601" i="1"/>
  <c r="W601" i="1"/>
  <c r="Q601" i="1"/>
  <c r="L601" i="1"/>
  <c r="F601" i="1"/>
  <c r="AH600" i="1"/>
  <c r="AF600" i="1"/>
  <c r="AE600" i="1"/>
  <c r="AA600" i="1"/>
  <c r="Z600" i="1"/>
  <c r="W600" i="1"/>
  <c r="Q600" i="1"/>
  <c r="L600" i="1"/>
  <c r="F600" i="1"/>
  <c r="AH599" i="1"/>
  <c r="AF599" i="1"/>
  <c r="AE599" i="1"/>
  <c r="AA599" i="1"/>
  <c r="Z599" i="1"/>
  <c r="W599" i="1"/>
  <c r="Q599" i="1"/>
  <c r="L599" i="1"/>
  <c r="F599" i="1"/>
  <c r="AF598" i="1"/>
  <c r="AE598" i="1"/>
  <c r="AA598" i="1"/>
  <c r="Z598" i="1"/>
  <c r="W598" i="1"/>
  <c r="Q598" i="1"/>
  <c r="L598" i="1"/>
  <c r="F598" i="1"/>
  <c r="AF597" i="1"/>
  <c r="AE597" i="1"/>
  <c r="AA597" i="1"/>
  <c r="Z597" i="1"/>
  <c r="W597" i="1"/>
  <c r="Q597" i="1"/>
  <c r="L597" i="1"/>
  <c r="F597" i="1"/>
  <c r="AF596" i="1"/>
  <c r="AE596" i="1"/>
  <c r="AH596" i="1" s="1"/>
  <c r="AA596" i="1"/>
  <c r="Z596" i="1"/>
  <c r="W596" i="1"/>
  <c r="Q596" i="1"/>
  <c r="L596" i="1"/>
  <c r="F596" i="1"/>
  <c r="AF595" i="1"/>
  <c r="AE595" i="1"/>
  <c r="AA595" i="1"/>
  <c r="Z595" i="1"/>
  <c r="W595" i="1"/>
  <c r="Q595" i="1"/>
  <c r="L595" i="1"/>
  <c r="F595" i="1"/>
  <c r="AF594" i="1"/>
  <c r="AE594" i="1"/>
  <c r="AA594" i="1"/>
  <c r="Z594" i="1"/>
  <c r="W594" i="1"/>
  <c r="Q594" i="1"/>
  <c r="L594" i="1"/>
  <c r="F594" i="1"/>
  <c r="AF593" i="1"/>
  <c r="AE593" i="1"/>
  <c r="AA593" i="1"/>
  <c r="Z593" i="1"/>
  <c r="W593" i="1"/>
  <c r="Q593" i="1"/>
  <c r="L593" i="1"/>
  <c r="F593" i="1"/>
  <c r="AF592" i="1"/>
  <c r="AE592" i="1"/>
  <c r="AA592" i="1"/>
  <c r="Z592" i="1"/>
  <c r="AC592" i="1" s="1"/>
  <c r="W592" i="1"/>
  <c r="Q592" i="1"/>
  <c r="L592" i="1"/>
  <c r="F592" i="1"/>
  <c r="AF591" i="1"/>
  <c r="AH591" i="1" s="1"/>
  <c r="AE591" i="1"/>
  <c r="AA591" i="1"/>
  <c r="Z591" i="1"/>
  <c r="W591" i="1"/>
  <c r="Q591" i="1"/>
  <c r="L591" i="1"/>
  <c r="F591" i="1"/>
  <c r="AF590" i="1"/>
  <c r="AE590" i="1"/>
  <c r="AA590" i="1"/>
  <c r="Z590" i="1"/>
  <c r="W590" i="1"/>
  <c r="Q590" i="1"/>
  <c r="L590" i="1"/>
  <c r="F590" i="1"/>
  <c r="AF589" i="1"/>
  <c r="AH589" i="1" s="1"/>
  <c r="AE589" i="1"/>
  <c r="AA589" i="1"/>
  <c r="Z589" i="1"/>
  <c r="AC589" i="1" s="1"/>
  <c r="W589" i="1"/>
  <c r="Q589" i="1"/>
  <c r="L589" i="1"/>
  <c r="F589" i="1"/>
  <c r="AF588" i="1"/>
  <c r="AE588" i="1"/>
  <c r="AA588" i="1"/>
  <c r="Z588" i="1"/>
  <c r="W588" i="1"/>
  <c r="Q588" i="1"/>
  <c r="L588" i="1"/>
  <c r="F588" i="1"/>
  <c r="AF587" i="1"/>
  <c r="AE587" i="1"/>
  <c r="AA587" i="1"/>
  <c r="Z587" i="1"/>
  <c r="W587" i="1"/>
  <c r="Q587" i="1"/>
  <c r="L587" i="1"/>
  <c r="F587" i="1"/>
  <c r="AF586" i="1"/>
  <c r="AE586" i="1"/>
  <c r="AH586" i="1" s="1"/>
  <c r="AA586" i="1"/>
  <c r="Z586" i="1"/>
  <c r="W586" i="1"/>
  <c r="Q586" i="1"/>
  <c r="L586" i="1"/>
  <c r="F586" i="1"/>
  <c r="AH585" i="1"/>
  <c r="AF585" i="1"/>
  <c r="AE585" i="1"/>
  <c r="AA585" i="1"/>
  <c r="Z585" i="1"/>
  <c r="W585" i="1"/>
  <c r="Q585" i="1"/>
  <c r="L585" i="1"/>
  <c r="F585" i="1"/>
  <c r="AF584" i="1"/>
  <c r="AH584" i="1" s="1"/>
  <c r="AE584" i="1"/>
  <c r="AA584" i="1"/>
  <c r="Z584" i="1"/>
  <c r="W584" i="1"/>
  <c r="Q584" i="1"/>
  <c r="L584" i="1"/>
  <c r="F584" i="1"/>
  <c r="AH583" i="1"/>
  <c r="AF583" i="1"/>
  <c r="AE583" i="1"/>
  <c r="AA583" i="1"/>
  <c r="Z583" i="1"/>
  <c r="W583" i="1"/>
  <c r="Q583" i="1"/>
  <c r="L583" i="1"/>
  <c r="F583" i="1"/>
  <c r="AF582" i="1"/>
  <c r="AH582" i="1" s="1"/>
  <c r="AE582" i="1"/>
  <c r="AA582" i="1"/>
  <c r="Z582" i="1"/>
  <c r="W582" i="1"/>
  <c r="Q582" i="1"/>
  <c r="L582" i="1"/>
  <c r="F582" i="1"/>
  <c r="AF581" i="1"/>
  <c r="AH581" i="1" s="1"/>
  <c r="AE581" i="1"/>
  <c r="AA581" i="1"/>
  <c r="AC581" i="1" s="1"/>
  <c r="Z581" i="1"/>
  <c r="W581" i="1"/>
  <c r="Q581" i="1"/>
  <c r="L581" i="1"/>
  <c r="F581" i="1"/>
  <c r="AF580" i="1"/>
  <c r="AE580" i="1"/>
  <c r="AH580" i="1" s="1"/>
  <c r="AA580" i="1"/>
  <c r="Z580" i="1"/>
  <c r="W580" i="1"/>
  <c r="Q580" i="1"/>
  <c r="L580" i="1"/>
  <c r="F580" i="1"/>
  <c r="AF579" i="1"/>
  <c r="AE579" i="1"/>
  <c r="AA579" i="1"/>
  <c r="Z579" i="1"/>
  <c r="W579" i="1"/>
  <c r="Q579" i="1"/>
  <c r="L579" i="1"/>
  <c r="F579" i="1"/>
  <c r="AF578" i="1"/>
  <c r="AH578" i="1" s="1"/>
  <c r="AE578" i="1"/>
  <c r="AA578" i="1"/>
  <c r="Z578" i="1"/>
  <c r="W578" i="1"/>
  <c r="Q578" i="1"/>
  <c r="L578" i="1"/>
  <c r="F578" i="1"/>
  <c r="AF577" i="1"/>
  <c r="AH577" i="1" s="1"/>
  <c r="AE577" i="1"/>
  <c r="AA577" i="1"/>
  <c r="AC577" i="1" s="1"/>
  <c r="Z577" i="1"/>
  <c r="W577" i="1"/>
  <c r="Q577" i="1"/>
  <c r="L577" i="1"/>
  <c r="F577" i="1"/>
  <c r="AF576" i="1"/>
  <c r="AE576" i="1"/>
  <c r="AA576" i="1"/>
  <c r="Z576" i="1"/>
  <c r="W576" i="1"/>
  <c r="Q576" i="1"/>
  <c r="L576" i="1"/>
  <c r="F576" i="1"/>
  <c r="AF575" i="1"/>
  <c r="AE575" i="1"/>
  <c r="AA575" i="1"/>
  <c r="AC575" i="1" s="1"/>
  <c r="Z575" i="1"/>
  <c r="W575" i="1"/>
  <c r="Q575" i="1"/>
  <c r="L575" i="1"/>
  <c r="F575" i="1"/>
  <c r="AF574" i="1"/>
  <c r="AH574" i="1" s="1"/>
  <c r="AE574" i="1"/>
  <c r="AA574" i="1"/>
  <c r="Z574" i="1"/>
  <c r="W574" i="1"/>
  <c r="Q574" i="1"/>
  <c r="L574" i="1"/>
  <c r="F574" i="1"/>
  <c r="AF573" i="1"/>
  <c r="AE573" i="1"/>
  <c r="AA573" i="1"/>
  <c r="Z573" i="1"/>
  <c r="AC573" i="1" s="1"/>
  <c r="W573" i="1"/>
  <c r="Q573" i="1"/>
  <c r="L573" i="1"/>
  <c r="F573" i="1"/>
  <c r="AF572" i="1"/>
  <c r="AE572" i="1"/>
  <c r="AA572" i="1"/>
  <c r="Z572" i="1"/>
  <c r="W572" i="1"/>
  <c r="Q572" i="1"/>
  <c r="L572" i="1"/>
  <c r="F572" i="1"/>
  <c r="AF571" i="1"/>
  <c r="AH571" i="1" s="1"/>
  <c r="AE571" i="1"/>
  <c r="AA571" i="1"/>
  <c r="Z571" i="1"/>
  <c r="AC571" i="1" s="1"/>
  <c r="W571" i="1"/>
  <c r="Q571" i="1"/>
  <c r="L571" i="1"/>
  <c r="F571" i="1"/>
  <c r="AF570" i="1"/>
  <c r="AE570" i="1"/>
  <c r="AA570" i="1"/>
  <c r="Z570" i="1"/>
  <c r="W570" i="1"/>
  <c r="Q570" i="1"/>
  <c r="L570" i="1"/>
  <c r="F570" i="1"/>
  <c r="AF569" i="1"/>
  <c r="AH569" i="1" s="1"/>
  <c r="AE569" i="1"/>
  <c r="AA569" i="1"/>
  <c r="Z569" i="1"/>
  <c r="W569" i="1"/>
  <c r="Q569" i="1"/>
  <c r="L569" i="1"/>
  <c r="F569" i="1"/>
  <c r="AF568" i="1"/>
  <c r="AH568" i="1" s="1"/>
  <c r="AE568" i="1"/>
  <c r="AA568" i="1"/>
  <c r="Z568" i="1"/>
  <c r="W568" i="1"/>
  <c r="Q568" i="1"/>
  <c r="L568" i="1"/>
  <c r="F568" i="1"/>
  <c r="AF567" i="1"/>
  <c r="AE567" i="1"/>
  <c r="AH567" i="1" s="1"/>
  <c r="AA567" i="1"/>
  <c r="Z567" i="1"/>
  <c r="W567" i="1"/>
  <c r="Q567" i="1"/>
  <c r="L567" i="1"/>
  <c r="F567" i="1"/>
  <c r="AF566" i="1"/>
  <c r="AE566" i="1"/>
  <c r="AA566" i="1"/>
  <c r="Z566" i="1"/>
  <c r="W566" i="1"/>
  <c r="Q566" i="1"/>
  <c r="L566" i="1"/>
  <c r="F566" i="1"/>
  <c r="AF565" i="1"/>
  <c r="AH565" i="1" s="1"/>
  <c r="AE565" i="1"/>
  <c r="AA565" i="1"/>
  <c r="Z565" i="1"/>
  <c r="W565" i="1"/>
  <c r="Q565" i="1"/>
  <c r="L565" i="1"/>
  <c r="F565" i="1"/>
  <c r="AF564" i="1"/>
  <c r="AE564" i="1"/>
  <c r="AA564" i="1"/>
  <c r="Z564" i="1"/>
  <c r="W564" i="1"/>
  <c r="Q564" i="1"/>
  <c r="L564" i="1"/>
  <c r="F564" i="1"/>
  <c r="AF563" i="1"/>
  <c r="AE563" i="1"/>
  <c r="AA563" i="1"/>
  <c r="Z563" i="1"/>
  <c r="W563" i="1"/>
  <c r="Q563" i="1"/>
  <c r="L563" i="1"/>
  <c r="F563" i="1"/>
  <c r="AF562" i="1"/>
  <c r="AH562" i="1" s="1"/>
  <c r="AE562" i="1"/>
  <c r="AA562" i="1"/>
  <c r="Z562" i="1"/>
  <c r="W562" i="1"/>
  <c r="Q562" i="1"/>
  <c r="L562" i="1"/>
  <c r="F562" i="1"/>
  <c r="AF561" i="1"/>
  <c r="AH561" i="1" s="1"/>
  <c r="AE561" i="1"/>
  <c r="AA561" i="1"/>
  <c r="Z561" i="1"/>
  <c r="W561" i="1"/>
  <c r="Q561" i="1"/>
  <c r="L561" i="1"/>
  <c r="F561" i="1"/>
  <c r="AF560" i="1"/>
  <c r="AH560" i="1" s="1"/>
  <c r="AE560" i="1"/>
  <c r="AA560" i="1"/>
  <c r="Z560" i="1"/>
  <c r="W560" i="1"/>
  <c r="Q560" i="1"/>
  <c r="L560" i="1"/>
  <c r="F560" i="1"/>
  <c r="AF559" i="1"/>
  <c r="AE559" i="1"/>
  <c r="AA559" i="1"/>
  <c r="AC559" i="1" s="1"/>
  <c r="Z559" i="1"/>
  <c r="W559" i="1"/>
  <c r="Q559" i="1"/>
  <c r="L559" i="1"/>
  <c r="F559" i="1"/>
  <c r="AF558" i="1"/>
  <c r="AE558" i="1"/>
  <c r="AA558" i="1"/>
  <c r="AC558" i="1" s="1"/>
  <c r="Z558" i="1"/>
  <c r="W558" i="1"/>
  <c r="Q558" i="1"/>
  <c r="L558" i="1"/>
  <c r="F558" i="1"/>
  <c r="AF557" i="1"/>
  <c r="AE557" i="1"/>
  <c r="AA557" i="1"/>
  <c r="Z557" i="1"/>
  <c r="AC557" i="1" s="1"/>
  <c r="W557" i="1"/>
  <c r="Q557" i="1"/>
  <c r="L557" i="1"/>
  <c r="F557" i="1"/>
  <c r="AF556" i="1"/>
  <c r="AH556" i="1" s="1"/>
  <c r="AE556" i="1"/>
  <c r="AA556" i="1"/>
  <c r="Z556" i="1"/>
  <c r="W556" i="1"/>
  <c r="Q556" i="1"/>
  <c r="L556" i="1"/>
  <c r="F556" i="1"/>
  <c r="AF555" i="1"/>
  <c r="AE555" i="1"/>
  <c r="AA555" i="1"/>
  <c r="Z555" i="1"/>
  <c r="AC555" i="1" s="1"/>
  <c r="W555" i="1"/>
  <c r="Q555" i="1"/>
  <c r="L555" i="1"/>
  <c r="F555" i="1"/>
  <c r="AF554" i="1"/>
  <c r="AH554" i="1" s="1"/>
  <c r="AE554" i="1"/>
  <c r="AA554" i="1"/>
  <c r="Z554" i="1"/>
  <c r="W554" i="1"/>
  <c r="Q554" i="1"/>
  <c r="L554" i="1"/>
  <c r="F554" i="1"/>
  <c r="AF553" i="1"/>
  <c r="AE553" i="1"/>
  <c r="AA553" i="1"/>
  <c r="Z553" i="1"/>
  <c r="W553" i="1"/>
  <c r="Q553" i="1"/>
  <c r="L553" i="1"/>
  <c r="F553" i="1"/>
  <c r="AF552" i="1"/>
  <c r="AH552" i="1" s="1"/>
  <c r="AE552" i="1"/>
  <c r="AA552" i="1"/>
  <c r="Z552" i="1"/>
  <c r="W552" i="1"/>
  <c r="Q552" i="1"/>
  <c r="L552" i="1"/>
  <c r="F552" i="1"/>
  <c r="AF551" i="1"/>
  <c r="AE551" i="1"/>
  <c r="AH551" i="1" s="1"/>
  <c r="AA551" i="1"/>
  <c r="Z551" i="1"/>
  <c r="W551" i="1"/>
  <c r="Q551" i="1"/>
  <c r="L551" i="1"/>
  <c r="F551" i="1"/>
  <c r="AF550" i="1"/>
  <c r="AH550" i="1" s="1"/>
  <c r="AE550" i="1"/>
  <c r="AA550" i="1"/>
  <c r="Z550" i="1"/>
  <c r="W550" i="1"/>
  <c r="Q550" i="1"/>
  <c r="L550" i="1"/>
  <c r="F550" i="1"/>
  <c r="AF549" i="1"/>
  <c r="AE549" i="1"/>
  <c r="AA549" i="1"/>
  <c r="Z549" i="1"/>
  <c r="W549" i="1"/>
  <c r="Q549" i="1"/>
  <c r="L549" i="1"/>
  <c r="F549" i="1"/>
  <c r="AF548" i="1"/>
  <c r="AE548" i="1"/>
  <c r="AH548" i="1" s="1"/>
  <c r="AA548" i="1"/>
  <c r="Z548" i="1"/>
  <c r="W548" i="1"/>
  <c r="Q548" i="1"/>
  <c r="L548" i="1"/>
  <c r="F548" i="1"/>
  <c r="AF547" i="1"/>
  <c r="AE547" i="1"/>
  <c r="AA547" i="1"/>
  <c r="Z547" i="1"/>
  <c r="W547" i="1"/>
  <c r="Q547" i="1"/>
  <c r="L547" i="1"/>
  <c r="F547" i="1"/>
  <c r="AF546" i="1"/>
  <c r="AH546" i="1" s="1"/>
  <c r="AE546" i="1"/>
  <c r="AA546" i="1"/>
  <c r="Z546" i="1"/>
  <c r="W546" i="1"/>
  <c r="Q546" i="1"/>
  <c r="L546" i="1"/>
  <c r="F546" i="1"/>
  <c r="AF545" i="1"/>
  <c r="AE545" i="1"/>
  <c r="AA545" i="1"/>
  <c r="Z545" i="1"/>
  <c r="W545" i="1"/>
  <c r="Q545" i="1"/>
  <c r="L545" i="1"/>
  <c r="F545" i="1"/>
  <c r="AF544" i="1"/>
  <c r="AE544" i="1"/>
  <c r="AA544" i="1"/>
  <c r="Z544" i="1"/>
  <c r="W544" i="1"/>
  <c r="Q544" i="1"/>
  <c r="L544" i="1"/>
  <c r="F544" i="1"/>
  <c r="AF543" i="1"/>
  <c r="AE543" i="1"/>
  <c r="AA543" i="1"/>
  <c r="Z543" i="1"/>
  <c r="W543" i="1"/>
  <c r="Q543" i="1"/>
  <c r="L543" i="1"/>
  <c r="F543" i="1"/>
  <c r="AF542" i="1"/>
  <c r="AE542" i="1"/>
  <c r="AA542" i="1"/>
  <c r="Z542" i="1"/>
  <c r="W542" i="1"/>
  <c r="Q542" i="1"/>
  <c r="L542" i="1"/>
  <c r="F542" i="1"/>
  <c r="AF541" i="1"/>
  <c r="AE541" i="1"/>
  <c r="AA541" i="1"/>
  <c r="Z541" i="1"/>
  <c r="AC541" i="1" s="1"/>
  <c r="W541" i="1"/>
  <c r="Q541" i="1"/>
  <c r="L541" i="1"/>
  <c r="F541" i="1"/>
  <c r="AF540" i="1"/>
  <c r="AE540" i="1"/>
  <c r="AA540" i="1"/>
  <c r="Z540" i="1"/>
  <c r="W540" i="1"/>
  <c r="Q540" i="1"/>
  <c r="L540" i="1"/>
  <c r="F540" i="1"/>
  <c r="AF539" i="1"/>
  <c r="AE539" i="1"/>
  <c r="AA539" i="1"/>
  <c r="Z539" i="1"/>
  <c r="W539" i="1"/>
  <c r="Q539" i="1"/>
  <c r="L539" i="1"/>
  <c r="F539" i="1"/>
  <c r="AF538" i="1"/>
  <c r="AE538" i="1"/>
  <c r="AH538" i="1" s="1"/>
  <c r="AA538" i="1"/>
  <c r="Z538" i="1"/>
  <c r="W538" i="1"/>
  <c r="Q538" i="1"/>
  <c r="L538" i="1"/>
  <c r="F538" i="1"/>
  <c r="AF537" i="1"/>
  <c r="AE537" i="1"/>
  <c r="AA537" i="1"/>
  <c r="Z537" i="1"/>
  <c r="AC537" i="1" s="1"/>
  <c r="W537" i="1"/>
  <c r="Q537" i="1"/>
  <c r="L537" i="1"/>
  <c r="F537" i="1"/>
  <c r="AH536" i="1"/>
  <c r="AF536" i="1"/>
  <c r="AE536" i="1"/>
  <c r="AA536" i="1"/>
  <c r="Z536" i="1"/>
  <c r="W536" i="1"/>
  <c r="Q536" i="1"/>
  <c r="L536" i="1"/>
  <c r="F536" i="1"/>
  <c r="AF535" i="1"/>
  <c r="AH535" i="1" s="1"/>
  <c r="AE535" i="1"/>
  <c r="AA535" i="1"/>
  <c r="Z535" i="1"/>
  <c r="W535" i="1"/>
  <c r="Q535" i="1"/>
  <c r="L535" i="1"/>
  <c r="F535" i="1"/>
  <c r="AF534" i="1"/>
  <c r="AH534" i="1" s="1"/>
  <c r="AE534" i="1"/>
  <c r="AA534" i="1"/>
  <c r="Z534" i="1"/>
  <c r="W534" i="1"/>
  <c r="Q534" i="1"/>
  <c r="L534" i="1"/>
  <c r="F534" i="1"/>
  <c r="AF533" i="1"/>
  <c r="AE533" i="1"/>
  <c r="AA533" i="1"/>
  <c r="Z533" i="1"/>
  <c r="W533" i="1"/>
  <c r="Q533" i="1"/>
  <c r="L533" i="1"/>
  <c r="F533" i="1"/>
  <c r="AF532" i="1"/>
  <c r="AE532" i="1"/>
  <c r="AH532" i="1" s="1"/>
  <c r="AA532" i="1"/>
  <c r="Z532" i="1"/>
  <c r="W532" i="1"/>
  <c r="Q532" i="1"/>
  <c r="L532" i="1"/>
  <c r="F532" i="1"/>
  <c r="AF531" i="1"/>
  <c r="AE531" i="1"/>
  <c r="AA531" i="1"/>
  <c r="Z531" i="1"/>
  <c r="W531" i="1"/>
  <c r="Q531" i="1"/>
  <c r="L531" i="1"/>
  <c r="F531" i="1"/>
  <c r="AF530" i="1"/>
  <c r="AH530" i="1" s="1"/>
  <c r="AE530" i="1"/>
  <c r="AA530" i="1"/>
  <c r="Z530" i="1"/>
  <c r="W530" i="1"/>
  <c r="Q530" i="1"/>
  <c r="L530" i="1"/>
  <c r="F530" i="1"/>
  <c r="AF529" i="1"/>
  <c r="AE529" i="1"/>
  <c r="AA529" i="1"/>
  <c r="Z529" i="1"/>
  <c r="W529" i="1"/>
  <c r="Q529" i="1"/>
  <c r="L529" i="1"/>
  <c r="F529" i="1"/>
  <c r="AF528" i="1"/>
  <c r="AE528" i="1"/>
  <c r="AA528" i="1"/>
  <c r="Z528" i="1"/>
  <c r="W528" i="1"/>
  <c r="Q528" i="1"/>
  <c r="L528" i="1"/>
  <c r="F528" i="1"/>
  <c r="AF527" i="1"/>
  <c r="AH527" i="1" s="1"/>
  <c r="AE527" i="1"/>
  <c r="AA527" i="1"/>
  <c r="Z527" i="1"/>
  <c r="AC527" i="1" s="1"/>
  <c r="W527" i="1"/>
  <c r="Q527" i="1"/>
  <c r="L527" i="1"/>
  <c r="F527" i="1"/>
  <c r="AF526" i="1"/>
  <c r="AH526" i="1" s="1"/>
  <c r="AE526" i="1"/>
  <c r="AA526" i="1"/>
  <c r="Z526" i="1"/>
  <c r="W526" i="1"/>
  <c r="Q526" i="1"/>
  <c r="L526" i="1"/>
  <c r="F526" i="1"/>
  <c r="AF525" i="1"/>
  <c r="AE525" i="1"/>
  <c r="AA525" i="1"/>
  <c r="AC525" i="1" s="1"/>
  <c r="Z525" i="1"/>
  <c r="W525" i="1"/>
  <c r="Q525" i="1"/>
  <c r="L525" i="1"/>
  <c r="F525" i="1"/>
  <c r="AF524" i="1"/>
  <c r="AH524" i="1" s="1"/>
  <c r="AE524" i="1"/>
  <c r="AA524" i="1"/>
  <c r="Z524" i="1"/>
  <c r="W524" i="1"/>
  <c r="Q524" i="1"/>
  <c r="L524" i="1"/>
  <c r="F524" i="1"/>
  <c r="AF523" i="1"/>
  <c r="AE523" i="1"/>
  <c r="AA523" i="1"/>
  <c r="Z523" i="1"/>
  <c r="AC523" i="1" s="1"/>
  <c r="W523" i="1"/>
  <c r="Q523" i="1"/>
  <c r="L523" i="1"/>
  <c r="F523" i="1"/>
  <c r="AF522" i="1"/>
  <c r="AE522" i="1"/>
  <c r="AH522" i="1" s="1"/>
  <c r="AA522" i="1"/>
  <c r="Z522" i="1"/>
  <c r="W522" i="1"/>
  <c r="Q522" i="1"/>
  <c r="L522" i="1"/>
  <c r="F522" i="1"/>
  <c r="AF521" i="1"/>
  <c r="AE521" i="1"/>
  <c r="AA521" i="1"/>
  <c r="AC521" i="1" s="1"/>
  <c r="Z521" i="1"/>
  <c r="W521" i="1"/>
  <c r="Q521" i="1"/>
  <c r="L521" i="1"/>
  <c r="F521" i="1"/>
  <c r="AF520" i="1"/>
  <c r="AE520" i="1"/>
  <c r="AA520" i="1"/>
  <c r="Z520" i="1"/>
  <c r="W520" i="1"/>
  <c r="Q520" i="1"/>
  <c r="L520" i="1"/>
  <c r="F520" i="1"/>
  <c r="AF519" i="1"/>
  <c r="AE519" i="1"/>
  <c r="AH519" i="1" s="1"/>
  <c r="AA519" i="1"/>
  <c r="Z519" i="1"/>
  <c r="W519" i="1"/>
  <c r="Q519" i="1"/>
  <c r="L519" i="1"/>
  <c r="F519" i="1"/>
  <c r="AF518" i="1"/>
  <c r="AE518" i="1"/>
  <c r="AA518" i="1"/>
  <c r="Z518" i="1"/>
  <c r="W518" i="1"/>
  <c r="Q518" i="1"/>
  <c r="L518" i="1"/>
  <c r="F518" i="1"/>
  <c r="AF517" i="1"/>
  <c r="AE517" i="1"/>
  <c r="AA517" i="1"/>
  <c r="Z517" i="1"/>
  <c r="W517" i="1"/>
  <c r="Q517" i="1"/>
  <c r="L517" i="1"/>
  <c r="F517" i="1"/>
  <c r="AF516" i="1"/>
  <c r="AE516" i="1"/>
  <c r="AH516" i="1" s="1"/>
  <c r="AA516" i="1"/>
  <c r="Z516" i="1"/>
  <c r="W516" i="1"/>
  <c r="Q516" i="1"/>
  <c r="L516" i="1"/>
  <c r="F516" i="1"/>
  <c r="AF515" i="1"/>
  <c r="AE515" i="1"/>
  <c r="AA515" i="1"/>
  <c r="AC515" i="1" s="1"/>
  <c r="Z515" i="1"/>
  <c r="W515" i="1"/>
  <c r="Q515" i="1"/>
  <c r="L515" i="1"/>
  <c r="F515" i="1"/>
  <c r="AF514" i="1"/>
  <c r="AE514" i="1"/>
  <c r="AA514" i="1"/>
  <c r="Z514" i="1"/>
  <c r="W514" i="1"/>
  <c r="Q514" i="1"/>
  <c r="L514" i="1"/>
  <c r="F514" i="1"/>
  <c r="AF513" i="1"/>
  <c r="AE513" i="1"/>
  <c r="AA513" i="1"/>
  <c r="Z513" i="1"/>
  <c r="W513" i="1"/>
  <c r="Q513" i="1"/>
  <c r="L513" i="1"/>
  <c r="F513" i="1"/>
  <c r="AF512" i="1"/>
  <c r="AH512" i="1" s="1"/>
  <c r="AE512" i="1"/>
  <c r="AA512" i="1"/>
  <c r="AC512" i="1" s="1"/>
  <c r="Z512" i="1"/>
  <c r="W512" i="1"/>
  <c r="Q512" i="1"/>
  <c r="L512" i="1"/>
  <c r="F512" i="1"/>
  <c r="AF511" i="1"/>
  <c r="AH511" i="1" s="1"/>
  <c r="AE511" i="1"/>
  <c r="AA511" i="1"/>
  <c r="Z511" i="1"/>
  <c r="W511" i="1"/>
  <c r="Q511" i="1"/>
  <c r="L511" i="1"/>
  <c r="F511" i="1"/>
  <c r="AF510" i="1"/>
  <c r="AE510" i="1"/>
  <c r="AA510" i="1"/>
  <c r="AC510" i="1" s="1"/>
  <c r="Z510" i="1"/>
  <c r="W510" i="1"/>
  <c r="Q510" i="1"/>
  <c r="L510" i="1"/>
  <c r="F510" i="1"/>
  <c r="AF509" i="1"/>
  <c r="AE509" i="1"/>
  <c r="AA509" i="1"/>
  <c r="Z509" i="1"/>
  <c r="AC509" i="1" s="1"/>
  <c r="W509" i="1"/>
  <c r="Q509" i="1"/>
  <c r="L509" i="1"/>
  <c r="F509" i="1"/>
  <c r="AF508" i="1"/>
  <c r="AE508" i="1"/>
  <c r="AA508" i="1"/>
  <c r="Z508" i="1"/>
  <c r="W508" i="1"/>
  <c r="Q508" i="1"/>
  <c r="L508" i="1"/>
  <c r="F508" i="1"/>
  <c r="AF507" i="1"/>
  <c r="AH507" i="1" s="1"/>
  <c r="AE507" i="1"/>
  <c r="AA507" i="1"/>
  <c r="Z507" i="1"/>
  <c r="W507" i="1"/>
  <c r="Q507" i="1"/>
  <c r="L507" i="1"/>
  <c r="F507" i="1"/>
  <c r="AF506" i="1"/>
  <c r="AE506" i="1"/>
  <c r="AH506" i="1" s="1"/>
  <c r="AA506" i="1"/>
  <c r="Z506" i="1"/>
  <c r="W506" i="1"/>
  <c r="Q506" i="1"/>
  <c r="L506" i="1"/>
  <c r="F506" i="1"/>
  <c r="AF505" i="1"/>
  <c r="AE505" i="1"/>
  <c r="AA505" i="1"/>
  <c r="Z505" i="1"/>
  <c r="W505" i="1"/>
  <c r="Q505" i="1"/>
  <c r="L505" i="1"/>
  <c r="F505" i="1"/>
  <c r="AF504" i="1"/>
  <c r="AH504" i="1" s="1"/>
  <c r="AE504" i="1"/>
  <c r="AA504" i="1"/>
  <c r="Z504" i="1"/>
  <c r="W504" i="1"/>
  <c r="Q504" i="1"/>
  <c r="L504" i="1"/>
  <c r="F504" i="1"/>
  <c r="AF503" i="1"/>
  <c r="AE503" i="1"/>
  <c r="AA503" i="1"/>
  <c r="Z503" i="1"/>
  <c r="W503" i="1"/>
  <c r="Q503" i="1"/>
  <c r="L503" i="1"/>
  <c r="F503" i="1"/>
  <c r="AF502" i="1"/>
  <c r="AE502" i="1"/>
  <c r="AA502" i="1"/>
  <c r="AC502" i="1" s="1"/>
  <c r="Z502" i="1"/>
  <c r="W502" i="1"/>
  <c r="Q502" i="1"/>
  <c r="L502" i="1"/>
  <c r="F502" i="1"/>
  <c r="AF501" i="1"/>
  <c r="AH501" i="1" s="1"/>
  <c r="AE501" i="1"/>
  <c r="AA501" i="1"/>
  <c r="Z501" i="1"/>
  <c r="W501" i="1"/>
  <c r="Q501" i="1"/>
  <c r="L501" i="1"/>
  <c r="F501" i="1"/>
  <c r="AF500" i="1"/>
  <c r="AE500" i="1"/>
  <c r="AA500" i="1"/>
  <c r="Z500" i="1"/>
  <c r="W500" i="1"/>
  <c r="Q500" i="1"/>
  <c r="L500" i="1"/>
  <c r="F500" i="1"/>
  <c r="AF499" i="1"/>
  <c r="AE499" i="1"/>
  <c r="AA499" i="1"/>
  <c r="Z499" i="1"/>
  <c r="W499" i="1"/>
  <c r="Q499" i="1"/>
  <c r="L499" i="1"/>
  <c r="F499" i="1"/>
  <c r="AF498" i="1"/>
  <c r="AE498" i="1"/>
  <c r="AA498" i="1"/>
  <c r="AC498" i="1" s="1"/>
  <c r="Z498" i="1"/>
  <c r="W498" i="1"/>
  <c r="Q498" i="1"/>
  <c r="L498" i="1"/>
  <c r="F498" i="1"/>
  <c r="AF497" i="1"/>
  <c r="AH497" i="1" s="1"/>
  <c r="AE497" i="1"/>
  <c r="AA497" i="1"/>
  <c r="Z497" i="1"/>
  <c r="W497" i="1"/>
  <c r="Q497" i="1"/>
  <c r="L497" i="1"/>
  <c r="F497" i="1"/>
  <c r="AF496" i="1"/>
  <c r="AH496" i="1" s="1"/>
  <c r="AE496" i="1"/>
  <c r="AA496" i="1"/>
  <c r="Z496" i="1"/>
  <c r="AC496" i="1" s="1"/>
  <c r="W496" i="1"/>
  <c r="Q496" i="1"/>
  <c r="L496" i="1"/>
  <c r="F496" i="1"/>
  <c r="AF495" i="1"/>
  <c r="AH495" i="1" s="1"/>
  <c r="AE495" i="1"/>
  <c r="AA495" i="1"/>
  <c r="Z495" i="1"/>
  <c r="AC495" i="1" s="1"/>
  <c r="W495" i="1"/>
  <c r="Q495" i="1"/>
  <c r="L495" i="1"/>
  <c r="F495" i="1"/>
  <c r="AF494" i="1"/>
  <c r="AE494" i="1"/>
  <c r="AA494" i="1"/>
  <c r="Z494" i="1"/>
  <c r="W494" i="1"/>
  <c r="Q494" i="1"/>
  <c r="L494" i="1"/>
  <c r="F494" i="1"/>
  <c r="AF493" i="1"/>
  <c r="AE493" i="1"/>
  <c r="AA493" i="1"/>
  <c r="Z493" i="1"/>
  <c r="AC493" i="1" s="1"/>
  <c r="W493" i="1"/>
  <c r="Q493" i="1"/>
  <c r="L493" i="1"/>
  <c r="F493" i="1"/>
  <c r="AF492" i="1"/>
  <c r="AE492" i="1"/>
  <c r="AA492" i="1"/>
  <c r="Z492" i="1"/>
  <c r="W492" i="1"/>
  <c r="Q492" i="1"/>
  <c r="L492" i="1"/>
  <c r="F492" i="1"/>
  <c r="AF491" i="1"/>
  <c r="AH491" i="1" s="1"/>
  <c r="AE491" i="1"/>
  <c r="AA491" i="1"/>
  <c r="Z491" i="1"/>
  <c r="AC491" i="1" s="1"/>
  <c r="W491" i="1"/>
  <c r="Q491" i="1"/>
  <c r="L491" i="1"/>
  <c r="F491" i="1"/>
  <c r="AF490" i="1"/>
  <c r="AH490" i="1" s="1"/>
  <c r="AE490" i="1"/>
  <c r="AA490" i="1"/>
  <c r="Z490" i="1"/>
  <c r="W490" i="1"/>
  <c r="Q490" i="1"/>
  <c r="L490" i="1"/>
  <c r="F490" i="1"/>
  <c r="AF489" i="1"/>
  <c r="AE489" i="1"/>
  <c r="AA489" i="1"/>
  <c r="Z489" i="1"/>
  <c r="W489" i="1"/>
  <c r="Q489" i="1"/>
  <c r="L489" i="1"/>
  <c r="F489" i="1"/>
  <c r="AF488" i="1"/>
  <c r="AH488" i="1" s="1"/>
  <c r="AE488" i="1"/>
  <c r="AA488" i="1"/>
  <c r="Z488" i="1"/>
  <c r="W488" i="1"/>
  <c r="Q488" i="1"/>
  <c r="L488" i="1"/>
  <c r="F488" i="1"/>
  <c r="AF487" i="1"/>
  <c r="AE487" i="1"/>
  <c r="AH487" i="1" s="1"/>
  <c r="AA487" i="1"/>
  <c r="Z487" i="1"/>
  <c r="W487" i="1"/>
  <c r="Q487" i="1"/>
  <c r="L487" i="1"/>
  <c r="F487" i="1"/>
  <c r="AF486" i="1"/>
  <c r="AH486" i="1" s="1"/>
  <c r="AE486" i="1"/>
  <c r="AA486" i="1"/>
  <c r="Z486" i="1"/>
  <c r="W486" i="1"/>
  <c r="Q486" i="1"/>
  <c r="L486" i="1"/>
  <c r="F486" i="1"/>
  <c r="AF485" i="1"/>
  <c r="AE485" i="1"/>
  <c r="AA485" i="1"/>
  <c r="Z485" i="1"/>
  <c r="W485" i="1"/>
  <c r="Q485" i="1"/>
  <c r="L485" i="1"/>
  <c r="F485" i="1"/>
  <c r="AF484" i="1"/>
  <c r="AE484" i="1"/>
  <c r="AH484" i="1" s="1"/>
  <c r="AA484" i="1"/>
  <c r="Z484" i="1"/>
  <c r="W484" i="1"/>
  <c r="Q484" i="1"/>
  <c r="L484" i="1"/>
  <c r="F484" i="1"/>
  <c r="AF483" i="1"/>
  <c r="AE483" i="1"/>
  <c r="AA483" i="1"/>
  <c r="Z483" i="1"/>
  <c r="W483" i="1"/>
  <c r="Q483" i="1"/>
  <c r="L483" i="1"/>
  <c r="F483" i="1"/>
  <c r="AF482" i="1"/>
  <c r="AH482" i="1" s="1"/>
  <c r="AE482" i="1"/>
  <c r="AA482" i="1"/>
  <c r="Z482" i="1"/>
  <c r="W482" i="1"/>
  <c r="Q482" i="1"/>
  <c r="L482" i="1"/>
  <c r="F482" i="1"/>
  <c r="AF481" i="1"/>
  <c r="AE481" i="1"/>
  <c r="AA481" i="1"/>
  <c r="Z481" i="1"/>
  <c r="W481" i="1"/>
  <c r="Q481" i="1"/>
  <c r="L481" i="1"/>
  <c r="F481" i="1"/>
  <c r="AF480" i="1"/>
  <c r="AE480" i="1"/>
  <c r="AA480" i="1"/>
  <c r="Z480" i="1"/>
  <c r="W480" i="1"/>
  <c r="Q480" i="1"/>
  <c r="L480" i="1"/>
  <c r="F480" i="1"/>
  <c r="AF479" i="1"/>
  <c r="AE479" i="1"/>
  <c r="AA479" i="1"/>
  <c r="AC479" i="1" s="1"/>
  <c r="Z479" i="1"/>
  <c r="W479" i="1"/>
  <c r="Q479" i="1"/>
  <c r="L479" i="1"/>
  <c r="F479" i="1"/>
  <c r="AF478" i="1"/>
  <c r="AE478" i="1"/>
  <c r="AA478" i="1"/>
  <c r="Z478" i="1"/>
  <c r="W478" i="1"/>
  <c r="Q478" i="1"/>
  <c r="L478" i="1"/>
  <c r="F478" i="1"/>
  <c r="AF477" i="1"/>
  <c r="AE477" i="1"/>
  <c r="AA477" i="1"/>
  <c r="Z477" i="1"/>
  <c r="AC477" i="1" s="1"/>
  <c r="W477" i="1"/>
  <c r="Q477" i="1"/>
  <c r="L477" i="1"/>
  <c r="F477" i="1"/>
  <c r="AH476" i="1"/>
  <c r="AF476" i="1"/>
  <c r="AE476" i="1"/>
  <c r="AA476" i="1"/>
  <c r="Z476" i="1"/>
  <c r="W476" i="1"/>
  <c r="Q476" i="1"/>
  <c r="L476" i="1"/>
  <c r="F476" i="1"/>
  <c r="AF475" i="1"/>
  <c r="AE475" i="1"/>
  <c r="AA475" i="1"/>
  <c r="Z475" i="1"/>
  <c r="W475" i="1"/>
  <c r="Q475" i="1"/>
  <c r="L475" i="1"/>
  <c r="F475" i="1"/>
  <c r="AH474" i="1"/>
  <c r="AF474" i="1"/>
  <c r="AE474" i="1"/>
  <c r="AA474" i="1"/>
  <c r="Z474" i="1"/>
  <c r="W474" i="1"/>
  <c r="Q474" i="1"/>
  <c r="L474" i="1"/>
  <c r="F474" i="1"/>
  <c r="AF473" i="1"/>
  <c r="AE473" i="1"/>
  <c r="AA473" i="1"/>
  <c r="Z473" i="1"/>
  <c r="W473" i="1"/>
  <c r="Q473" i="1"/>
  <c r="L473" i="1"/>
  <c r="F473" i="1"/>
  <c r="AF472" i="1"/>
  <c r="AH472" i="1" s="1"/>
  <c r="AE472" i="1"/>
  <c r="AA472" i="1"/>
  <c r="Z472" i="1"/>
  <c r="W472" i="1"/>
  <c r="Q472" i="1"/>
  <c r="L472" i="1"/>
  <c r="F472" i="1"/>
  <c r="AF471" i="1"/>
  <c r="AE471" i="1"/>
  <c r="AA471" i="1"/>
  <c r="Z471" i="1"/>
  <c r="W471" i="1"/>
  <c r="Q471" i="1"/>
  <c r="L471" i="1"/>
  <c r="F471" i="1"/>
  <c r="AF470" i="1"/>
  <c r="AE470" i="1"/>
  <c r="AA470" i="1"/>
  <c r="Z470" i="1"/>
  <c r="W470" i="1"/>
  <c r="Q470" i="1"/>
  <c r="L470" i="1"/>
  <c r="F470" i="1"/>
  <c r="AF469" i="1"/>
  <c r="AE469" i="1"/>
  <c r="AA469" i="1"/>
  <c r="AC469" i="1" s="1"/>
  <c r="Z469" i="1"/>
  <c r="W469" i="1"/>
  <c r="Q469" i="1"/>
  <c r="L469" i="1"/>
  <c r="F469" i="1"/>
  <c r="AF468" i="1"/>
  <c r="AE468" i="1"/>
  <c r="AA468" i="1"/>
  <c r="Z468" i="1"/>
  <c r="W468" i="1"/>
  <c r="Q468" i="1"/>
  <c r="L468" i="1"/>
  <c r="F468" i="1"/>
  <c r="AF467" i="1"/>
  <c r="AE467" i="1"/>
  <c r="AA467" i="1"/>
  <c r="Z467" i="1"/>
  <c r="W467" i="1"/>
  <c r="Q467" i="1"/>
  <c r="L467" i="1"/>
  <c r="F467" i="1"/>
  <c r="AF466" i="1"/>
  <c r="AE466" i="1"/>
  <c r="AA466" i="1"/>
  <c r="Z466" i="1"/>
  <c r="W466" i="1"/>
  <c r="Q466" i="1"/>
  <c r="L466" i="1"/>
  <c r="F466" i="1"/>
  <c r="AF465" i="1"/>
  <c r="AE465" i="1"/>
  <c r="AA465" i="1"/>
  <c r="AC465" i="1" s="1"/>
  <c r="Z465" i="1"/>
  <c r="W465" i="1"/>
  <c r="Q465" i="1"/>
  <c r="L465" i="1"/>
  <c r="F465" i="1"/>
  <c r="AF464" i="1"/>
  <c r="AH464" i="1" s="1"/>
  <c r="AE464" i="1"/>
  <c r="AA464" i="1"/>
  <c r="Z464" i="1"/>
  <c r="W464" i="1"/>
  <c r="Q464" i="1"/>
  <c r="L464" i="1"/>
  <c r="F464" i="1"/>
  <c r="AF463" i="1"/>
  <c r="AH463" i="1" s="1"/>
  <c r="AE463" i="1"/>
  <c r="AC463" i="1"/>
  <c r="AA463" i="1"/>
  <c r="Z463" i="1"/>
  <c r="W463" i="1"/>
  <c r="Q463" i="1"/>
  <c r="L463" i="1"/>
  <c r="F463" i="1"/>
  <c r="AF462" i="1"/>
  <c r="AH462" i="1" s="1"/>
  <c r="AE462" i="1"/>
  <c r="AA462" i="1"/>
  <c r="Z462" i="1"/>
  <c r="W462" i="1"/>
  <c r="Q462" i="1"/>
  <c r="L462" i="1"/>
  <c r="F462" i="1"/>
  <c r="AH461" i="1"/>
  <c r="AF461" i="1"/>
  <c r="AE461" i="1"/>
  <c r="AA461" i="1"/>
  <c r="Z461" i="1"/>
  <c r="W461" i="1"/>
  <c r="Q461" i="1"/>
  <c r="L461" i="1"/>
  <c r="F461" i="1"/>
  <c r="AF460" i="1"/>
  <c r="AH460" i="1" s="1"/>
  <c r="AE460" i="1"/>
  <c r="AA460" i="1"/>
  <c r="Z460" i="1"/>
  <c r="W460" i="1"/>
  <c r="Q460" i="1"/>
  <c r="L460" i="1"/>
  <c r="F460" i="1"/>
  <c r="AF459" i="1"/>
  <c r="AH459" i="1" s="1"/>
  <c r="AE459" i="1"/>
  <c r="AA459" i="1"/>
  <c r="Z459" i="1"/>
  <c r="AC459" i="1" s="1"/>
  <c r="W459" i="1"/>
  <c r="Q459" i="1"/>
  <c r="L459" i="1"/>
  <c r="F459" i="1"/>
  <c r="AF458" i="1"/>
  <c r="AE458" i="1"/>
  <c r="AH458" i="1" s="1"/>
  <c r="AA458" i="1"/>
  <c r="Z458" i="1"/>
  <c r="W458" i="1"/>
  <c r="Q458" i="1"/>
  <c r="L458" i="1"/>
  <c r="F458" i="1"/>
  <c r="AF457" i="1"/>
  <c r="AE457" i="1"/>
  <c r="AA457" i="1"/>
  <c r="Z457" i="1"/>
  <c r="W457" i="1"/>
  <c r="Q457" i="1"/>
  <c r="L457" i="1"/>
  <c r="F457" i="1"/>
  <c r="AF456" i="1"/>
  <c r="AH456" i="1" s="1"/>
  <c r="AE456" i="1"/>
  <c r="AA456" i="1"/>
  <c r="Z456" i="1"/>
  <c r="W456" i="1"/>
  <c r="Q456" i="1"/>
  <c r="L456" i="1"/>
  <c r="F456" i="1"/>
  <c r="AF455" i="1"/>
  <c r="AE455" i="1"/>
  <c r="AH455" i="1" s="1"/>
  <c r="AA455" i="1"/>
  <c r="Z455" i="1"/>
  <c r="W455" i="1"/>
  <c r="Q455" i="1"/>
  <c r="L455" i="1"/>
  <c r="F455" i="1"/>
  <c r="AF454" i="1"/>
  <c r="AH454" i="1" s="1"/>
  <c r="AE454" i="1"/>
  <c r="AA454" i="1"/>
  <c r="Z454" i="1"/>
  <c r="W454" i="1"/>
  <c r="Q454" i="1"/>
  <c r="L454" i="1"/>
  <c r="F454" i="1"/>
  <c r="AF453" i="1"/>
  <c r="AH453" i="1" s="1"/>
  <c r="AE453" i="1"/>
  <c r="AA453" i="1"/>
  <c r="Z453" i="1"/>
  <c r="W453" i="1"/>
  <c r="Q453" i="1"/>
  <c r="L453" i="1"/>
  <c r="F453" i="1"/>
  <c r="AF452" i="1"/>
  <c r="AE452" i="1"/>
  <c r="AH452" i="1" s="1"/>
  <c r="AA452" i="1"/>
  <c r="Z452" i="1"/>
  <c r="W452" i="1"/>
  <c r="Q452" i="1"/>
  <c r="L452" i="1"/>
  <c r="F452" i="1"/>
  <c r="AF451" i="1"/>
  <c r="AE451" i="1"/>
  <c r="AA451" i="1"/>
  <c r="Z451" i="1"/>
  <c r="W451" i="1"/>
  <c r="Q451" i="1"/>
  <c r="L451" i="1"/>
  <c r="F451" i="1"/>
  <c r="AF450" i="1"/>
  <c r="AE450" i="1"/>
  <c r="AA450" i="1"/>
  <c r="Z450" i="1"/>
  <c r="W450" i="1"/>
  <c r="Q450" i="1"/>
  <c r="L450" i="1"/>
  <c r="F450" i="1"/>
  <c r="AF449" i="1"/>
  <c r="AH449" i="1" s="1"/>
  <c r="AE449" i="1"/>
  <c r="AA449" i="1"/>
  <c r="Z449" i="1"/>
  <c r="W449" i="1"/>
  <c r="Q449" i="1"/>
  <c r="L449" i="1"/>
  <c r="F449" i="1"/>
  <c r="AF448" i="1"/>
  <c r="AH448" i="1" s="1"/>
  <c r="AE448" i="1"/>
  <c r="AA448" i="1"/>
  <c r="Z448" i="1"/>
  <c r="W448" i="1"/>
  <c r="Q448" i="1"/>
  <c r="L448" i="1"/>
  <c r="F448" i="1"/>
  <c r="AF447" i="1"/>
  <c r="AH447" i="1" s="1"/>
  <c r="AE447" i="1"/>
  <c r="AA447" i="1"/>
  <c r="AC447" i="1" s="1"/>
  <c r="Z447" i="1"/>
  <c r="W447" i="1"/>
  <c r="Q447" i="1"/>
  <c r="L447" i="1"/>
  <c r="F447" i="1"/>
  <c r="AF446" i="1"/>
  <c r="AH446" i="1" s="1"/>
  <c r="AE446" i="1"/>
  <c r="AA446" i="1"/>
  <c r="Z446" i="1"/>
  <c r="W446" i="1"/>
  <c r="Q446" i="1"/>
  <c r="L446" i="1"/>
  <c r="F446" i="1"/>
  <c r="AF445" i="1"/>
  <c r="AE445" i="1"/>
  <c r="AC445" i="1"/>
  <c r="AA445" i="1"/>
  <c r="Z445" i="1"/>
  <c r="W445" i="1"/>
  <c r="Q445" i="1"/>
  <c r="L445" i="1"/>
  <c r="F445" i="1"/>
  <c r="AF444" i="1"/>
  <c r="AH444" i="1" s="1"/>
  <c r="AE444" i="1"/>
  <c r="AA444" i="1"/>
  <c r="Z444" i="1"/>
  <c r="W444" i="1"/>
  <c r="Q444" i="1"/>
  <c r="L444" i="1"/>
  <c r="F444" i="1"/>
  <c r="AF443" i="1"/>
  <c r="AE443" i="1"/>
  <c r="AA443" i="1"/>
  <c r="Z443" i="1"/>
  <c r="AC443" i="1" s="1"/>
  <c r="W443" i="1"/>
  <c r="Q443" i="1"/>
  <c r="L443" i="1"/>
  <c r="F443" i="1"/>
  <c r="AF442" i="1"/>
  <c r="AE442" i="1"/>
  <c r="AH442" i="1" s="1"/>
  <c r="AA442" i="1"/>
  <c r="Z442" i="1"/>
  <c r="W442" i="1"/>
  <c r="Q442" i="1"/>
  <c r="L442" i="1"/>
  <c r="F442" i="1"/>
  <c r="AF441" i="1"/>
  <c r="AE441" i="1"/>
  <c r="AA441" i="1"/>
  <c r="Z441" i="1"/>
  <c r="W441" i="1"/>
  <c r="Q441" i="1"/>
  <c r="L441" i="1"/>
  <c r="F441" i="1"/>
  <c r="AF440" i="1"/>
  <c r="AE440" i="1"/>
  <c r="AH440" i="1" s="1"/>
  <c r="AA440" i="1"/>
  <c r="Z440" i="1"/>
  <c r="W440" i="1"/>
  <c r="Q440" i="1"/>
  <c r="L440" i="1"/>
  <c r="F440" i="1"/>
  <c r="AF439" i="1"/>
  <c r="AE439" i="1"/>
  <c r="AA439" i="1"/>
  <c r="Z439" i="1"/>
  <c r="W439" i="1"/>
  <c r="Q439" i="1"/>
  <c r="L439" i="1"/>
  <c r="F439" i="1"/>
  <c r="AH438" i="1"/>
  <c r="AF438" i="1"/>
  <c r="AE438" i="1"/>
  <c r="AA438" i="1"/>
  <c r="Z438" i="1"/>
  <c r="W438" i="1"/>
  <c r="Q438" i="1"/>
  <c r="L438" i="1"/>
  <c r="F438" i="1"/>
  <c r="AF437" i="1"/>
  <c r="AE437" i="1"/>
  <c r="AA437" i="1"/>
  <c r="Z437" i="1"/>
  <c r="W437" i="1"/>
  <c r="Q437" i="1"/>
  <c r="L437" i="1"/>
  <c r="F437" i="1"/>
  <c r="AF436" i="1"/>
  <c r="AE436" i="1"/>
  <c r="AA436" i="1"/>
  <c r="Z436" i="1"/>
  <c r="W436" i="1"/>
  <c r="Q436" i="1"/>
  <c r="L436" i="1"/>
  <c r="F436" i="1"/>
  <c r="AF435" i="1"/>
  <c r="AE435" i="1"/>
  <c r="AA435" i="1"/>
  <c r="Z435" i="1"/>
  <c r="W435" i="1"/>
  <c r="Q435" i="1"/>
  <c r="L435" i="1"/>
  <c r="F435" i="1"/>
  <c r="AF434" i="1"/>
  <c r="AH434" i="1" s="1"/>
  <c r="AE434" i="1"/>
  <c r="AA434" i="1"/>
  <c r="Z434" i="1"/>
  <c r="W434" i="1"/>
  <c r="Q434" i="1"/>
  <c r="L434" i="1"/>
  <c r="F434" i="1"/>
  <c r="AF433" i="1"/>
  <c r="AH433" i="1" s="1"/>
  <c r="AE433" i="1"/>
  <c r="AA433" i="1"/>
  <c r="Z433" i="1"/>
  <c r="W433" i="1"/>
  <c r="Q433" i="1"/>
  <c r="L433" i="1"/>
  <c r="F433" i="1"/>
  <c r="AF432" i="1"/>
  <c r="AH432" i="1" s="1"/>
  <c r="AE432" i="1"/>
  <c r="AA432" i="1"/>
  <c r="Z432" i="1"/>
  <c r="AC432" i="1" s="1"/>
  <c r="W432" i="1"/>
  <c r="Q432" i="1"/>
  <c r="L432" i="1"/>
  <c r="F432" i="1"/>
  <c r="AF431" i="1"/>
  <c r="AE431" i="1"/>
  <c r="AA431" i="1"/>
  <c r="Z431" i="1"/>
  <c r="AC431" i="1" s="1"/>
  <c r="W431" i="1"/>
  <c r="Q431" i="1"/>
  <c r="L431" i="1"/>
  <c r="F431" i="1"/>
  <c r="AF430" i="1"/>
  <c r="AH430" i="1" s="1"/>
  <c r="AE430" i="1"/>
  <c r="AA430" i="1"/>
  <c r="Z430" i="1"/>
  <c r="W430" i="1"/>
  <c r="Q430" i="1"/>
  <c r="L430" i="1"/>
  <c r="F430" i="1"/>
  <c r="AF429" i="1"/>
  <c r="AH429" i="1" s="1"/>
  <c r="AE429" i="1"/>
  <c r="AA429" i="1"/>
  <c r="Z429" i="1"/>
  <c r="AC429" i="1" s="1"/>
  <c r="W429" i="1"/>
  <c r="Q429" i="1"/>
  <c r="L429" i="1"/>
  <c r="F429" i="1"/>
  <c r="AF428" i="1"/>
  <c r="AH428" i="1" s="1"/>
  <c r="AE428" i="1"/>
  <c r="AA428" i="1"/>
  <c r="Z428" i="1"/>
  <c r="W428" i="1"/>
  <c r="Q428" i="1"/>
  <c r="L428" i="1"/>
  <c r="F428" i="1"/>
  <c r="AF427" i="1"/>
  <c r="AE427" i="1"/>
  <c r="AA427" i="1"/>
  <c r="Z427" i="1"/>
  <c r="AC427" i="1" s="1"/>
  <c r="W427" i="1"/>
  <c r="Q427" i="1"/>
  <c r="L427" i="1"/>
  <c r="F427" i="1"/>
  <c r="AF426" i="1"/>
  <c r="AE426" i="1"/>
  <c r="AH426" i="1" s="1"/>
  <c r="AA426" i="1"/>
  <c r="AC426" i="1" s="1"/>
  <c r="Z426" i="1"/>
  <c r="W426" i="1"/>
  <c r="Q426" i="1"/>
  <c r="L426" i="1"/>
  <c r="F426" i="1"/>
  <c r="AF425" i="1"/>
  <c r="AE425" i="1"/>
  <c r="AA425" i="1"/>
  <c r="Z425" i="1"/>
  <c r="W425" i="1"/>
  <c r="Q425" i="1"/>
  <c r="L425" i="1"/>
  <c r="F425" i="1"/>
  <c r="AF424" i="1"/>
  <c r="AE424" i="1"/>
  <c r="AH424" i="1" s="1"/>
  <c r="AA424" i="1"/>
  <c r="Z424" i="1"/>
  <c r="W424" i="1"/>
  <c r="Q424" i="1"/>
  <c r="L424" i="1"/>
  <c r="F424" i="1"/>
  <c r="AF423" i="1"/>
  <c r="AE423" i="1"/>
  <c r="AH423" i="1" s="1"/>
  <c r="AA423" i="1"/>
  <c r="Z423" i="1"/>
  <c r="W423" i="1"/>
  <c r="Q423" i="1"/>
  <c r="L423" i="1"/>
  <c r="F423" i="1"/>
  <c r="AF422" i="1"/>
  <c r="AH422" i="1" s="1"/>
  <c r="AE422" i="1"/>
  <c r="AA422" i="1"/>
  <c r="Z422" i="1"/>
  <c r="W422" i="1"/>
  <c r="Q422" i="1"/>
  <c r="L422" i="1"/>
  <c r="F422" i="1"/>
  <c r="AF421" i="1"/>
  <c r="AE421" i="1"/>
  <c r="AA421" i="1"/>
  <c r="Z421" i="1"/>
  <c r="W421" i="1"/>
  <c r="Q421" i="1"/>
  <c r="L421" i="1"/>
  <c r="F421" i="1"/>
  <c r="AF420" i="1"/>
  <c r="AE420" i="1"/>
  <c r="AH420" i="1" s="1"/>
  <c r="AA420" i="1"/>
  <c r="Z420" i="1"/>
  <c r="W420" i="1"/>
  <c r="Q420" i="1"/>
  <c r="L420" i="1"/>
  <c r="F420" i="1"/>
  <c r="AF419" i="1"/>
  <c r="AE419" i="1"/>
  <c r="AA419" i="1"/>
  <c r="Z419" i="1"/>
  <c r="W419" i="1"/>
  <c r="Q419" i="1"/>
  <c r="L419" i="1"/>
  <c r="F419" i="1"/>
  <c r="AF418" i="1"/>
  <c r="AH418" i="1" s="1"/>
  <c r="AE418" i="1"/>
  <c r="AA418" i="1"/>
  <c r="Z418" i="1"/>
  <c r="W418" i="1"/>
  <c r="Q418" i="1"/>
  <c r="L418" i="1"/>
  <c r="F418" i="1"/>
  <c r="AF417" i="1"/>
  <c r="AE417" i="1"/>
  <c r="AA417" i="1"/>
  <c r="Z417" i="1"/>
  <c r="W417" i="1"/>
  <c r="Q417" i="1"/>
  <c r="L417" i="1"/>
  <c r="F417" i="1"/>
  <c r="AF416" i="1"/>
  <c r="AE416" i="1"/>
  <c r="AA416" i="1"/>
  <c r="Z416" i="1"/>
  <c r="W416" i="1"/>
  <c r="Q416" i="1"/>
  <c r="L416" i="1"/>
  <c r="F416" i="1"/>
  <c r="AF415" i="1"/>
  <c r="AE415" i="1"/>
  <c r="AH415" i="1" s="1"/>
  <c r="AA415" i="1"/>
  <c r="AC415" i="1" s="1"/>
  <c r="Z415" i="1"/>
  <c r="W415" i="1"/>
  <c r="Q415" i="1"/>
  <c r="L415" i="1"/>
  <c r="F415" i="1"/>
  <c r="AF414" i="1"/>
  <c r="AH414" i="1" s="1"/>
  <c r="AE414" i="1"/>
  <c r="AA414" i="1"/>
  <c r="Z414" i="1"/>
  <c r="W414" i="1"/>
  <c r="Q414" i="1"/>
  <c r="L414" i="1"/>
  <c r="F414" i="1"/>
  <c r="AF413" i="1"/>
  <c r="AE413" i="1"/>
  <c r="AA413" i="1"/>
  <c r="Z413" i="1"/>
  <c r="AC413" i="1" s="1"/>
  <c r="W413" i="1"/>
  <c r="Q413" i="1"/>
  <c r="L413" i="1"/>
  <c r="F413" i="1"/>
  <c r="AF412" i="1"/>
  <c r="AH412" i="1" s="1"/>
  <c r="AE412" i="1"/>
  <c r="AA412" i="1"/>
  <c r="Z412" i="1"/>
  <c r="W412" i="1"/>
  <c r="Q412" i="1"/>
  <c r="L412" i="1"/>
  <c r="F412" i="1"/>
  <c r="AF411" i="1"/>
  <c r="AE411" i="1"/>
  <c r="AA411" i="1"/>
  <c r="Z411" i="1"/>
  <c r="W411" i="1"/>
  <c r="Q411" i="1"/>
  <c r="L411" i="1"/>
  <c r="F411" i="1"/>
  <c r="AF410" i="1"/>
  <c r="AH410" i="1" s="1"/>
  <c r="AE410" i="1"/>
  <c r="AA410" i="1"/>
  <c r="Z410" i="1"/>
  <c r="W410" i="1"/>
  <c r="Q410" i="1"/>
  <c r="L410" i="1"/>
  <c r="F410" i="1"/>
  <c r="AF409" i="1"/>
  <c r="AH409" i="1" s="1"/>
  <c r="AE409" i="1"/>
  <c r="AC409" i="1"/>
  <c r="AA409" i="1"/>
  <c r="Z409" i="1"/>
  <c r="W409" i="1"/>
  <c r="Q409" i="1"/>
  <c r="L409" i="1"/>
  <c r="F409" i="1"/>
  <c r="AH408" i="1"/>
  <c r="AF408" i="1"/>
  <c r="AE408" i="1"/>
  <c r="AA408" i="1"/>
  <c r="Z408" i="1"/>
  <c r="W408" i="1"/>
  <c r="Q408" i="1"/>
  <c r="L408" i="1"/>
  <c r="F408" i="1"/>
  <c r="AF407" i="1"/>
  <c r="AE407" i="1"/>
  <c r="AA407" i="1"/>
  <c r="AC407" i="1" s="1"/>
  <c r="Z407" i="1"/>
  <c r="W407" i="1"/>
  <c r="Q407" i="1"/>
  <c r="L407" i="1"/>
  <c r="F407" i="1"/>
  <c r="AF406" i="1"/>
  <c r="AH406" i="1" s="1"/>
  <c r="AE406" i="1"/>
  <c r="AA406" i="1"/>
  <c r="Z406" i="1"/>
  <c r="W406" i="1"/>
  <c r="Q406" i="1"/>
  <c r="L406" i="1"/>
  <c r="F406" i="1"/>
  <c r="AF405" i="1"/>
  <c r="AH405" i="1" s="1"/>
  <c r="AE405" i="1"/>
  <c r="AA405" i="1"/>
  <c r="Z405" i="1"/>
  <c r="W405" i="1"/>
  <c r="Q405" i="1"/>
  <c r="L405" i="1"/>
  <c r="F405" i="1"/>
  <c r="AF404" i="1"/>
  <c r="AE404" i="1"/>
  <c r="AH404" i="1" s="1"/>
  <c r="AA404" i="1"/>
  <c r="Z404" i="1"/>
  <c r="W404" i="1"/>
  <c r="Q404" i="1"/>
  <c r="L404" i="1"/>
  <c r="F404" i="1"/>
  <c r="AF403" i="1"/>
  <c r="AH403" i="1" s="1"/>
  <c r="AE403" i="1"/>
  <c r="AA403" i="1"/>
  <c r="AC403" i="1" s="1"/>
  <c r="Z403" i="1"/>
  <c r="W403" i="1"/>
  <c r="Q403" i="1"/>
  <c r="L403" i="1"/>
  <c r="F403" i="1"/>
  <c r="AF402" i="1"/>
  <c r="AH402" i="1" s="1"/>
  <c r="AE402" i="1"/>
  <c r="AA402" i="1"/>
  <c r="Z402" i="1"/>
  <c r="W402" i="1"/>
  <c r="Q402" i="1"/>
  <c r="L402" i="1"/>
  <c r="F402" i="1"/>
  <c r="AF401" i="1"/>
  <c r="AH401" i="1" s="1"/>
  <c r="AE401" i="1"/>
  <c r="AA401" i="1"/>
  <c r="Z401" i="1"/>
  <c r="W401" i="1"/>
  <c r="Q401" i="1"/>
  <c r="L401" i="1"/>
  <c r="F401" i="1"/>
  <c r="AF400" i="1"/>
  <c r="AE400" i="1"/>
  <c r="AA400" i="1"/>
  <c r="Z400" i="1"/>
  <c r="W400" i="1"/>
  <c r="Q400" i="1"/>
  <c r="L400" i="1"/>
  <c r="F400" i="1"/>
  <c r="AF399" i="1"/>
  <c r="AE399" i="1"/>
  <c r="AC399" i="1"/>
  <c r="AA399" i="1"/>
  <c r="Z399" i="1"/>
  <c r="W399" i="1"/>
  <c r="Q399" i="1"/>
  <c r="L399" i="1"/>
  <c r="F399" i="1"/>
  <c r="AF398" i="1"/>
  <c r="AE398" i="1"/>
  <c r="AA398" i="1"/>
  <c r="Z398" i="1"/>
  <c r="W398" i="1"/>
  <c r="Q398" i="1"/>
  <c r="L398" i="1"/>
  <c r="F398" i="1"/>
  <c r="AF397" i="1"/>
  <c r="AH397" i="1" s="1"/>
  <c r="AE397" i="1"/>
  <c r="AA397" i="1"/>
  <c r="AC397" i="1" s="1"/>
  <c r="Z397" i="1"/>
  <c r="W397" i="1"/>
  <c r="Q397" i="1"/>
  <c r="L397" i="1"/>
  <c r="F397" i="1"/>
  <c r="AF396" i="1"/>
  <c r="AE396" i="1"/>
  <c r="AA396" i="1"/>
  <c r="Z396" i="1"/>
  <c r="W396" i="1"/>
  <c r="Q396" i="1"/>
  <c r="L396" i="1"/>
  <c r="F396" i="1"/>
  <c r="AF395" i="1"/>
  <c r="AH395" i="1" s="1"/>
  <c r="AE395" i="1"/>
  <c r="AA395" i="1"/>
  <c r="AC395" i="1" s="1"/>
  <c r="Z395" i="1"/>
  <c r="W395" i="1"/>
  <c r="Q395" i="1"/>
  <c r="L395" i="1"/>
  <c r="F395" i="1"/>
  <c r="AF394" i="1"/>
  <c r="AE394" i="1"/>
  <c r="AH394" i="1" s="1"/>
  <c r="AA394" i="1"/>
  <c r="Z394" i="1"/>
  <c r="W394" i="1"/>
  <c r="Q394" i="1"/>
  <c r="L394" i="1"/>
  <c r="F394" i="1"/>
  <c r="AF393" i="1"/>
  <c r="AH393" i="1" s="1"/>
  <c r="AE393" i="1"/>
  <c r="AA393" i="1"/>
  <c r="Z393" i="1"/>
  <c r="AC393" i="1" s="1"/>
  <c r="W393" i="1"/>
  <c r="Q393" i="1"/>
  <c r="L393" i="1"/>
  <c r="F393" i="1"/>
  <c r="AF392" i="1"/>
  <c r="AH392" i="1" s="1"/>
  <c r="AE392" i="1"/>
  <c r="AA392" i="1"/>
  <c r="Z392" i="1"/>
  <c r="W392" i="1"/>
  <c r="Q392" i="1"/>
  <c r="L392" i="1"/>
  <c r="F392" i="1"/>
  <c r="AF391" i="1"/>
  <c r="AH391" i="1" s="1"/>
  <c r="AE391" i="1"/>
  <c r="AA391" i="1"/>
  <c r="Z391" i="1"/>
  <c r="W391" i="1"/>
  <c r="Q391" i="1"/>
  <c r="L391" i="1"/>
  <c r="F391" i="1"/>
  <c r="AH390" i="1"/>
  <c r="AF390" i="1"/>
  <c r="AE390" i="1"/>
  <c r="AA390" i="1"/>
  <c r="Z390" i="1"/>
  <c r="W390" i="1"/>
  <c r="Q390" i="1"/>
  <c r="L390" i="1"/>
  <c r="F390" i="1"/>
  <c r="AF389" i="1"/>
  <c r="AE389" i="1"/>
  <c r="AA389" i="1"/>
  <c r="Z389" i="1"/>
  <c r="W389" i="1"/>
  <c r="Q389" i="1"/>
  <c r="L389" i="1"/>
  <c r="F389" i="1"/>
  <c r="AF388" i="1"/>
  <c r="AE388" i="1"/>
  <c r="AA388" i="1"/>
  <c r="Z388" i="1"/>
  <c r="W388" i="1"/>
  <c r="Q388" i="1"/>
  <c r="L388" i="1"/>
  <c r="F388" i="1"/>
  <c r="AF387" i="1"/>
  <c r="AE387" i="1"/>
  <c r="AA387" i="1"/>
  <c r="Z387" i="1"/>
  <c r="AC387" i="1" s="1"/>
  <c r="W387" i="1"/>
  <c r="Q387" i="1"/>
  <c r="L387" i="1"/>
  <c r="F387" i="1"/>
  <c r="AF386" i="1"/>
  <c r="AE386" i="1"/>
  <c r="AA386" i="1"/>
  <c r="Z386" i="1"/>
  <c r="W386" i="1"/>
  <c r="Q386" i="1"/>
  <c r="L386" i="1"/>
  <c r="F386" i="1"/>
  <c r="AF385" i="1"/>
  <c r="AH385" i="1" s="1"/>
  <c r="AE385" i="1"/>
  <c r="AA385" i="1"/>
  <c r="Z385" i="1"/>
  <c r="W385" i="1"/>
  <c r="Q385" i="1"/>
  <c r="L385" i="1"/>
  <c r="F385" i="1"/>
  <c r="AH384" i="1"/>
  <c r="AF384" i="1"/>
  <c r="AE384" i="1"/>
  <c r="AA384" i="1"/>
  <c r="Z384" i="1"/>
  <c r="W384" i="1"/>
  <c r="Q384" i="1"/>
  <c r="L384" i="1"/>
  <c r="F384" i="1"/>
  <c r="AF383" i="1"/>
  <c r="AH383" i="1" s="1"/>
  <c r="AE383" i="1"/>
  <c r="AA383" i="1"/>
  <c r="Z383" i="1"/>
  <c r="AC383" i="1" s="1"/>
  <c r="W383" i="1"/>
  <c r="Q383" i="1"/>
  <c r="L383" i="1"/>
  <c r="F383" i="1"/>
  <c r="AF382" i="1"/>
  <c r="AH382" i="1" s="1"/>
  <c r="AE382" i="1"/>
  <c r="AA382" i="1"/>
  <c r="Z382" i="1"/>
  <c r="W382" i="1"/>
  <c r="Q382" i="1"/>
  <c r="L382" i="1"/>
  <c r="F382" i="1"/>
  <c r="AF381" i="1"/>
  <c r="AE381" i="1"/>
  <c r="AA381" i="1"/>
  <c r="Z381" i="1"/>
  <c r="AC381" i="1" s="1"/>
  <c r="W381" i="1"/>
  <c r="Q381" i="1"/>
  <c r="L381" i="1"/>
  <c r="F381" i="1"/>
  <c r="AF380" i="1"/>
  <c r="AE380" i="1"/>
  <c r="AH380" i="1" s="1"/>
  <c r="AA380" i="1"/>
  <c r="Z380" i="1"/>
  <c r="W380" i="1"/>
  <c r="Q380" i="1"/>
  <c r="L380" i="1"/>
  <c r="F380" i="1"/>
  <c r="AF379" i="1"/>
  <c r="AE379" i="1"/>
  <c r="AA379" i="1"/>
  <c r="Z379" i="1"/>
  <c r="AC379" i="1" s="1"/>
  <c r="W379" i="1"/>
  <c r="Q379" i="1"/>
  <c r="L379" i="1"/>
  <c r="F379" i="1"/>
  <c r="AF378" i="1"/>
  <c r="AH378" i="1" s="1"/>
  <c r="AE378" i="1"/>
  <c r="AA378" i="1"/>
  <c r="Z378" i="1"/>
  <c r="W378" i="1"/>
  <c r="Q378" i="1"/>
  <c r="L378" i="1"/>
  <c r="F378" i="1"/>
  <c r="AF377" i="1"/>
  <c r="AE377" i="1"/>
  <c r="AA377" i="1"/>
  <c r="AC377" i="1" s="1"/>
  <c r="Z377" i="1"/>
  <c r="W377" i="1"/>
  <c r="Q377" i="1"/>
  <c r="L377" i="1"/>
  <c r="F377" i="1"/>
  <c r="AF376" i="1"/>
  <c r="AE376" i="1"/>
  <c r="AH376" i="1" s="1"/>
  <c r="AA376" i="1"/>
  <c r="Z376" i="1"/>
  <c r="W376" i="1"/>
  <c r="Q376" i="1"/>
  <c r="L376" i="1"/>
  <c r="F376" i="1"/>
  <c r="AF375" i="1"/>
  <c r="AE375" i="1"/>
  <c r="AH375" i="1" s="1"/>
  <c r="AA375" i="1"/>
  <c r="Z375" i="1"/>
  <c r="W375" i="1"/>
  <c r="Q375" i="1"/>
  <c r="L375" i="1"/>
  <c r="F375" i="1"/>
  <c r="AH374" i="1"/>
  <c r="AF374" i="1"/>
  <c r="AE374" i="1"/>
  <c r="AA374" i="1"/>
  <c r="Z374" i="1"/>
  <c r="W374" i="1"/>
  <c r="Q374" i="1"/>
  <c r="L374" i="1"/>
  <c r="F374" i="1"/>
  <c r="AF373" i="1"/>
  <c r="AE373" i="1"/>
  <c r="AA373" i="1"/>
  <c r="Z373" i="1"/>
  <c r="W373" i="1"/>
  <c r="Q373" i="1"/>
  <c r="L373" i="1"/>
  <c r="F373" i="1"/>
  <c r="AF372" i="1"/>
  <c r="AE372" i="1"/>
  <c r="AH372" i="1" s="1"/>
  <c r="AA372" i="1"/>
  <c r="Z372" i="1"/>
  <c r="W372" i="1"/>
  <c r="Q372" i="1"/>
  <c r="L372" i="1"/>
  <c r="F372" i="1"/>
  <c r="AF371" i="1"/>
  <c r="AE371" i="1"/>
  <c r="AA371" i="1"/>
  <c r="Z371" i="1"/>
  <c r="W371" i="1"/>
  <c r="Q371" i="1"/>
  <c r="L371" i="1"/>
  <c r="F371" i="1"/>
  <c r="AF370" i="1"/>
  <c r="AE370" i="1"/>
  <c r="AA370" i="1"/>
  <c r="Z370" i="1"/>
  <c r="W370" i="1"/>
  <c r="Q370" i="1"/>
  <c r="L370" i="1"/>
  <c r="F370" i="1"/>
  <c r="AF369" i="1"/>
  <c r="AE369" i="1"/>
  <c r="AA369" i="1"/>
  <c r="Z369" i="1"/>
  <c r="W369" i="1"/>
  <c r="Q369" i="1"/>
  <c r="L369" i="1"/>
  <c r="F369" i="1"/>
  <c r="AF368" i="1"/>
  <c r="AH368" i="1" s="1"/>
  <c r="AE368" i="1"/>
  <c r="AA368" i="1"/>
  <c r="Z368" i="1"/>
  <c r="W368" i="1"/>
  <c r="Q368" i="1"/>
  <c r="L368" i="1"/>
  <c r="F368" i="1"/>
  <c r="AF367" i="1"/>
  <c r="AH367" i="1" s="1"/>
  <c r="AE367" i="1"/>
  <c r="AA367" i="1"/>
  <c r="Z367" i="1"/>
  <c r="W367" i="1"/>
  <c r="Q367" i="1"/>
  <c r="L367" i="1"/>
  <c r="F367" i="1"/>
  <c r="AF366" i="1"/>
  <c r="AE366" i="1"/>
  <c r="AA366" i="1"/>
  <c r="Z366" i="1"/>
  <c r="W366" i="1"/>
  <c r="Q366" i="1"/>
  <c r="L366" i="1"/>
  <c r="F366" i="1"/>
  <c r="AF365" i="1"/>
  <c r="AE365" i="1"/>
  <c r="AA365" i="1"/>
  <c r="Z365" i="1"/>
  <c r="AC365" i="1" s="1"/>
  <c r="W365" i="1"/>
  <c r="Q365" i="1"/>
  <c r="L365" i="1"/>
  <c r="F365" i="1"/>
  <c r="AF364" i="1"/>
  <c r="AH364" i="1" s="1"/>
  <c r="AE364" i="1"/>
  <c r="AA364" i="1"/>
  <c r="Z364" i="1"/>
  <c r="W364" i="1"/>
  <c r="Q364" i="1"/>
  <c r="L364" i="1"/>
  <c r="F364" i="1"/>
  <c r="AF363" i="1"/>
  <c r="AH363" i="1" s="1"/>
  <c r="AE363" i="1"/>
  <c r="AC363" i="1"/>
  <c r="AA363" i="1"/>
  <c r="Z363" i="1"/>
  <c r="W363" i="1"/>
  <c r="Q363" i="1"/>
  <c r="L363" i="1"/>
  <c r="F363" i="1"/>
  <c r="AH362" i="1"/>
  <c r="AF362" i="1"/>
  <c r="AE362" i="1"/>
  <c r="AA362" i="1"/>
  <c r="Z362" i="1"/>
  <c r="W362" i="1"/>
  <c r="Q362" i="1"/>
  <c r="L362" i="1"/>
  <c r="F362" i="1"/>
  <c r="AF361" i="1"/>
  <c r="AE361" i="1"/>
  <c r="AA361" i="1"/>
  <c r="AC361" i="1" s="1"/>
  <c r="Z361" i="1"/>
  <c r="W361" i="1"/>
  <c r="Q361" i="1"/>
  <c r="L361" i="1"/>
  <c r="F361" i="1"/>
  <c r="AF360" i="1"/>
  <c r="AE360" i="1"/>
  <c r="AH360" i="1" s="1"/>
  <c r="AA360" i="1"/>
  <c r="Z360" i="1"/>
  <c r="W360" i="1"/>
  <c r="Q360" i="1"/>
  <c r="L360" i="1"/>
  <c r="F360" i="1"/>
  <c r="AF359" i="1"/>
  <c r="AE359" i="1"/>
  <c r="AA359" i="1"/>
  <c r="Z359" i="1"/>
  <c r="W359" i="1"/>
  <c r="Q359" i="1"/>
  <c r="L359" i="1"/>
  <c r="F359" i="1"/>
  <c r="AF358" i="1"/>
  <c r="AE358" i="1"/>
  <c r="AA358" i="1"/>
  <c r="Z358" i="1"/>
  <c r="W358" i="1"/>
  <c r="Q358" i="1"/>
  <c r="L358" i="1"/>
  <c r="F358" i="1"/>
  <c r="AF357" i="1"/>
  <c r="AE357" i="1"/>
  <c r="AA357" i="1"/>
  <c r="Z357" i="1"/>
  <c r="W357" i="1"/>
  <c r="Q357" i="1"/>
  <c r="L357" i="1"/>
  <c r="F357" i="1"/>
  <c r="AF356" i="1"/>
  <c r="AE356" i="1"/>
  <c r="AH356" i="1" s="1"/>
  <c r="AA356" i="1"/>
  <c r="Z356" i="1"/>
  <c r="W356" i="1"/>
  <c r="Q356" i="1"/>
  <c r="L356" i="1"/>
  <c r="F356" i="1"/>
  <c r="AF355" i="1"/>
  <c r="AH355" i="1" s="1"/>
  <c r="AE355" i="1"/>
  <c r="AA355" i="1"/>
  <c r="Z355" i="1"/>
  <c r="W355" i="1"/>
  <c r="Q355" i="1"/>
  <c r="L355" i="1"/>
  <c r="F355" i="1"/>
  <c r="AF354" i="1"/>
  <c r="AE354" i="1"/>
  <c r="AA354" i="1"/>
  <c r="Z354" i="1"/>
  <c r="W354" i="1"/>
  <c r="Q354" i="1"/>
  <c r="L354" i="1"/>
  <c r="F354" i="1"/>
  <c r="AF353" i="1"/>
  <c r="AE353" i="1"/>
  <c r="AA353" i="1"/>
  <c r="Z353" i="1"/>
  <c r="W353" i="1"/>
  <c r="Q353" i="1"/>
  <c r="L353" i="1"/>
  <c r="F353" i="1"/>
  <c r="AF352" i="1"/>
  <c r="AH352" i="1" s="1"/>
  <c r="AE352" i="1"/>
  <c r="AA352" i="1"/>
  <c r="Z352" i="1"/>
  <c r="W352" i="1"/>
  <c r="Q352" i="1"/>
  <c r="L352" i="1"/>
  <c r="F352" i="1"/>
  <c r="AF351" i="1"/>
  <c r="AE351" i="1"/>
  <c r="AC351" i="1"/>
  <c r="AA351" i="1"/>
  <c r="Z351" i="1"/>
  <c r="W351" i="1"/>
  <c r="Q351" i="1"/>
  <c r="L351" i="1"/>
  <c r="F351" i="1"/>
  <c r="AF350" i="1"/>
  <c r="AE350" i="1"/>
  <c r="AA350" i="1"/>
  <c r="Z350" i="1"/>
  <c r="W350" i="1"/>
  <c r="Q350" i="1"/>
  <c r="L350" i="1"/>
  <c r="F350" i="1"/>
  <c r="AF349" i="1"/>
  <c r="AE349" i="1"/>
  <c r="AA349" i="1"/>
  <c r="Z349" i="1"/>
  <c r="AC349" i="1" s="1"/>
  <c r="W349" i="1"/>
  <c r="Q349" i="1"/>
  <c r="L349" i="1"/>
  <c r="F349" i="1"/>
  <c r="AF348" i="1"/>
  <c r="AH348" i="1" s="1"/>
  <c r="AE348" i="1"/>
  <c r="AA348" i="1"/>
  <c r="Z348" i="1"/>
  <c r="W348" i="1"/>
  <c r="Q348" i="1"/>
  <c r="L348" i="1"/>
  <c r="F348" i="1"/>
  <c r="AF347" i="1"/>
  <c r="AH347" i="1" s="1"/>
  <c r="AE347" i="1"/>
  <c r="AA347" i="1"/>
  <c r="Z347" i="1"/>
  <c r="AC347" i="1" s="1"/>
  <c r="W347" i="1"/>
  <c r="Q347" i="1"/>
  <c r="L347" i="1"/>
  <c r="F347" i="1"/>
  <c r="AF346" i="1"/>
  <c r="AH346" i="1" s="1"/>
  <c r="AE346" i="1"/>
  <c r="AA346" i="1"/>
  <c r="Z346" i="1"/>
  <c r="W346" i="1"/>
  <c r="Q346" i="1"/>
  <c r="L346" i="1"/>
  <c r="F346" i="1"/>
  <c r="AF345" i="1"/>
  <c r="AE345" i="1"/>
  <c r="AA345" i="1"/>
  <c r="Z345" i="1"/>
  <c r="AC345" i="1" s="1"/>
  <c r="W345" i="1"/>
  <c r="Q345" i="1"/>
  <c r="L345" i="1"/>
  <c r="F345" i="1"/>
  <c r="AF344" i="1"/>
  <c r="AH344" i="1" s="1"/>
  <c r="AE344" i="1"/>
  <c r="AA344" i="1"/>
  <c r="Z344" i="1"/>
  <c r="W344" i="1"/>
  <c r="Q344" i="1"/>
  <c r="L344" i="1"/>
  <c r="F344" i="1"/>
  <c r="AF343" i="1"/>
  <c r="AE343" i="1"/>
  <c r="AH343" i="1" s="1"/>
  <c r="AA343" i="1"/>
  <c r="Z343" i="1"/>
  <c r="W343" i="1"/>
  <c r="Q343" i="1"/>
  <c r="L343" i="1"/>
  <c r="F343" i="1"/>
  <c r="AF342" i="1"/>
  <c r="AE342" i="1"/>
  <c r="AA342" i="1"/>
  <c r="Z342" i="1"/>
  <c r="W342" i="1"/>
  <c r="Q342" i="1"/>
  <c r="L342" i="1"/>
  <c r="F342" i="1"/>
  <c r="AF341" i="1"/>
  <c r="AH341" i="1" s="1"/>
  <c r="AE341" i="1"/>
  <c r="AA341" i="1"/>
  <c r="AC341" i="1" s="1"/>
  <c r="Z341" i="1"/>
  <c r="W341" i="1"/>
  <c r="Q341" i="1"/>
  <c r="L341" i="1"/>
  <c r="F341" i="1"/>
  <c r="AF340" i="1"/>
  <c r="AE340" i="1"/>
  <c r="AA340" i="1"/>
  <c r="Z340" i="1"/>
  <c r="W340" i="1"/>
  <c r="Q340" i="1"/>
  <c r="L340" i="1"/>
  <c r="F340" i="1"/>
  <c r="AF339" i="1"/>
  <c r="AE339" i="1"/>
  <c r="AA339" i="1"/>
  <c r="Z339" i="1"/>
  <c r="W339" i="1"/>
  <c r="Q339" i="1"/>
  <c r="L339" i="1"/>
  <c r="F339" i="1"/>
  <c r="AF338" i="1"/>
  <c r="AE338" i="1"/>
  <c r="AA338" i="1"/>
  <c r="Z338" i="1"/>
  <c r="W338" i="1"/>
  <c r="Q338" i="1"/>
  <c r="L338" i="1"/>
  <c r="F338" i="1"/>
  <c r="AF337" i="1"/>
  <c r="AH337" i="1" s="1"/>
  <c r="AE337" i="1"/>
  <c r="AA337" i="1"/>
  <c r="AC337" i="1" s="1"/>
  <c r="Z337" i="1"/>
  <c r="W337" i="1"/>
  <c r="Q337" i="1"/>
  <c r="L337" i="1"/>
  <c r="F337" i="1"/>
  <c r="AF336" i="1"/>
  <c r="AH336" i="1" s="1"/>
  <c r="AE336" i="1"/>
  <c r="AA336" i="1"/>
  <c r="Z336" i="1"/>
  <c r="W336" i="1"/>
  <c r="Q336" i="1"/>
  <c r="L336" i="1"/>
  <c r="F336" i="1"/>
  <c r="AF335" i="1"/>
  <c r="AE335" i="1"/>
  <c r="AA335" i="1"/>
  <c r="AC335" i="1" s="1"/>
  <c r="Z335" i="1"/>
  <c r="W335" i="1"/>
  <c r="Q335" i="1"/>
  <c r="L335" i="1"/>
  <c r="F335" i="1"/>
  <c r="AF334" i="1"/>
  <c r="AH334" i="1" s="1"/>
  <c r="AE334" i="1"/>
  <c r="AA334" i="1"/>
  <c r="Z334" i="1"/>
  <c r="W334" i="1"/>
  <c r="Q334" i="1"/>
  <c r="L334" i="1"/>
  <c r="F334" i="1"/>
  <c r="AF333" i="1"/>
  <c r="AE333" i="1"/>
  <c r="AA333" i="1"/>
  <c r="Z333" i="1"/>
  <c r="AC333" i="1" s="1"/>
  <c r="W333" i="1"/>
  <c r="Q333" i="1"/>
  <c r="L333" i="1"/>
  <c r="F333" i="1"/>
  <c r="AF332" i="1"/>
  <c r="AH332" i="1" s="1"/>
  <c r="AE332" i="1"/>
  <c r="AA332" i="1"/>
  <c r="Z332" i="1"/>
  <c r="W332" i="1"/>
  <c r="Q332" i="1"/>
  <c r="L332" i="1"/>
  <c r="F332" i="1"/>
  <c r="AF331" i="1"/>
  <c r="AH331" i="1" s="1"/>
  <c r="AE331" i="1"/>
  <c r="AA331" i="1"/>
  <c r="Z331" i="1"/>
  <c r="AC331" i="1" s="1"/>
  <c r="W331" i="1"/>
  <c r="Q331" i="1"/>
  <c r="L331" i="1"/>
  <c r="F331" i="1"/>
  <c r="AF330" i="1"/>
  <c r="AE330" i="1"/>
  <c r="AA330" i="1"/>
  <c r="Z330" i="1"/>
  <c r="W330" i="1"/>
  <c r="Q330" i="1"/>
  <c r="L330" i="1"/>
  <c r="F330" i="1"/>
  <c r="AF329" i="1"/>
  <c r="AH329" i="1" s="1"/>
  <c r="AE329" i="1"/>
  <c r="AA329" i="1"/>
  <c r="Z329" i="1"/>
  <c r="W329" i="1"/>
  <c r="Q329" i="1"/>
  <c r="L329" i="1"/>
  <c r="F329" i="1"/>
  <c r="AH328" i="1"/>
  <c r="AF328" i="1"/>
  <c r="AE328" i="1"/>
  <c r="AA328" i="1"/>
  <c r="Z328" i="1"/>
  <c r="W328" i="1"/>
  <c r="Q328" i="1"/>
  <c r="L328" i="1"/>
  <c r="F328" i="1"/>
  <c r="AF327" i="1"/>
  <c r="AE327" i="1"/>
  <c r="AH327" i="1" s="1"/>
  <c r="AA327" i="1"/>
  <c r="Z327" i="1"/>
  <c r="W327" i="1"/>
  <c r="Q327" i="1"/>
  <c r="L327" i="1"/>
  <c r="F327" i="1"/>
  <c r="AF326" i="1"/>
  <c r="AH326" i="1" s="1"/>
  <c r="AE326" i="1"/>
  <c r="AA326" i="1"/>
  <c r="Z326" i="1"/>
  <c r="W326" i="1"/>
  <c r="Q326" i="1"/>
  <c r="L326" i="1"/>
  <c r="F326" i="1"/>
  <c r="AF325" i="1"/>
  <c r="AH325" i="1" s="1"/>
  <c r="AE325" i="1"/>
  <c r="AA325" i="1"/>
  <c r="Z325" i="1"/>
  <c r="W325" i="1"/>
  <c r="Q325" i="1"/>
  <c r="L325" i="1"/>
  <c r="F325" i="1"/>
  <c r="AF324" i="1"/>
  <c r="AE324" i="1"/>
  <c r="AA324" i="1"/>
  <c r="Z324" i="1"/>
  <c r="W324" i="1"/>
  <c r="Q324" i="1"/>
  <c r="L324" i="1"/>
  <c r="F324" i="1"/>
  <c r="AF323" i="1"/>
  <c r="AE323" i="1"/>
  <c r="AA323" i="1"/>
  <c r="Z323" i="1"/>
  <c r="W323" i="1"/>
  <c r="Q323" i="1"/>
  <c r="L323" i="1"/>
  <c r="F323" i="1"/>
  <c r="AF322" i="1"/>
  <c r="AE322" i="1"/>
  <c r="AA322" i="1"/>
  <c r="Z322" i="1"/>
  <c r="W322" i="1"/>
  <c r="Q322" i="1"/>
  <c r="L322" i="1"/>
  <c r="F322" i="1"/>
  <c r="AF321" i="1"/>
  <c r="AE321" i="1"/>
  <c r="AA321" i="1"/>
  <c r="Z321" i="1"/>
  <c r="W321" i="1"/>
  <c r="Q321" i="1"/>
  <c r="L321" i="1"/>
  <c r="F321" i="1"/>
  <c r="AF320" i="1"/>
  <c r="AE320" i="1"/>
  <c r="AH320" i="1" s="1"/>
  <c r="AA320" i="1"/>
  <c r="Z320" i="1"/>
  <c r="W320" i="1"/>
  <c r="Q320" i="1"/>
  <c r="L320" i="1"/>
  <c r="F320" i="1"/>
  <c r="AF319" i="1"/>
  <c r="AE319" i="1"/>
  <c r="AA319" i="1"/>
  <c r="Z319" i="1"/>
  <c r="AC319" i="1" s="1"/>
  <c r="W319" i="1"/>
  <c r="Q319" i="1"/>
  <c r="L319" i="1"/>
  <c r="F319" i="1"/>
  <c r="AF318" i="1"/>
  <c r="AH318" i="1" s="1"/>
  <c r="AE318" i="1"/>
  <c r="AA318" i="1"/>
  <c r="Z318" i="1"/>
  <c r="W318" i="1"/>
  <c r="Q318" i="1"/>
  <c r="L318" i="1"/>
  <c r="F318" i="1"/>
  <c r="AF317" i="1"/>
  <c r="AE317" i="1"/>
  <c r="AA317" i="1"/>
  <c r="Z317" i="1"/>
  <c r="AC317" i="1" s="1"/>
  <c r="W317" i="1"/>
  <c r="Q317" i="1"/>
  <c r="L317" i="1"/>
  <c r="F317" i="1"/>
  <c r="AF316" i="1"/>
  <c r="AE316" i="1"/>
  <c r="AA316" i="1"/>
  <c r="Z316" i="1"/>
  <c r="W316" i="1"/>
  <c r="Q316" i="1"/>
  <c r="L316" i="1"/>
  <c r="F316" i="1"/>
  <c r="AF315" i="1"/>
  <c r="AE315" i="1"/>
  <c r="AA315" i="1"/>
  <c r="Z315" i="1"/>
  <c r="AC315" i="1" s="1"/>
  <c r="W315" i="1"/>
  <c r="Q315" i="1"/>
  <c r="L315" i="1"/>
  <c r="F315" i="1"/>
  <c r="AF314" i="1"/>
  <c r="AE314" i="1"/>
  <c r="AA314" i="1"/>
  <c r="Z314" i="1"/>
  <c r="AC314" i="1" s="1"/>
  <c r="W314" i="1"/>
  <c r="Q314" i="1"/>
  <c r="L314" i="1"/>
  <c r="F314" i="1"/>
  <c r="AF313" i="1"/>
  <c r="AE313" i="1"/>
  <c r="AA313" i="1"/>
  <c r="Z313" i="1"/>
  <c r="W313" i="1"/>
  <c r="Q313" i="1"/>
  <c r="L313" i="1"/>
  <c r="F313" i="1"/>
  <c r="AF312" i="1"/>
  <c r="AH312" i="1" s="1"/>
  <c r="AE312" i="1"/>
  <c r="AA312" i="1"/>
  <c r="Z312" i="1"/>
  <c r="W312" i="1"/>
  <c r="Q312" i="1"/>
  <c r="L312" i="1"/>
  <c r="F312" i="1"/>
  <c r="AF311" i="1"/>
  <c r="AE311" i="1"/>
  <c r="AH311" i="1" s="1"/>
  <c r="AA311" i="1"/>
  <c r="Z311" i="1"/>
  <c r="W311" i="1"/>
  <c r="Q311" i="1"/>
  <c r="L311" i="1"/>
  <c r="F311" i="1"/>
  <c r="AF310" i="1"/>
  <c r="AE310" i="1"/>
  <c r="AH310" i="1" s="1"/>
  <c r="AA310" i="1"/>
  <c r="Z310" i="1"/>
  <c r="W310" i="1"/>
  <c r="Q310" i="1"/>
  <c r="L310" i="1"/>
  <c r="F310" i="1"/>
  <c r="AF309" i="1"/>
  <c r="AE309" i="1"/>
  <c r="AA309" i="1"/>
  <c r="Z309" i="1"/>
  <c r="W309" i="1"/>
  <c r="Q309" i="1"/>
  <c r="L309" i="1"/>
  <c r="F309" i="1"/>
  <c r="AF308" i="1"/>
  <c r="AE308" i="1"/>
  <c r="AA308" i="1"/>
  <c r="Z308" i="1"/>
  <c r="W308" i="1"/>
  <c r="Q308" i="1"/>
  <c r="L308" i="1"/>
  <c r="F308" i="1"/>
  <c r="AF307" i="1"/>
  <c r="AE307" i="1"/>
  <c r="AA307" i="1"/>
  <c r="Z307" i="1"/>
  <c r="AC307" i="1" s="1"/>
  <c r="W307" i="1"/>
  <c r="Q307" i="1"/>
  <c r="L307" i="1"/>
  <c r="F307" i="1"/>
  <c r="AF306" i="1"/>
  <c r="AE306" i="1"/>
  <c r="AA306" i="1"/>
  <c r="Z306" i="1"/>
  <c r="W306" i="1"/>
  <c r="Q306" i="1"/>
  <c r="L306" i="1"/>
  <c r="F306" i="1"/>
  <c r="AF305" i="1"/>
  <c r="AE305" i="1"/>
  <c r="AA305" i="1"/>
  <c r="Z305" i="1"/>
  <c r="W305" i="1"/>
  <c r="Q305" i="1"/>
  <c r="L305" i="1"/>
  <c r="F305" i="1"/>
  <c r="AF304" i="1"/>
  <c r="AH304" i="1" s="1"/>
  <c r="AE304" i="1"/>
  <c r="AA304" i="1"/>
  <c r="Z304" i="1"/>
  <c r="W304" i="1"/>
  <c r="Q304" i="1"/>
  <c r="L304" i="1"/>
  <c r="F304" i="1"/>
  <c r="AF303" i="1"/>
  <c r="AH303" i="1" s="1"/>
  <c r="AE303" i="1"/>
  <c r="AA303" i="1"/>
  <c r="Z303" i="1"/>
  <c r="W303" i="1"/>
  <c r="Q303" i="1"/>
  <c r="L303" i="1"/>
  <c r="F303" i="1"/>
  <c r="AF302" i="1"/>
  <c r="AE302" i="1"/>
  <c r="AA302" i="1"/>
  <c r="AC302" i="1" s="1"/>
  <c r="Z302" i="1"/>
  <c r="W302" i="1"/>
  <c r="Q302" i="1"/>
  <c r="L302" i="1"/>
  <c r="F302" i="1"/>
  <c r="AF301" i="1"/>
  <c r="AE301" i="1"/>
  <c r="AA301" i="1"/>
  <c r="Z301" i="1"/>
  <c r="AC301" i="1" s="1"/>
  <c r="W301" i="1"/>
  <c r="Q301" i="1"/>
  <c r="L301" i="1"/>
  <c r="F301" i="1"/>
  <c r="AF300" i="1"/>
  <c r="AE300" i="1"/>
  <c r="AA300" i="1"/>
  <c r="Z300" i="1"/>
  <c r="W300" i="1"/>
  <c r="Q300" i="1"/>
  <c r="L300" i="1"/>
  <c r="F300" i="1"/>
  <c r="AF299" i="1"/>
  <c r="AE299" i="1"/>
  <c r="AC299" i="1"/>
  <c r="AA299" i="1"/>
  <c r="Z299" i="1"/>
  <c r="W299" i="1"/>
  <c r="Q299" i="1"/>
  <c r="L299" i="1"/>
  <c r="F299" i="1"/>
  <c r="AF298" i="1"/>
  <c r="AE298" i="1"/>
  <c r="AA298" i="1"/>
  <c r="Z298" i="1"/>
  <c r="W298" i="1"/>
  <c r="Q298" i="1"/>
  <c r="L298" i="1"/>
  <c r="F298" i="1"/>
  <c r="AF297" i="1"/>
  <c r="AE297" i="1"/>
  <c r="AA297" i="1"/>
  <c r="Z297" i="1"/>
  <c r="W297" i="1"/>
  <c r="Q297" i="1"/>
  <c r="L297" i="1"/>
  <c r="F297" i="1"/>
  <c r="AF296" i="1"/>
  <c r="AH296" i="1" s="1"/>
  <c r="AE296" i="1"/>
  <c r="AA296" i="1"/>
  <c r="Z296" i="1"/>
  <c r="W296" i="1"/>
  <c r="Q296" i="1"/>
  <c r="L296" i="1"/>
  <c r="F296" i="1"/>
  <c r="AF295" i="1"/>
  <c r="AE295" i="1"/>
  <c r="AA295" i="1"/>
  <c r="Z295" i="1"/>
  <c r="W295" i="1"/>
  <c r="Q295" i="1"/>
  <c r="L295" i="1"/>
  <c r="F295" i="1"/>
  <c r="AF294" i="1"/>
  <c r="AH294" i="1" s="1"/>
  <c r="AE294" i="1"/>
  <c r="AA294" i="1"/>
  <c r="Z294" i="1"/>
  <c r="W294" i="1"/>
  <c r="Q294" i="1"/>
  <c r="L294" i="1"/>
  <c r="F294" i="1"/>
  <c r="AF293" i="1"/>
  <c r="AE293" i="1"/>
  <c r="AA293" i="1"/>
  <c r="AC293" i="1" s="1"/>
  <c r="Z293" i="1"/>
  <c r="W293" i="1"/>
  <c r="Q293" i="1"/>
  <c r="L293" i="1"/>
  <c r="F293" i="1"/>
  <c r="AF292" i="1"/>
  <c r="AE292" i="1"/>
  <c r="AA292" i="1"/>
  <c r="Z292" i="1"/>
  <c r="W292" i="1"/>
  <c r="Q292" i="1"/>
  <c r="L292" i="1"/>
  <c r="F292" i="1"/>
  <c r="AF291" i="1"/>
  <c r="AE291" i="1"/>
  <c r="AA291" i="1"/>
  <c r="Z291" i="1"/>
  <c r="W291" i="1"/>
  <c r="Q291" i="1"/>
  <c r="L291" i="1"/>
  <c r="F291" i="1"/>
  <c r="AF290" i="1"/>
  <c r="AH290" i="1" s="1"/>
  <c r="AE290" i="1"/>
  <c r="AA290" i="1"/>
  <c r="Z290" i="1"/>
  <c r="W290" i="1"/>
  <c r="Q290" i="1"/>
  <c r="L290" i="1"/>
  <c r="F290" i="1"/>
  <c r="AF289" i="1"/>
  <c r="AE289" i="1"/>
  <c r="AA289" i="1"/>
  <c r="AC289" i="1" s="1"/>
  <c r="Z289" i="1"/>
  <c r="W289" i="1"/>
  <c r="Q289" i="1"/>
  <c r="L289" i="1"/>
  <c r="F289" i="1"/>
  <c r="AF288" i="1"/>
  <c r="AH288" i="1" s="1"/>
  <c r="AE288" i="1"/>
  <c r="AA288" i="1"/>
  <c r="Z288" i="1"/>
  <c r="W288" i="1"/>
  <c r="Q288" i="1"/>
  <c r="L288" i="1"/>
  <c r="F288" i="1"/>
  <c r="AH287" i="1"/>
  <c r="AF287" i="1"/>
  <c r="AE287" i="1"/>
  <c r="AC287" i="1"/>
  <c r="AA287" i="1"/>
  <c r="Z287" i="1"/>
  <c r="W287" i="1"/>
  <c r="Q287" i="1"/>
  <c r="L287" i="1"/>
  <c r="F287" i="1"/>
  <c r="AF286" i="1"/>
  <c r="AE286" i="1"/>
  <c r="AA286" i="1"/>
  <c r="Z286" i="1"/>
  <c r="W286" i="1"/>
  <c r="Q286" i="1"/>
  <c r="L286" i="1"/>
  <c r="F286" i="1"/>
  <c r="AF285" i="1"/>
  <c r="AH285" i="1" s="1"/>
  <c r="AE285" i="1"/>
  <c r="AA285" i="1"/>
  <c r="Z285" i="1"/>
  <c r="AC285" i="1" s="1"/>
  <c r="W285" i="1"/>
  <c r="Q285" i="1"/>
  <c r="L285" i="1"/>
  <c r="F285" i="1"/>
  <c r="AF284" i="1"/>
  <c r="AE284" i="1"/>
  <c r="AA284" i="1"/>
  <c r="Z284" i="1"/>
  <c r="W284" i="1"/>
  <c r="Q284" i="1"/>
  <c r="L284" i="1"/>
  <c r="F284" i="1"/>
  <c r="AF283" i="1"/>
  <c r="AE283" i="1"/>
  <c r="AA283" i="1"/>
  <c r="Z283" i="1"/>
  <c r="AC283" i="1" s="1"/>
  <c r="W283" i="1"/>
  <c r="Q283" i="1"/>
  <c r="L283" i="1"/>
  <c r="F283" i="1"/>
  <c r="AF282" i="1"/>
  <c r="AH282" i="1" s="1"/>
  <c r="AE282" i="1"/>
  <c r="AA282" i="1"/>
  <c r="Z282" i="1"/>
  <c r="W282" i="1"/>
  <c r="Q282" i="1"/>
  <c r="L282" i="1"/>
  <c r="F282" i="1"/>
  <c r="AF281" i="1"/>
  <c r="AE281" i="1"/>
  <c r="AA281" i="1"/>
  <c r="Z281" i="1"/>
  <c r="AC281" i="1" s="1"/>
  <c r="W281" i="1"/>
  <c r="Q281" i="1"/>
  <c r="L281" i="1"/>
  <c r="F281" i="1"/>
  <c r="AF280" i="1"/>
  <c r="AE280" i="1"/>
  <c r="AA280" i="1"/>
  <c r="Z280" i="1"/>
  <c r="W280" i="1"/>
  <c r="Q280" i="1"/>
  <c r="L280" i="1"/>
  <c r="F280" i="1"/>
  <c r="AF279" i="1"/>
  <c r="AE279" i="1"/>
  <c r="AH279" i="1" s="1"/>
  <c r="AA279" i="1"/>
  <c r="Z279" i="1"/>
  <c r="W279" i="1"/>
  <c r="Q279" i="1"/>
  <c r="L279" i="1"/>
  <c r="F279" i="1"/>
  <c r="AF278" i="1"/>
  <c r="AE278" i="1"/>
  <c r="AA278" i="1"/>
  <c r="Z278" i="1"/>
  <c r="AC278" i="1" s="1"/>
  <c r="W278" i="1"/>
  <c r="Q278" i="1"/>
  <c r="L278" i="1"/>
  <c r="F278" i="1"/>
  <c r="AF277" i="1"/>
  <c r="AH277" i="1" s="1"/>
  <c r="AE277" i="1"/>
  <c r="AA277" i="1"/>
  <c r="Z277" i="1"/>
  <c r="W277" i="1"/>
  <c r="Q277" i="1"/>
  <c r="L277" i="1"/>
  <c r="F277" i="1"/>
  <c r="AF276" i="1"/>
  <c r="AE276" i="1"/>
  <c r="AH276" i="1" s="1"/>
  <c r="AA276" i="1"/>
  <c r="Z276" i="1"/>
  <c r="W276" i="1"/>
  <c r="Q276" i="1"/>
  <c r="L276" i="1"/>
  <c r="F276" i="1"/>
  <c r="AF275" i="1"/>
  <c r="AE275" i="1"/>
  <c r="AA275" i="1"/>
  <c r="Z275" i="1"/>
  <c r="W275" i="1"/>
  <c r="Q275" i="1"/>
  <c r="L275" i="1"/>
  <c r="F275" i="1"/>
  <c r="AF274" i="1"/>
  <c r="AE274" i="1"/>
  <c r="AA274" i="1"/>
  <c r="Z274" i="1"/>
  <c r="W274" i="1"/>
  <c r="Q274" i="1"/>
  <c r="L274" i="1"/>
  <c r="F274" i="1"/>
  <c r="AF273" i="1"/>
  <c r="AE273" i="1"/>
  <c r="AA273" i="1"/>
  <c r="Z273" i="1"/>
  <c r="W273" i="1"/>
  <c r="Q273" i="1"/>
  <c r="L273" i="1"/>
  <c r="F273" i="1"/>
  <c r="AF272" i="1"/>
  <c r="AE272" i="1"/>
  <c r="AA272" i="1"/>
  <c r="Z272" i="1"/>
  <c r="W272" i="1"/>
  <c r="Q272" i="1"/>
  <c r="L272" i="1"/>
  <c r="F272" i="1"/>
  <c r="AF271" i="1"/>
  <c r="AE271" i="1"/>
  <c r="AA271" i="1"/>
  <c r="Z271" i="1"/>
  <c r="W271" i="1"/>
  <c r="Q271" i="1"/>
  <c r="L271" i="1"/>
  <c r="F271" i="1"/>
  <c r="AF270" i="1"/>
  <c r="AE270" i="1"/>
  <c r="AA270" i="1"/>
  <c r="Z270" i="1"/>
  <c r="W270" i="1"/>
  <c r="Q270" i="1"/>
  <c r="L270" i="1"/>
  <c r="F270" i="1"/>
  <c r="AF269" i="1"/>
  <c r="AE269" i="1"/>
  <c r="AA269" i="1"/>
  <c r="Z269" i="1"/>
  <c r="W269" i="1"/>
  <c r="Q269" i="1"/>
  <c r="L269" i="1"/>
  <c r="F269" i="1"/>
  <c r="AF268" i="1"/>
  <c r="AE268" i="1"/>
  <c r="AA268" i="1"/>
  <c r="AC268" i="1" s="1"/>
  <c r="Z268" i="1"/>
  <c r="W268" i="1"/>
  <c r="Q268" i="1"/>
  <c r="L268" i="1"/>
  <c r="F268" i="1"/>
  <c r="AF267" i="1"/>
  <c r="AE267" i="1"/>
  <c r="AA267" i="1"/>
  <c r="Z267" i="1"/>
  <c r="W267" i="1"/>
  <c r="Q267" i="1"/>
  <c r="L267" i="1"/>
  <c r="F267" i="1"/>
  <c r="AF266" i="1"/>
  <c r="AE266" i="1"/>
  <c r="AH266" i="1" s="1"/>
  <c r="AA266" i="1"/>
  <c r="Z266" i="1"/>
  <c r="W266" i="1"/>
  <c r="Q266" i="1"/>
  <c r="L266" i="1"/>
  <c r="F266" i="1"/>
  <c r="AF265" i="1"/>
  <c r="AE265" i="1"/>
  <c r="AA265" i="1"/>
  <c r="Z265" i="1"/>
  <c r="W265" i="1"/>
  <c r="Q265" i="1"/>
  <c r="L265" i="1"/>
  <c r="F265" i="1"/>
  <c r="AF264" i="1"/>
  <c r="AH264" i="1" s="1"/>
  <c r="AE264" i="1"/>
  <c r="AA264" i="1"/>
  <c r="Z264" i="1"/>
  <c r="W264" i="1"/>
  <c r="Q264" i="1"/>
  <c r="L264" i="1"/>
  <c r="F264" i="1"/>
  <c r="AF263" i="1"/>
  <c r="AE263" i="1"/>
  <c r="AA263" i="1"/>
  <c r="Z263" i="1"/>
  <c r="W263" i="1"/>
  <c r="Q263" i="1"/>
  <c r="L263" i="1"/>
  <c r="F263" i="1"/>
  <c r="AF262" i="1"/>
  <c r="AH262" i="1" s="1"/>
  <c r="AE262" i="1"/>
  <c r="AA262" i="1"/>
  <c r="Z262" i="1"/>
  <c r="W262" i="1"/>
  <c r="Q262" i="1"/>
  <c r="L262" i="1"/>
  <c r="F262" i="1"/>
  <c r="AF261" i="1"/>
  <c r="AE261" i="1"/>
  <c r="AH261" i="1" s="1"/>
  <c r="AA261" i="1"/>
  <c r="Z261" i="1"/>
  <c r="W261" i="1"/>
  <c r="Q261" i="1"/>
  <c r="L261" i="1"/>
  <c r="F261" i="1"/>
  <c r="AF260" i="1"/>
  <c r="AE260" i="1"/>
  <c r="AH260" i="1" s="1"/>
  <c r="AA260" i="1"/>
  <c r="Z260" i="1"/>
  <c r="W260" i="1"/>
  <c r="Q260" i="1"/>
  <c r="L260" i="1"/>
  <c r="F260" i="1"/>
  <c r="AF259" i="1"/>
  <c r="AH259" i="1" s="1"/>
  <c r="AE259" i="1"/>
  <c r="AA259" i="1"/>
  <c r="Z259" i="1"/>
  <c r="W259" i="1"/>
  <c r="Q259" i="1"/>
  <c r="L259" i="1"/>
  <c r="F259" i="1"/>
  <c r="AF258" i="1"/>
  <c r="AH258" i="1" s="1"/>
  <c r="AE258" i="1"/>
  <c r="AA258" i="1"/>
  <c r="Z258" i="1"/>
  <c r="W258" i="1"/>
  <c r="Q258" i="1"/>
  <c r="L258" i="1"/>
  <c r="F258" i="1"/>
  <c r="AF257" i="1"/>
  <c r="AE257" i="1"/>
  <c r="AA257" i="1"/>
  <c r="Z257" i="1"/>
  <c r="W257" i="1"/>
  <c r="Q257" i="1"/>
  <c r="L257" i="1"/>
  <c r="F257" i="1"/>
  <c r="AF256" i="1"/>
  <c r="AE256" i="1"/>
  <c r="AA256" i="1"/>
  <c r="Z256" i="1"/>
  <c r="W256" i="1"/>
  <c r="Q256" i="1"/>
  <c r="L256" i="1"/>
  <c r="F256" i="1"/>
  <c r="AF255" i="1"/>
  <c r="AE255" i="1"/>
  <c r="AA255" i="1"/>
  <c r="Z255" i="1"/>
  <c r="W255" i="1"/>
  <c r="Q255" i="1"/>
  <c r="L255" i="1"/>
  <c r="F255" i="1"/>
  <c r="AF254" i="1"/>
  <c r="AH254" i="1" s="1"/>
  <c r="AE254" i="1"/>
  <c r="AA254" i="1"/>
  <c r="Z254" i="1"/>
  <c r="W254" i="1"/>
  <c r="Q254" i="1"/>
  <c r="L254" i="1"/>
  <c r="F254" i="1"/>
  <c r="AF253" i="1"/>
  <c r="AH253" i="1" s="1"/>
  <c r="AE253" i="1"/>
  <c r="AA253" i="1"/>
  <c r="Z253" i="1"/>
  <c r="AC253" i="1" s="1"/>
  <c r="W253" i="1"/>
  <c r="Q253" i="1"/>
  <c r="L253" i="1"/>
  <c r="F253" i="1"/>
  <c r="AF252" i="1"/>
  <c r="AH252" i="1" s="1"/>
  <c r="AE252" i="1"/>
  <c r="AA252" i="1"/>
  <c r="Z252" i="1"/>
  <c r="W252" i="1"/>
  <c r="Q252" i="1"/>
  <c r="L252" i="1"/>
  <c r="F252" i="1"/>
  <c r="AF251" i="1"/>
  <c r="AH251" i="1" s="1"/>
  <c r="AE251" i="1"/>
  <c r="AA251" i="1"/>
  <c r="AC251" i="1" s="1"/>
  <c r="Z251" i="1"/>
  <c r="W251" i="1"/>
  <c r="Q251" i="1"/>
  <c r="L251" i="1"/>
  <c r="F251" i="1"/>
  <c r="AF250" i="1"/>
  <c r="AE250" i="1"/>
  <c r="AA250" i="1"/>
  <c r="Z250" i="1"/>
  <c r="AC250" i="1" s="1"/>
  <c r="W250" i="1"/>
  <c r="Q250" i="1"/>
  <c r="L250" i="1"/>
  <c r="F250" i="1"/>
  <c r="AF249" i="1"/>
  <c r="AE249" i="1"/>
  <c r="AA249" i="1"/>
  <c r="Z249" i="1"/>
  <c r="W249" i="1"/>
  <c r="Q249" i="1"/>
  <c r="L249" i="1"/>
  <c r="F249" i="1"/>
  <c r="AF248" i="1"/>
  <c r="AH248" i="1" s="1"/>
  <c r="AE248" i="1"/>
  <c r="AA248" i="1"/>
  <c r="AC248" i="1" s="1"/>
  <c r="Z248" i="1"/>
  <c r="W248" i="1"/>
  <c r="Q248" i="1"/>
  <c r="L248" i="1"/>
  <c r="F248" i="1"/>
  <c r="AF247" i="1"/>
  <c r="AE247" i="1"/>
  <c r="AH247" i="1" s="1"/>
  <c r="AA247" i="1"/>
  <c r="Z247" i="1"/>
  <c r="W247" i="1"/>
  <c r="Q247" i="1"/>
  <c r="L247" i="1"/>
  <c r="F247" i="1"/>
  <c r="AF246" i="1"/>
  <c r="AE246" i="1"/>
  <c r="AA246" i="1"/>
  <c r="Z246" i="1"/>
  <c r="W246" i="1"/>
  <c r="Q246" i="1"/>
  <c r="L246" i="1"/>
  <c r="F246" i="1"/>
  <c r="AF245" i="1"/>
  <c r="AE245" i="1"/>
  <c r="AA245" i="1"/>
  <c r="Z245" i="1"/>
  <c r="W245" i="1"/>
  <c r="Q245" i="1"/>
  <c r="L245" i="1"/>
  <c r="F245" i="1"/>
  <c r="AF244" i="1"/>
  <c r="AE244" i="1"/>
  <c r="AH244" i="1" s="1"/>
  <c r="AA244" i="1"/>
  <c r="AC244" i="1" s="1"/>
  <c r="Z244" i="1"/>
  <c r="W244" i="1"/>
  <c r="Q244" i="1"/>
  <c r="L244" i="1"/>
  <c r="F244" i="1"/>
  <c r="AF243" i="1"/>
  <c r="AE243" i="1"/>
  <c r="AA243" i="1"/>
  <c r="AC243" i="1" s="1"/>
  <c r="Z243" i="1"/>
  <c r="W243" i="1"/>
  <c r="Q243" i="1"/>
  <c r="L243" i="1"/>
  <c r="F243" i="1"/>
  <c r="AF242" i="1"/>
  <c r="AE242" i="1"/>
  <c r="AA242" i="1"/>
  <c r="Z242" i="1"/>
  <c r="W242" i="1"/>
  <c r="Q242" i="1"/>
  <c r="L242" i="1"/>
  <c r="F242" i="1"/>
  <c r="AF241" i="1"/>
  <c r="AE241" i="1"/>
  <c r="AA241" i="1"/>
  <c r="Z241" i="1"/>
  <c r="W241" i="1"/>
  <c r="Q241" i="1"/>
  <c r="L241" i="1"/>
  <c r="F241" i="1"/>
  <c r="AF240" i="1"/>
  <c r="AH240" i="1" s="1"/>
  <c r="AE240" i="1"/>
  <c r="AA240" i="1"/>
  <c r="Z240" i="1"/>
  <c r="W240" i="1"/>
  <c r="Q240" i="1"/>
  <c r="L240" i="1"/>
  <c r="F240" i="1"/>
  <c r="AF239" i="1"/>
  <c r="AE239" i="1"/>
  <c r="AA239" i="1"/>
  <c r="Z239" i="1"/>
  <c r="W239" i="1"/>
  <c r="Q239" i="1"/>
  <c r="L239" i="1"/>
  <c r="F239" i="1"/>
  <c r="AF238" i="1"/>
  <c r="AE238" i="1"/>
  <c r="AA238" i="1"/>
  <c r="Z238" i="1"/>
  <c r="W238" i="1"/>
  <c r="Q238" i="1"/>
  <c r="L238" i="1"/>
  <c r="F238" i="1"/>
  <c r="AF237" i="1"/>
  <c r="AE237" i="1"/>
  <c r="AA237" i="1"/>
  <c r="Z237" i="1"/>
  <c r="W237" i="1"/>
  <c r="Q237" i="1"/>
  <c r="L237" i="1"/>
  <c r="F237" i="1"/>
  <c r="AF236" i="1"/>
  <c r="AH236" i="1" s="1"/>
  <c r="AE236" i="1"/>
  <c r="AA236" i="1"/>
  <c r="Z236" i="1"/>
  <c r="AC236" i="1" s="1"/>
  <c r="W236" i="1"/>
  <c r="Q236" i="1"/>
  <c r="L236" i="1"/>
  <c r="F236" i="1"/>
  <c r="AF235" i="1"/>
  <c r="AE235" i="1"/>
  <c r="AA235" i="1"/>
  <c r="Z235" i="1"/>
  <c r="AC235" i="1" s="1"/>
  <c r="W235" i="1"/>
  <c r="Q235" i="1"/>
  <c r="L235" i="1"/>
  <c r="F235" i="1"/>
  <c r="AF234" i="1"/>
  <c r="AE234" i="1"/>
  <c r="AH234" i="1" s="1"/>
  <c r="AA234" i="1"/>
  <c r="AC234" i="1" s="1"/>
  <c r="Z234" i="1"/>
  <c r="W234" i="1"/>
  <c r="Q234" i="1"/>
  <c r="L234" i="1"/>
  <c r="F234" i="1"/>
  <c r="AF233" i="1"/>
  <c r="AH233" i="1" s="1"/>
  <c r="AE233" i="1"/>
  <c r="AA233" i="1"/>
  <c r="Z233" i="1"/>
  <c r="W233" i="1"/>
  <c r="Q233" i="1"/>
  <c r="L233" i="1"/>
  <c r="F233" i="1"/>
  <c r="AF232" i="1"/>
  <c r="AH232" i="1" s="1"/>
  <c r="AE232" i="1"/>
  <c r="AA232" i="1"/>
  <c r="AC232" i="1" s="1"/>
  <c r="Z232" i="1"/>
  <c r="W232" i="1"/>
  <c r="Q232" i="1"/>
  <c r="L232" i="1"/>
  <c r="F232" i="1"/>
  <c r="AF231" i="1"/>
  <c r="AE231" i="1"/>
  <c r="AH231" i="1" s="1"/>
  <c r="AA231" i="1"/>
  <c r="Z231" i="1"/>
  <c r="W231" i="1"/>
  <c r="Q231" i="1"/>
  <c r="L231" i="1"/>
  <c r="F231" i="1"/>
  <c r="AF230" i="1"/>
  <c r="AH230" i="1" s="1"/>
  <c r="AE230" i="1"/>
  <c r="AA230" i="1"/>
  <c r="Z230" i="1"/>
  <c r="W230" i="1"/>
  <c r="Q230" i="1"/>
  <c r="L230" i="1"/>
  <c r="F230" i="1"/>
  <c r="AF229" i="1"/>
  <c r="AH229" i="1" s="1"/>
  <c r="AE229" i="1"/>
  <c r="AA229" i="1"/>
  <c r="Z229" i="1"/>
  <c r="W229" i="1"/>
  <c r="Q229" i="1"/>
  <c r="L229" i="1"/>
  <c r="F229" i="1"/>
  <c r="AF228" i="1"/>
  <c r="AE228" i="1"/>
  <c r="AA228" i="1"/>
  <c r="Z228" i="1"/>
  <c r="W228" i="1"/>
  <c r="Q228" i="1"/>
  <c r="L228" i="1"/>
  <c r="F228" i="1"/>
  <c r="AF227" i="1"/>
  <c r="AE227" i="1"/>
  <c r="AA227" i="1"/>
  <c r="Z227" i="1"/>
  <c r="W227" i="1"/>
  <c r="Q227" i="1"/>
  <c r="L227" i="1"/>
  <c r="F227" i="1"/>
  <c r="AF226" i="1"/>
  <c r="AE226" i="1"/>
  <c r="AA226" i="1"/>
  <c r="Z226" i="1"/>
  <c r="W226" i="1"/>
  <c r="Q226" i="1"/>
  <c r="L226" i="1"/>
  <c r="F226" i="1"/>
  <c r="AF225" i="1"/>
  <c r="AH225" i="1" s="1"/>
  <c r="AE225" i="1"/>
  <c r="AA225" i="1"/>
  <c r="Z225" i="1"/>
  <c r="W225" i="1"/>
  <c r="Q225" i="1"/>
  <c r="L225" i="1"/>
  <c r="F225" i="1"/>
  <c r="AF224" i="1"/>
  <c r="AH224" i="1" s="1"/>
  <c r="AE224" i="1"/>
  <c r="AA224" i="1"/>
  <c r="Z224" i="1"/>
  <c r="W224" i="1"/>
  <c r="Q224" i="1"/>
  <c r="L224" i="1"/>
  <c r="F224" i="1"/>
  <c r="AF223" i="1"/>
  <c r="AH223" i="1" s="1"/>
  <c r="AE223" i="1"/>
  <c r="AA223" i="1"/>
  <c r="Z223" i="1"/>
  <c r="W223" i="1"/>
  <c r="Q223" i="1"/>
  <c r="L223" i="1"/>
  <c r="F223" i="1"/>
  <c r="AF222" i="1"/>
  <c r="AH222" i="1" s="1"/>
  <c r="AE222" i="1"/>
  <c r="AA222" i="1"/>
  <c r="Z222" i="1"/>
  <c r="W222" i="1"/>
  <c r="Q222" i="1"/>
  <c r="L222" i="1"/>
  <c r="F222" i="1"/>
  <c r="AF221" i="1"/>
  <c r="AH221" i="1" s="1"/>
  <c r="AE221" i="1"/>
  <c r="AA221" i="1"/>
  <c r="Z221" i="1"/>
  <c r="AC221" i="1" s="1"/>
  <c r="W221" i="1"/>
  <c r="Q221" i="1"/>
  <c r="L221" i="1"/>
  <c r="F221" i="1"/>
  <c r="AF220" i="1"/>
  <c r="AH220" i="1" s="1"/>
  <c r="AE220" i="1"/>
  <c r="AA220" i="1"/>
  <c r="Z220" i="1"/>
  <c r="W220" i="1"/>
  <c r="Q220" i="1"/>
  <c r="L220" i="1"/>
  <c r="F220" i="1"/>
  <c r="AF219" i="1"/>
  <c r="AE219" i="1"/>
  <c r="AA219" i="1"/>
  <c r="Z219" i="1"/>
  <c r="AC219" i="1" s="1"/>
  <c r="W219" i="1"/>
  <c r="Q219" i="1"/>
  <c r="L219" i="1"/>
  <c r="F219" i="1"/>
  <c r="AF218" i="1"/>
  <c r="AE218" i="1"/>
  <c r="AA218" i="1"/>
  <c r="Z218" i="1"/>
  <c r="AC218" i="1" s="1"/>
  <c r="W218" i="1"/>
  <c r="Q218" i="1"/>
  <c r="L218" i="1"/>
  <c r="F218" i="1"/>
  <c r="AF217" i="1"/>
  <c r="AE217" i="1"/>
  <c r="AA217" i="1"/>
  <c r="Z217" i="1"/>
  <c r="W217" i="1"/>
  <c r="Q217" i="1"/>
  <c r="L217" i="1"/>
  <c r="F217" i="1"/>
  <c r="AH216" i="1"/>
  <c r="AF216" i="1"/>
  <c r="AE216" i="1"/>
  <c r="AA216" i="1"/>
  <c r="Z216" i="1"/>
  <c r="W216" i="1"/>
  <c r="Q216" i="1"/>
  <c r="L216" i="1"/>
  <c r="F216" i="1"/>
  <c r="AH215" i="1"/>
  <c r="AF215" i="1"/>
  <c r="AE215" i="1"/>
  <c r="AA215" i="1"/>
  <c r="Z215" i="1"/>
  <c r="W215" i="1"/>
  <c r="Q215" i="1"/>
  <c r="L215" i="1"/>
  <c r="F215" i="1"/>
  <c r="AF214" i="1"/>
  <c r="AE214" i="1"/>
  <c r="AA214" i="1"/>
  <c r="Z214" i="1"/>
  <c r="AC214" i="1" s="1"/>
  <c r="W214" i="1"/>
  <c r="Q214" i="1"/>
  <c r="L214" i="1"/>
  <c r="F214" i="1"/>
  <c r="AF213" i="1"/>
  <c r="AE213" i="1"/>
  <c r="AA213" i="1"/>
  <c r="AC213" i="1" s="1"/>
  <c r="Z213" i="1"/>
  <c r="W213" i="1"/>
  <c r="Q213" i="1"/>
  <c r="L213" i="1"/>
  <c r="F213" i="1"/>
  <c r="AF212" i="1"/>
  <c r="AE212" i="1"/>
  <c r="AH212" i="1" s="1"/>
  <c r="AA212" i="1"/>
  <c r="Z212" i="1"/>
  <c r="W212" i="1"/>
  <c r="Q212" i="1"/>
  <c r="L212" i="1"/>
  <c r="F212" i="1"/>
  <c r="AF211" i="1"/>
  <c r="AE211" i="1"/>
  <c r="AA211" i="1"/>
  <c r="Z211" i="1"/>
  <c r="W211" i="1"/>
  <c r="Q211" i="1"/>
  <c r="L211" i="1"/>
  <c r="F211" i="1"/>
  <c r="AF210" i="1"/>
  <c r="AH210" i="1" s="1"/>
  <c r="AE210" i="1"/>
  <c r="AA210" i="1"/>
  <c r="Z210" i="1"/>
  <c r="W210" i="1"/>
  <c r="Q210" i="1"/>
  <c r="L210" i="1"/>
  <c r="F210" i="1"/>
  <c r="AF209" i="1"/>
  <c r="AH209" i="1" s="1"/>
  <c r="AE209" i="1"/>
  <c r="AA209" i="1"/>
  <c r="Z209" i="1"/>
  <c r="W209" i="1"/>
  <c r="Q209" i="1"/>
  <c r="L209" i="1"/>
  <c r="F209" i="1"/>
  <c r="AF208" i="1"/>
  <c r="AE208" i="1"/>
  <c r="AA208" i="1"/>
  <c r="Z208" i="1"/>
  <c r="AC208" i="1" s="1"/>
  <c r="W208" i="1"/>
  <c r="Q208" i="1"/>
  <c r="L208" i="1"/>
  <c r="F208" i="1"/>
  <c r="AF207" i="1"/>
  <c r="AE207" i="1"/>
  <c r="AC207" i="1"/>
  <c r="AA207" i="1"/>
  <c r="Z207" i="1"/>
  <c r="W207" i="1"/>
  <c r="Q207" i="1"/>
  <c r="L207" i="1"/>
  <c r="F207" i="1"/>
  <c r="AF206" i="1"/>
  <c r="AE206" i="1"/>
  <c r="AA206" i="1"/>
  <c r="Z206" i="1"/>
  <c r="W206" i="1"/>
  <c r="Q206" i="1"/>
  <c r="L206" i="1"/>
  <c r="F206" i="1"/>
  <c r="AF205" i="1"/>
  <c r="AH205" i="1" s="1"/>
  <c r="AE205" i="1"/>
  <c r="AA205" i="1"/>
  <c r="Z205" i="1"/>
  <c r="AC205" i="1" s="1"/>
  <c r="W205" i="1"/>
  <c r="Q205" i="1"/>
  <c r="L205" i="1"/>
  <c r="F205" i="1"/>
  <c r="AF204" i="1"/>
  <c r="AE204" i="1"/>
  <c r="AA204" i="1"/>
  <c r="Z204" i="1"/>
  <c r="W204" i="1"/>
  <c r="Q204" i="1"/>
  <c r="L204" i="1"/>
  <c r="F204" i="1"/>
  <c r="AF203" i="1"/>
  <c r="AE203" i="1"/>
  <c r="AA203" i="1"/>
  <c r="Z203" i="1"/>
  <c r="AC203" i="1" s="1"/>
  <c r="W203" i="1"/>
  <c r="Q203" i="1"/>
  <c r="L203" i="1"/>
  <c r="F203" i="1"/>
  <c r="AF202" i="1"/>
  <c r="AH202" i="1" s="1"/>
  <c r="AE202" i="1"/>
  <c r="AA202" i="1"/>
  <c r="Z202" i="1"/>
  <c r="W202" i="1"/>
  <c r="Q202" i="1"/>
  <c r="L202" i="1"/>
  <c r="F202" i="1"/>
  <c r="AF201" i="1"/>
  <c r="AH201" i="1" s="1"/>
  <c r="AE201" i="1"/>
  <c r="AA201" i="1"/>
  <c r="Z201" i="1"/>
  <c r="W201" i="1"/>
  <c r="Q201" i="1"/>
  <c r="L201" i="1"/>
  <c r="F201" i="1"/>
  <c r="AF200" i="1"/>
  <c r="AE200" i="1"/>
  <c r="AA200" i="1"/>
  <c r="AC200" i="1" s="1"/>
  <c r="Z200" i="1"/>
  <c r="W200" i="1"/>
  <c r="Q200" i="1"/>
  <c r="L200" i="1"/>
  <c r="F200" i="1"/>
  <c r="AF199" i="1"/>
  <c r="AE199" i="1"/>
  <c r="AH199" i="1" s="1"/>
  <c r="AA199" i="1"/>
  <c r="Z199" i="1"/>
  <c r="W199" i="1"/>
  <c r="Q199" i="1"/>
  <c r="L199" i="1"/>
  <c r="F199" i="1"/>
  <c r="AF198" i="1"/>
  <c r="AE198" i="1"/>
  <c r="AA198" i="1"/>
  <c r="AC198" i="1" s="1"/>
  <c r="Z198" i="1"/>
  <c r="W198" i="1"/>
  <c r="Q198" i="1"/>
  <c r="L198" i="1"/>
  <c r="F198" i="1"/>
  <c r="AF197" i="1"/>
  <c r="AE197" i="1"/>
  <c r="AA197" i="1"/>
  <c r="Z197" i="1"/>
  <c r="W197" i="1"/>
  <c r="Q197" i="1"/>
  <c r="L197" i="1"/>
  <c r="F197" i="1"/>
  <c r="AF196" i="1"/>
  <c r="AE196" i="1"/>
  <c r="AH196" i="1" s="1"/>
  <c r="AA196" i="1"/>
  <c r="AC196" i="1" s="1"/>
  <c r="Z196" i="1"/>
  <c r="W196" i="1"/>
  <c r="Q196" i="1"/>
  <c r="L196" i="1"/>
  <c r="F196" i="1"/>
  <c r="AF195" i="1"/>
  <c r="AE195" i="1"/>
  <c r="AA195" i="1"/>
  <c r="Z195" i="1"/>
  <c r="AC195" i="1" s="1"/>
  <c r="W195" i="1"/>
  <c r="Q195" i="1"/>
  <c r="L195" i="1"/>
  <c r="F195" i="1"/>
  <c r="AH194" i="1"/>
  <c r="AF194" i="1"/>
  <c r="AE194" i="1"/>
  <c r="AA194" i="1"/>
  <c r="Z194" i="1"/>
  <c r="W194" i="1"/>
  <c r="Q194" i="1"/>
  <c r="L194" i="1"/>
  <c r="F194" i="1"/>
  <c r="AF193" i="1"/>
  <c r="AH193" i="1" s="1"/>
  <c r="AE193" i="1"/>
  <c r="AA193" i="1"/>
  <c r="Z193" i="1"/>
  <c r="W193" i="1"/>
  <c r="Q193" i="1"/>
  <c r="L193" i="1"/>
  <c r="F193" i="1"/>
  <c r="AF192" i="1"/>
  <c r="AH192" i="1" s="1"/>
  <c r="AE192" i="1"/>
  <c r="AA192" i="1"/>
  <c r="Z192" i="1"/>
  <c r="W192" i="1"/>
  <c r="Q192" i="1"/>
  <c r="L192" i="1"/>
  <c r="F192" i="1"/>
  <c r="AF191" i="1"/>
  <c r="AE191" i="1"/>
  <c r="AA191" i="1"/>
  <c r="Z191" i="1"/>
  <c r="AC191" i="1" s="1"/>
  <c r="W191" i="1"/>
  <c r="Q191" i="1"/>
  <c r="L191" i="1"/>
  <c r="F191" i="1"/>
  <c r="AF190" i="1"/>
  <c r="AE190" i="1"/>
  <c r="AA190" i="1"/>
  <c r="AC190" i="1" s="1"/>
  <c r="Z190" i="1"/>
  <c r="W190" i="1"/>
  <c r="Q190" i="1"/>
  <c r="L190" i="1"/>
  <c r="F190" i="1"/>
  <c r="AF189" i="1"/>
  <c r="AE189" i="1"/>
  <c r="AH189" i="1" s="1"/>
  <c r="AA189" i="1"/>
  <c r="Z189" i="1"/>
  <c r="AC189" i="1" s="1"/>
  <c r="W189" i="1"/>
  <c r="Q189" i="1"/>
  <c r="L189" i="1"/>
  <c r="F189" i="1"/>
  <c r="AF188" i="1"/>
  <c r="AH188" i="1" s="1"/>
  <c r="AE188" i="1"/>
  <c r="AA188" i="1"/>
  <c r="Z188" i="1"/>
  <c r="W188" i="1"/>
  <c r="Q188" i="1"/>
  <c r="L188" i="1"/>
  <c r="F188" i="1"/>
  <c r="AF187" i="1"/>
  <c r="AE187" i="1"/>
  <c r="AA187" i="1"/>
  <c r="Z187" i="1"/>
  <c r="W187" i="1"/>
  <c r="Q187" i="1"/>
  <c r="L187" i="1"/>
  <c r="F187" i="1"/>
  <c r="AF186" i="1"/>
  <c r="AE186" i="1"/>
  <c r="AH186" i="1" s="1"/>
  <c r="AA186" i="1"/>
  <c r="Z186" i="1"/>
  <c r="W186" i="1"/>
  <c r="Q186" i="1"/>
  <c r="L186" i="1"/>
  <c r="F186" i="1"/>
  <c r="AF185" i="1"/>
  <c r="AE185" i="1"/>
  <c r="AA185" i="1"/>
  <c r="Z185" i="1"/>
  <c r="W185" i="1"/>
  <c r="Q185" i="1"/>
  <c r="L185" i="1"/>
  <c r="F185" i="1"/>
  <c r="AF184" i="1"/>
  <c r="AH184" i="1" s="1"/>
  <c r="AE184" i="1"/>
  <c r="AA184" i="1"/>
  <c r="Z184" i="1"/>
  <c r="W184" i="1"/>
  <c r="Q184" i="1"/>
  <c r="L184" i="1"/>
  <c r="F184" i="1"/>
  <c r="AF183" i="1"/>
  <c r="AE183" i="1"/>
  <c r="AH183" i="1" s="1"/>
  <c r="AA183" i="1"/>
  <c r="Z183" i="1"/>
  <c r="W183" i="1"/>
  <c r="Q183" i="1"/>
  <c r="L183" i="1"/>
  <c r="F183" i="1"/>
  <c r="AF182" i="1"/>
  <c r="AH182" i="1" s="1"/>
  <c r="AE182" i="1"/>
  <c r="AA182" i="1"/>
  <c r="Z182" i="1"/>
  <c r="W182" i="1"/>
  <c r="Q182" i="1"/>
  <c r="L182" i="1"/>
  <c r="F182" i="1"/>
  <c r="AF181" i="1"/>
  <c r="AE181" i="1"/>
  <c r="AA181" i="1"/>
  <c r="Z181" i="1"/>
  <c r="W181" i="1"/>
  <c r="Q181" i="1"/>
  <c r="L181" i="1"/>
  <c r="F181" i="1"/>
  <c r="AF180" i="1"/>
  <c r="AE180" i="1"/>
  <c r="AH180" i="1" s="1"/>
  <c r="AA180" i="1"/>
  <c r="Z180" i="1"/>
  <c r="W180" i="1"/>
  <c r="Q180" i="1"/>
  <c r="L180" i="1"/>
  <c r="F180" i="1"/>
  <c r="AF179" i="1"/>
  <c r="AE179" i="1"/>
  <c r="AA179" i="1"/>
  <c r="AC179" i="1" s="1"/>
  <c r="Z179" i="1"/>
  <c r="W179" i="1"/>
  <c r="Q179" i="1"/>
  <c r="L179" i="1"/>
  <c r="F179" i="1"/>
  <c r="AF178" i="1"/>
  <c r="AH178" i="1" s="1"/>
  <c r="AE178" i="1"/>
  <c r="AA178" i="1"/>
  <c r="Z178" i="1"/>
  <c r="W178" i="1"/>
  <c r="Q178" i="1"/>
  <c r="L178" i="1"/>
  <c r="F178" i="1"/>
  <c r="AF177" i="1"/>
  <c r="AE177" i="1"/>
  <c r="AA177" i="1"/>
  <c r="Z177" i="1"/>
  <c r="W177" i="1"/>
  <c r="Q177" i="1"/>
  <c r="L177" i="1"/>
  <c r="F177" i="1"/>
  <c r="AF176" i="1"/>
  <c r="AE176" i="1"/>
  <c r="AA176" i="1"/>
  <c r="Z176" i="1"/>
  <c r="W176" i="1"/>
  <c r="Q176" i="1"/>
  <c r="L176" i="1"/>
  <c r="F176" i="1"/>
  <c r="AF175" i="1"/>
  <c r="AE175" i="1"/>
  <c r="AC175" i="1"/>
  <c r="AA175" i="1"/>
  <c r="Z175" i="1"/>
  <c r="W175" i="1"/>
  <c r="Q175" i="1"/>
  <c r="L175" i="1"/>
  <c r="F175" i="1"/>
  <c r="AF174" i="1"/>
  <c r="AH174" i="1" s="1"/>
  <c r="AE174" i="1"/>
  <c r="AA174" i="1"/>
  <c r="Z174" i="1"/>
  <c r="W174" i="1"/>
  <c r="Q174" i="1"/>
  <c r="L174" i="1"/>
  <c r="F174" i="1"/>
  <c r="AF173" i="1"/>
  <c r="AH173" i="1" s="1"/>
  <c r="AE173" i="1"/>
  <c r="AA173" i="1"/>
  <c r="Z173" i="1"/>
  <c r="AC173" i="1" s="1"/>
  <c r="W173" i="1"/>
  <c r="Q173" i="1"/>
  <c r="L173" i="1"/>
  <c r="F173" i="1"/>
  <c r="AF172" i="1"/>
  <c r="AH172" i="1" s="1"/>
  <c r="AE172" i="1"/>
  <c r="AA172" i="1"/>
  <c r="Z172" i="1"/>
  <c r="AC172" i="1" s="1"/>
  <c r="W172" i="1"/>
  <c r="Q172" i="1"/>
  <c r="L172" i="1"/>
  <c r="F172" i="1"/>
  <c r="AF171" i="1"/>
  <c r="AE171" i="1"/>
  <c r="AA171" i="1"/>
  <c r="AC171" i="1" s="1"/>
  <c r="Z171" i="1"/>
  <c r="W171" i="1"/>
  <c r="Q171" i="1"/>
  <c r="L171" i="1"/>
  <c r="F171" i="1"/>
  <c r="AF170" i="1"/>
  <c r="AE170" i="1"/>
  <c r="AH170" i="1" s="1"/>
  <c r="AA170" i="1"/>
  <c r="Z170" i="1"/>
  <c r="AC170" i="1" s="1"/>
  <c r="W170" i="1"/>
  <c r="Q170" i="1"/>
  <c r="L170" i="1"/>
  <c r="F170" i="1"/>
  <c r="AF169" i="1"/>
  <c r="AE169" i="1"/>
  <c r="AA169" i="1"/>
  <c r="AC169" i="1" s="1"/>
  <c r="Z169" i="1"/>
  <c r="W169" i="1"/>
  <c r="Q169" i="1"/>
  <c r="L169" i="1"/>
  <c r="F169" i="1"/>
  <c r="AF168" i="1"/>
  <c r="AH168" i="1" s="1"/>
  <c r="AE168" i="1"/>
  <c r="AA168" i="1"/>
  <c r="Z168" i="1"/>
  <c r="W168" i="1"/>
  <c r="Q168" i="1"/>
  <c r="L168" i="1"/>
  <c r="F168" i="1"/>
  <c r="AH167" i="1"/>
  <c r="AF167" i="1"/>
  <c r="AE167" i="1"/>
  <c r="AA167" i="1"/>
  <c r="Z167" i="1"/>
  <c r="W167" i="1"/>
  <c r="Q167" i="1"/>
  <c r="L167" i="1"/>
  <c r="F167" i="1"/>
  <c r="AF166" i="1"/>
  <c r="AE166" i="1"/>
  <c r="AA166" i="1"/>
  <c r="Z166" i="1"/>
  <c r="W166" i="1"/>
  <c r="Q166" i="1"/>
  <c r="L166" i="1"/>
  <c r="F166" i="1"/>
  <c r="AF165" i="1"/>
  <c r="AE165" i="1"/>
  <c r="AA165" i="1"/>
  <c r="Z165" i="1"/>
  <c r="W165" i="1"/>
  <c r="Q165" i="1"/>
  <c r="L165" i="1"/>
  <c r="F165" i="1"/>
  <c r="AF164" i="1"/>
  <c r="AE164" i="1"/>
  <c r="AA164" i="1"/>
  <c r="Z164" i="1"/>
  <c r="W164" i="1"/>
  <c r="Q164" i="1"/>
  <c r="L164" i="1"/>
  <c r="F164" i="1"/>
  <c r="AF163" i="1"/>
  <c r="AE163" i="1"/>
  <c r="AA163" i="1"/>
  <c r="Z163" i="1"/>
  <c r="W163" i="1"/>
  <c r="Q163" i="1"/>
  <c r="L163" i="1"/>
  <c r="F163" i="1"/>
  <c r="AF162" i="1"/>
  <c r="AH162" i="1" s="1"/>
  <c r="AE162" i="1"/>
  <c r="AA162" i="1"/>
  <c r="Z162" i="1"/>
  <c r="W162" i="1"/>
  <c r="Q162" i="1"/>
  <c r="L162" i="1"/>
  <c r="F162" i="1"/>
  <c r="AF161" i="1"/>
  <c r="AH161" i="1" s="1"/>
  <c r="AE161" i="1"/>
  <c r="AA161" i="1"/>
  <c r="Z161" i="1"/>
  <c r="W161" i="1"/>
  <c r="Q161" i="1"/>
  <c r="L161" i="1"/>
  <c r="F161" i="1"/>
  <c r="AF160" i="1"/>
  <c r="AH160" i="1" s="1"/>
  <c r="AE160" i="1"/>
  <c r="AA160" i="1"/>
  <c r="Z160" i="1"/>
  <c r="W160" i="1"/>
  <c r="Q160" i="1"/>
  <c r="L160" i="1"/>
  <c r="F160" i="1"/>
  <c r="AF159" i="1"/>
  <c r="AH159" i="1" s="1"/>
  <c r="AE159" i="1"/>
  <c r="AA159" i="1"/>
  <c r="Z159" i="1"/>
  <c r="AC159" i="1" s="1"/>
  <c r="W159" i="1"/>
  <c r="Q159" i="1"/>
  <c r="L159" i="1"/>
  <c r="F159" i="1"/>
  <c r="AF158" i="1"/>
  <c r="AE158" i="1"/>
  <c r="AA158" i="1"/>
  <c r="Z158" i="1"/>
  <c r="W158" i="1"/>
  <c r="Q158" i="1"/>
  <c r="L158" i="1"/>
  <c r="F158" i="1"/>
  <c r="AF157" i="1"/>
  <c r="AH157" i="1" s="1"/>
  <c r="AE157" i="1"/>
  <c r="AA157" i="1"/>
  <c r="Z157" i="1"/>
  <c r="AC157" i="1" s="1"/>
  <c r="W157" i="1"/>
  <c r="Q157" i="1"/>
  <c r="L157" i="1"/>
  <c r="F157" i="1"/>
  <c r="AF156" i="1"/>
  <c r="AE156" i="1"/>
  <c r="AA156" i="1"/>
  <c r="Z156" i="1"/>
  <c r="W156" i="1"/>
  <c r="Q156" i="1"/>
  <c r="L156" i="1"/>
  <c r="F156" i="1"/>
  <c r="AF155" i="1"/>
  <c r="AH155" i="1" s="1"/>
  <c r="AE155" i="1"/>
  <c r="AA155" i="1"/>
  <c r="AC155" i="1" s="1"/>
  <c r="Z155" i="1"/>
  <c r="W155" i="1"/>
  <c r="Q155" i="1"/>
  <c r="L155" i="1"/>
  <c r="F155" i="1"/>
  <c r="AF154" i="1"/>
  <c r="AE154" i="1"/>
  <c r="AH154" i="1" s="1"/>
  <c r="AA154" i="1"/>
  <c r="Z154" i="1"/>
  <c r="W154" i="1"/>
  <c r="Q154" i="1"/>
  <c r="L154" i="1"/>
  <c r="F154" i="1"/>
  <c r="AF153" i="1"/>
  <c r="AE153" i="1"/>
  <c r="AH153" i="1" s="1"/>
  <c r="AA153" i="1"/>
  <c r="AC153" i="1" s="1"/>
  <c r="Z153" i="1"/>
  <c r="W153" i="1"/>
  <c r="Q153" i="1"/>
  <c r="L153" i="1"/>
  <c r="F153" i="1"/>
  <c r="AF152" i="1"/>
  <c r="AH152" i="1" s="1"/>
  <c r="AE152" i="1"/>
  <c r="AA152" i="1"/>
  <c r="Z152" i="1"/>
  <c r="W152" i="1"/>
  <c r="Q152" i="1"/>
  <c r="L152" i="1"/>
  <c r="F152" i="1"/>
  <c r="AH151" i="1"/>
  <c r="AF151" i="1"/>
  <c r="AE151" i="1"/>
  <c r="AA151" i="1"/>
  <c r="Z151" i="1"/>
  <c r="W151" i="1"/>
  <c r="Q151" i="1"/>
  <c r="L151" i="1"/>
  <c r="F151" i="1"/>
  <c r="AF150" i="1"/>
  <c r="AH150" i="1" s="1"/>
  <c r="AE150" i="1"/>
  <c r="AA150" i="1"/>
  <c r="Z150" i="1"/>
  <c r="AC150" i="1" s="1"/>
  <c r="W150" i="1"/>
  <c r="Q150" i="1"/>
  <c r="L150" i="1"/>
  <c r="F150" i="1"/>
  <c r="AF149" i="1"/>
  <c r="AE149" i="1"/>
  <c r="AA149" i="1"/>
  <c r="Z149" i="1"/>
  <c r="AC149" i="1" s="1"/>
  <c r="W149" i="1"/>
  <c r="Q149" i="1"/>
  <c r="L149" i="1"/>
  <c r="F149" i="1"/>
  <c r="AF148" i="1"/>
  <c r="AE148" i="1"/>
  <c r="AH148" i="1" s="1"/>
  <c r="AA148" i="1"/>
  <c r="Z148" i="1"/>
  <c r="W148" i="1"/>
  <c r="Q148" i="1"/>
  <c r="L148" i="1"/>
  <c r="F148" i="1"/>
  <c r="AF147" i="1"/>
  <c r="AE147" i="1"/>
  <c r="AA147" i="1"/>
  <c r="Z147" i="1"/>
  <c r="W147" i="1"/>
  <c r="Q147" i="1"/>
  <c r="L147" i="1"/>
  <c r="F147" i="1"/>
  <c r="AF146" i="1"/>
  <c r="AH146" i="1" s="1"/>
  <c r="AE146" i="1"/>
  <c r="AA146" i="1"/>
  <c r="Z146" i="1"/>
  <c r="W146" i="1"/>
  <c r="Q146" i="1"/>
  <c r="L146" i="1"/>
  <c r="F146" i="1"/>
  <c r="AF145" i="1"/>
  <c r="AE145" i="1"/>
  <c r="AH145" i="1" s="1"/>
  <c r="AA145" i="1"/>
  <c r="Z145" i="1"/>
  <c r="W145" i="1"/>
  <c r="Q145" i="1"/>
  <c r="L145" i="1"/>
  <c r="F145" i="1"/>
  <c r="AF144" i="1"/>
  <c r="AE144" i="1"/>
  <c r="AA144" i="1"/>
  <c r="Z144" i="1"/>
  <c r="W144" i="1"/>
  <c r="Q144" i="1"/>
  <c r="L144" i="1"/>
  <c r="F144" i="1"/>
  <c r="AF143" i="1"/>
  <c r="AH143" i="1" s="1"/>
  <c r="AE143" i="1"/>
  <c r="AA143" i="1"/>
  <c r="Z143" i="1"/>
  <c r="AC143" i="1" s="1"/>
  <c r="W143" i="1"/>
  <c r="Q143" i="1"/>
  <c r="L143" i="1"/>
  <c r="F143" i="1"/>
  <c r="AF142" i="1"/>
  <c r="AH142" i="1" s="1"/>
  <c r="AE142" i="1"/>
  <c r="AA142" i="1"/>
  <c r="Z142" i="1"/>
  <c r="W142" i="1"/>
  <c r="Q142" i="1"/>
  <c r="L142" i="1"/>
  <c r="F142" i="1"/>
  <c r="AF141" i="1"/>
  <c r="AE141" i="1"/>
  <c r="AA141" i="1"/>
  <c r="Z141" i="1"/>
  <c r="AC141" i="1" s="1"/>
  <c r="W141" i="1"/>
  <c r="Q141" i="1"/>
  <c r="L141" i="1"/>
  <c r="F141" i="1"/>
  <c r="AF140" i="1"/>
  <c r="AE140" i="1"/>
  <c r="AA140" i="1"/>
  <c r="Z140" i="1"/>
  <c r="W140" i="1"/>
  <c r="Q140" i="1"/>
  <c r="L140" i="1"/>
  <c r="F140" i="1"/>
  <c r="AF139" i="1"/>
  <c r="AH139" i="1" s="1"/>
  <c r="AE139" i="1"/>
  <c r="AA139" i="1"/>
  <c r="AC139" i="1" s="1"/>
  <c r="Z139" i="1"/>
  <c r="W139" i="1"/>
  <c r="Q139" i="1"/>
  <c r="L139" i="1"/>
  <c r="F139" i="1"/>
  <c r="AF138" i="1"/>
  <c r="AE138" i="1"/>
  <c r="AA138" i="1"/>
  <c r="Z138" i="1"/>
  <c r="W138" i="1"/>
  <c r="Q138" i="1"/>
  <c r="L138" i="1"/>
  <c r="F138" i="1"/>
  <c r="AF137" i="1"/>
  <c r="AE137" i="1"/>
  <c r="AA137" i="1"/>
  <c r="Z137" i="1"/>
  <c r="W137" i="1"/>
  <c r="Q137" i="1"/>
  <c r="L137" i="1"/>
  <c r="F137" i="1"/>
  <c r="AF136" i="1"/>
  <c r="AE136" i="1"/>
  <c r="AA136" i="1"/>
  <c r="Z136" i="1"/>
  <c r="W136" i="1"/>
  <c r="Q136" i="1"/>
  <c r="L136" i="1"/>
  <c r="F136" i="1"/>
  <c r="AF135" i="1"/>
  <c r="AE135" i="1"/>
  <c r="AA135" i="1"/>
  <c r="Z135" i="1"/>
  <c r="W135" i="1"/>
  <c r="Q135" i="1"/>
  <c r="L135" i="1"/>
  <c r="F135" i="1"/>
  <c r="AF134" i="1"/>
  <c r="AH134" i="1" s="1"/>
  <c r="AE134" i="1"/>
  <c r="AA134" i="1"/>
  <c r="Z134" i="1"/>
  <c r="AC134" i="1" s="1"/>
  <c r="W134" i="1"/>
  <c r="Q134" i="1"/>
  <c r="L134" i="1"/>
  <c r="F134" i="1"/>
  <c r="AF133" i="1"/>
  <c r="AE133" i="1"/>
  <c r="AH133" i="1" s="1"/>
  <c r="AA133" i="1"/>
  <c r="Z133" i="1"/>
  <c r="W133" i="1"/>
  <c r="Q133" i="1"/>
  <c r="L133" i="1"/>
  <c r="F133" i="1"/>
  <c r="AF132" i="1"/>
  <c r="AE132" i="1"/>
  <c r="AA132" i="1"/>
  <c r="AC132" i="1" s="1"/>
  <c r="Z132" i="1"/>
  <c r="W132" i="1"/>
  <c r="Q132" i="1"/>
  <c r="L132" i="1"/>
  <c r="F132" i="1"/>
  <c r="AF131" i="1"/>
  <c r="AE131" i="1"/>
  <c r="AH131" i="1" s="1"/>
  <c r="AA131" i="1"/>
  <c r="Z131" i="1"/>
  <c r="W131" i="1"/>
  <c r="Q131" i="1"/>
  <c r="L131" i="1"/>
  <c r="F131" i="1"/>
  <c r="AF130" i="1"/>
  <c r="AH130" i="1" s="1"/>
  <c r="AE130" i="1"/>
  <c r="AA130" i="1"/>
  <c r="Z130" i="1"/>
  <c r="W130" i="1"/>
  <c r="Q130" i="1"/>
  <c r="L130" i="1"/>
  <c r="F130" i="1"/>
  <c r="AF129" i="1"/>
  <c r="AE129" i="1"/>
  <c r="AA129" i="1"/>
  <c r="Z129" i="1"/>
  <c r="AC129" i="1" s="1"/>
  <c r="W129" i="1"/>
  <c r="Q129" i="1"/>
  <c r="L129" i="1"/>
  <c r="F129" i="1"/>
  <c r="AF128" i="1"/>
  <c r="AH128" i="1" s="1"/>
  <c r="AE128" i="1"/>
  <c r="AA128" i="1"/>
  <c r="Z128" i="1"/>
  <c r="W128" i="1"/>
  <c r="Q128" i="1"/>
  <c r="L128" i="1"/>
  <c r="F128" i="1"/>
  <c r="AF127" i="1"/>
  <c r="AH127" i="1" s="1"/>
  <c r="AE127" i="1"/>
  <c r="AA127" i="1"/>
  <c r="Z127" i="1"/>
  <c r="W127" i="1"/>
  <c r="Q127" i="1"/>
  <c r="L127" i="1"/>
  <c r="F127" i="1"/>
  <c r="AF126" i="1"/>
  <c r="AH126" i="1" s="1"/>
  <c r="AE126" i="1"/>
  <c r="AA126" i="1"/>
  <c r="Z126" i="1"/>
  <c r="W126" i="1"/>
  <c r="Q126" i="1"/>
  <c r="L126" i="1"/>
  <c r="F126" i="1"/>
  <c r="AF125" i="1"/>
  <c r="AE125" i="1"/>
  <c r="AH125" i="1" s="1"/>
  <c r="AA125" i="1"/>
  <c r="Z125" i="1"/>
  <c r="AC125" i="1" s="1"/>
  <c r="W125" i="1"/>
  <c r="Q125" i="1"/>
  <c r="L125" i="1"/>
  <c r="F125" i="1"/>
  <c r="AF124" i="1"/>
  <c r="AE124" i="1"/>
  <c r="AA124" i="1"/>
  <c r="Z124" i="1"/>
  <c r="W124" i="1"/>
  <c r="Q124" i="1"/>
  <c r="L124" i="1"/>
  <c r="F124" i="1"/>
  <c r="AF123" i="1"/>
  <c r="AE123" i="1"/>
  <c r="AA123" i="1"/>
  <c r="Z123" i="1"/>
  <c r="AC123" i="1" s="1"/>
  <c r="W123" i="1"/>
  <c r="Q123" i="1"/>
  <c r="L123" i="1"/>
  <c r="F123" i="1"/>
  <c r="AF122" i="1"/>
  <c r="AE122" i="1"/>
  <c r="AA122" i="1"/>
  <c r="Z122" i="1"/>
  <c r="W122" i="1"/>
  <c r="Q122" i="1"/>
  <c r="L122" i="1"/>
  <c r="F122" i="1"/>
  <c r="AF121" i="1"/>
  <c r="AE121" i="1"/>
  <c r="AA121" i="1"/>
  <c r="Z121" i="1"/>
  <c r="W121" i="1"/>
  <c r="Q121" i="1"/>
  <c r="L121" i="1"/>
  <c r="F121" i="1"/>
  <c r="AF120" i="1"/>
  <c r="AE120" i="1"/>
  <c r="AA120" i="1"/>
  <c r="Z120" i="1"/>
  <c r="AC120" i="1" s="1"/>
  <c r="W120" i="1"/>
  <c r="Q120" i="1"/>
  <c r="L120" i="1"/>
  <c r="F120" i="1"/>
  <c r="AF119" i="1"/>
  <c r="AE119" i="1"/>
  <c r="AA119" i="1"/>
  <c r="Z119" i="1"/>
  <c r="W119" i="1"/>
  <c r="Q119" i="1"/>
  <c r="L119" i="1"/>
  <c r="F119" i="1"/>
  <c r="AF118" i="1"/>
  <c r="AE118" i="1"/>
  <c r="AA118" i="1"/>
  <c r="Z118" i="1"/>
  <c r="W118" i="1"/>
  <c r="Q118" i="1"/>
  <c r="L118" i="1"/>
  <c r="F118" i="1"/>
  <c r="AF117" i="1"/>
  <c r="AE117" i="1"/>
  <c r="AH117" i="1" s="1"/>
  <c r="AA117" i="1"/>
  <c r="Z117" i="1"/>
  <c r="W117" i="1"/>
  <c r="Q117" i="1"/>
  <c r="L117" i="1"/>
  <c r="F117" i="1"/>
  <c r="AF116" i="1"/>
  <c r="AE116" i="1"/>
  <c r="AA116" i="1"/>
  <c r="Z116" i="1"/>
  <c r="W116" i="1"/>
  <c r="Q116" i="1"/>
  <c r="L116" i="1"/>
  <c r="F116" i="1"/>
  <c r="AF115" i="1"/>
  <c r="AE115" i="1"/>
  <c r="AA115" i="1"/>
  <c r="Z115" i="1"/>
  <c r="W115" i="1"/>
  <c r="Q115" i="1"/>
  <c r="L115" i="1"/>
  <c r="F115" i="1"/>
  <c r="AF114" i="1"/>
  <c r="AE114" i="1"/>
  <c r="AA114" i="1"/>
  <c r="Z114" i="1"/>
  <c r="W114" i="1"/>
  <c r="Q114" i="1"/>
  <c r="L114" i="1"/>
  <c r="F114" i="1"/>
  <c r="AF113" i="1"/>
  <c r="AE113" i="1"/>
  <c r="AA113" i="1"/>
  <c r="Z113" i="1"/>
  <c r="W113" i="1"/>
  <c r="Q113" i="1"/>
  <c r="L113" i="1"/>
  <c r="F113" i="1"/>
  <c r="AF112" i="1"/>
  <c r="AE112" i="1"/>
  <c r="AA112" i="1"/>
  <c r="AC112" i="1" s="1"/>
  <c r="Z112" i="1"/>
  <c r="W112" i="1"/>
  <c r="Q112" i="1"/>
  <c r="L112" i="1"/>
  <c r="F112" i="1"/>
  <c r="AF111" i="1"/>
  <c r="AH111" i="1" s="1"/>
  <c r="AE111" i="1"/>
  <c r="AA111" i="1"/>
  <c r="Z111" i="1"/>
  <c r="AC111" i="1" s="1"/>
  <c r="W111" i="1"/>
  <c r="Q111" i="1"/>
  <c r="L111" i="1"/>
  <c r="F111" i="1"/>
  <c r="AF110" i="1"/>
  <c r="AH110" i="1" s="1"/>
  <c r="AE110" i="1"/>
  <c r="AA110" i="1"/>
  <c r="Z110" i="1"/>
  <c r="AC110" i="1" s="1"/>
  <c r="W110" i="1"/>
  <c r="Q110" i="1"/>
  <c r="L110" i="1"/>
  <c r="F110" i="1"/>
  <c r="AF109" i="1"/>
  <c r="AE109" i="1"/>
  <c r="AA109" i="1"/>
  <c r="Z109" i="1"/>
  <c r="W109" i="1"/>
  <c r="Q109" i="1"/>
  <c r="L109" i="1"/>
  <c r="F109" i="1"/>
  <c r="AF108" i="1"/>
  <c r="AE108" i="1"/>
  <c r="AA108" i="1"/>
  <c r="Z108" i="1"/>
  <c r="W108" i="1"/>
  <c r="Q108" i="1"/>
  <c r="L108" i="1"/>
  <c r="F108" i="1"/>
  <c r="AF107" i="1"/>
  <c r="AH107" i="1" s="1"/>
  <c r="AE107" i="1"/>
  <c r="AA107" i="1"/>
  <c r="Z107" i="1"/>
  <c r="AC107" i="1" s="1"/>
  <c r="W107" i="1"/>
  <c r="Q107" i="1"/>
  <c r="L107" i="1"/>
  <c r="F107" i="1"/>
  <c r="AF106" i="1"/>
  <c r="AE106" i="1"/>
  <c r="AA106" i="1"/>
  <c r="Z106" i="1"/>
  <c r="W106" i="1"/>
  <c r="Q106" i="1"/>
  <c r="L106" i="1"/>
  <c r="F106" i="1"/>
  <c r="AF105" i="1"/>
  <c r="AH105" i="1" s="1"/>
  <c r="AE105" i="1"/>
  <c r="AA105" i="1"/>
  <c r="Z105" i="1"/>
  <c r="W105" i="1"/>
  <c r="Q105" i="1"/>
  <c r="L105" i="1"/>
  <c r="F105" i="1"/>
  <c r="AF104" i="1"/>
  <c r="AE104" i="1"/>
  <c r="AA104" i="1"/>
  <c r="Z104" i="1"/>
  <c r="AC104" i="1" s="1"/>
  <c r="W104" i="1"/>
  <c r="Q104" i="1"/>
  <c r="L104" i="1"/>
  <c r="F104" i="1"/>
  <c r="AF103" i="1"/>
  <c r="AE103" i="1"/>
  <c r="AA103" i="1"/>
  <c r="Z103" i="1"/>
  <c r="W103" i="1"/>
  <c r="Q103" i="1"/>
  <c r="L103" i="1"/>
  <c r="F103" i="1"/>
  <c r="AF102" i="1"/>
  <c r="AE102" i="1"/>
  <c r="AA102" i="1"/>
  <c r="Z102" i="1"/>
  <c r="W102" i="1"/>
  <c r="Q102" i="1"/>
  <c r="L102" i="1"/>
  <c r="F102" i="1"/>
  <c r="AF101" i="1"/>
  <c r="AE101" i="1"/>
  <c r="AA101" i="1"/>
  <c r="Z101" i="1"/>
  <c r="W101" i="1"/>
  <c r="Q101" i="1"/>
  <c r="L101" i="1"/>
  <c r="F101" i="1"/>
  <c r="AF100" i="1"/>
  <c r="AE100" i="1"/>
  <c r="AA100" i="1"/>
  <c r="Z100" i="1"/>
  <c r="W100" i="1"/>
  <c r="Q100" i="1"/>
  <c r="L100" i="1"/>
  <c r="F100" i="1"/>
  <c r="AF99" i="1"/>
  <c r="AH99" i="1" s="1"/>
  <c r="AE99" i="1"/>
  <c r="AA99" i="1"/>
  <c r="Z99" i="1"/>
  <c r="W99" i="1"/>
  <c r="Q99" i="1"/>
  <c r="L99" i="1"/>
  <c r="F99" i="1"/>
  <c r="AF98" i="1"/>
  <c r="AE98" i="1"/>
  <c r="AH98" i="1" s="1"/>
  <c r="AA98" i="1"/>
  <c r="Z98" i="1"/>
  <c r="W98" i="1"/>
  <c r="Q98" i="1"/>
  <c r="L98" i="1"/>
  <c r="F98" i="1"/>
  <c r="AF97" i="1"/>
  <c r="AE97" i="1"/>
  <c r="AA97" i="1"/>
  <c r="Z97" i="1"/>
  <c r="W97" i="1"/>
  <c r="Q97" i="1"/>
  <c r="L97" i="1"/>
  <c r="F97" i="1"/>
  <c r="AF96" i="1"/>
  <c r="AE96" i="1"/>
  <c r="AA96" i="1"/>
  <c r="Z96" i="1"/>
  <c r="AC96" i="1" s="1"/>
  <c r="W96" i="1"/>
  <c r="Q96" i="1"/>
  <c r="L96" i="1"/>
  <c r="F96" i="1"/>
  <c r="AF95" i="1"/>
  <c r="AE95" i="1"/>
  <c r="AH95" i="1" s="1"/>
  <c r="AA95" i="1"/>
  <c r="Z95" i="1"/>
  <c r="W95" i="1"/>
  <c r="Q95" i="1"/>
  <c r="L95" i="1"/>
  <c r="F95" i="1"/>
  <c r="AF94" i="1"/>
  <c r="AE94" i="1"/>
  <c r="AH94" i="1" s="1"/>
  <c r="AA94" i="1"/>
  <c r="Z94" i="1"/>
  <c r="W94" i="1"/>
  <c r="Q94" i="1"/>
  <c r="L94" i="1"/>
  <c r="F94" i="1"/>
  <c r="AF93" i="1"/>
  <c r="AE93" i="1"/>
  <c r="AA93" i="1"/>
  <c r="Z93" i="1"/>
  <c r="W93" i="1"/>
  <c r="Q93" i="1"/>
  <c r="L93" i="1"/>
  <c r="F93" i="1"/>
  <c r="AF92" i="1"/>
  <c r="AE92" i="1"/>
  <c r="AA92" i="1"/>
  <c r="Z92" i="1"/>
  <c r="AC92" i="1" s="1"/>
  <c r="W92" i="1"/>
  <c r="Q92" i="1"/>
  <c r="L92" i="1"/>
  <c r="F92" i="1"/>
  <c r="AF91" i="1"/>
  <c r="AE91" i="1"/>
  <c r="AA91" i="1"/>
  <c r="Z91" i="1"/>
  <c r="W91" i="1"/>
  <c r="Q91" i="1"/>
  <c r="L91" i="1"/>
  <c r="F91" i="1"/>
  <c r="AF90" i="1"/>
  <c r="AE90" i="1"/>
  <c r="AA90" i="1"/>
  <c r="Z90" i="1"/>
  <c r="W90" i="1"/>
  <c r="Q90" i="1"/>
  <c r="L90" i="1"/>
  <c r="F90" i="1"/>
  <c r="AF89" i="1"/>
  <c r="AE89" i="1"/>
  <c r="AA89" i="1"/>
  <c r="Z89" i="1"/>
  <c r="W89" i="1"/>
  <c r="Q89" i="1"/>
  <c r="L89" i="1"/>
  <c r="F89" i="1"/>
  <c r="AF88" i="1"/>
  <c r="AE88" i="1"/>
  <c r="AH88" i="1" s="1"/>
  <c r="AA88" i="1"/>
  <c r="Z88" i="1"/>
  <c r="W88" i="1"/>
  <c r="Q88" i="1"/>
  <c r="L88" i="1"/>
  <c r="F88" i="1"/>
  <c r="AF87" i="1"/>
  <c r="AH87" i="1" s="1"/>
  <c r="AE87" i="1"/>
  <c r="AA87" i="1"/>
  <c r="Z87" i="1"/>
  <c r="W87" i="1"/>
  <c r="Q87" i="1"/>
  <c r="L87" i="1"/>
  <c r="F87" i="1"/>
  <c r="AF86" i="1"/>
  <c r="AH86" i="1" s="1"/>
  <c r="AE86" i="1"/>
  <c r="AC86" i="1"/>
  <c r="AA86" i="1"/>
  <c r="Z86" i="1"/>
  <c r="W86" i="1"/>
  <c r="Q86" i="1"/>
  <c r="L86" i="1"/>
  <c r="F86" i="1"/>
  <c r="AF85" i="1"/>
  <c r="AH85" i="1" s="1"/>
  <c r="AE85" i="1"/>
  <c r="AA85" i="1"/>
  <c r="Z85" i="1"/>
  <c r="W85" i="1"/>
  <c r="Q85" i="1"/>
  <c r="L85" i="1"/>
  <c r="F85" i="1"/>
  <c r="AF84" i="1"/>
  <c r="AE84" i="1"/>
  <c r="AH84" i="1" s="1"/>
  <c r="AA84" i="1"/>
  <c r="Z84" i="1"/>
  <c r="W84" i="1"/>
  <c r="Q84" i="1"/>
  <c r="L84" i="1"/>
  <c r="F84" i="1"/>
  <c r="AF83" i="1"/>
  <c r="AE83" i="1"/>
  <c r="AA83" i="1"/>
  <c r="Z83" i="1"/>
  <c r="W83" i="1"/>
  <c r="Q83" i="1"/>
  <c r="L83" i="1"/>
  <c r="F83" i="1"/>
  <c r="AF82" i="1"/>
  <c r="AE82" i="1"/>
  <c r="AA82" i="1"/>
  <c r="Z82" i="1"/>
  <c r="AC82" i="1" s="1"/>
  <c r="W82" i="1"/>
  <c r="Q82" i="1"/>
  <c r="L82" i="1"/>
  <c r="F82" i="1"/>
  <c r="AH81" i="1"/>
  <c r="AF81" i="1"/>
  <c r="AE81" i="1"/>
  <c r="AA81" i="1"/>
  <c r="Z81" i="1"/>
  <c r="AC81" i="1" s="1"/>
  <c r="W81" i="1"/>
  <c r="Q81" i="1"/>
  <c r="L81" i="1"/>
  <c r="F81" i="1"/>
  <c r="AF80" i="1"/>
  <c r="AE80" i="1"/>
  <c r="AA80" i="1"/>
  <c r="Z80" i="1"/>
  <c r="W80" i="1"/>
  <c r="Q80" i="1"/>
  <c r="L80" i="1"/>
  <c r="F80" i="1"/>
  <c r="AF79" i="1"/>
  <c r="AE79" i="1"/>
  <c r="AH79" i="1" s="1"/>
  <c r="AA79" i="1"/>
  <c r="Z79" i="1"/>
  <c r="W79" i="1"/>
  <c r="Q79" i="1"/>
  <c r="L79" i="1"/>
  <c r="F79" i="1"/>
  <c r="AF78" i="1"/>
  <c r="AH78" i="1" s="1"/>
  <c r="AE78" i="1"/>
  <c r="AA78" i="1"/>
  <c r="Z78" i="1"/>
  <c r="W78" i="1"/>
  <c r="Q78" i="1"/>
  <c r="L78" i="1"/>
  <c r="F78" i="1"/>
  <c r="AF77" i="1"/>
  <c r="AE77" i="1"/>
  <c r="AA77" i="1"/>
  <c r="Z77" i="1"/>
  <c r="W77" i="1"/>
  <c r="Q77" i="1"/>
  <c r="L77" i="1"/>
  <c r="F77" i="1"/>
  <c r="AF76" i="1"/>
  <c r="AH76" i="1" s="1"/>
  <c r="AE76" i="1"/>
  <c r="AA76" i="1"/>
  <c r="Z76" i="1"/>
  <c r="AC76" i="1" s="1"/>
  <c r="W76" i="1"/>
  <c r="Q76" i="1"/>
  <c r="L76" i="1"/>
  <c r="F76" i="1"/>
  <c r="AF75" i="1"/>
  <c r="AE75" i="1"/>
  <c r="AA75" i="1"/>
  <c r="Z75" i="1"/>
  <c r="AC75" i="1" s="1"/>
  <c r="W75" i="1"/>
  <c r="Q75" i="1"/>
  <c r="L75" i="1"/>
  <c r="F75" i="1"/>
  <c r="AF74" i="1"/>
  <c r="AE74" i="1"/>
  <c r="AH74" i="1" s="1"/>
  <c r="AA74" i="1"/>
  <c r="Z74" i="1"/>
  <c r="W74" i="1"/>
  <c r="Q74" i="1"/>
  <c r="L74" i="1"/>
  <c r="F74" i="1"/>
  <c r="AF73" i="1"/>
  <c r="AE73" i="1"/>
  <c r="AA73" i="1"/>
  <c r="Z73" i="1"/>
  <c r="W73" i="1"/>
  <c r="Q73" i="1"/>
  <c r="L73" i="1"/>
  <c r="F73" i="1"/>
  <c r="AF72" i="1"/>
  <c r="AE72" i="1"/>
  <c r="AA72" i="1"/>
  <c r="Z72" i="1"/>
  <c r="AC72" i="1" s="1"/>
  <c r="W72" i="1"/>
  <c r="Q72" i="1"/>
  <c r="L72" i="1"/>
  <c r="F72" i="1"/>
  <c r="AF71" i="1"/>
  <c r="AE71" i="1"/>
  <c r="AA71" i="1"/>
  <c r="Z71" i="1"/>
  <c r="W71" i="1"/>
  <c r="Q71" i="1"/>
  <c r="L71" i="1"/>
  <c r="F71" i="1"/>
  <c r="AF70" i="1"/>
  <c r="AH70" i="1" s="1"/>
  <c r="AE70" i="1"/>
  <c r="AA70" i="1"/>
  <c r="AC70" i="1" s="1"/>
  <c r="Z70" i="1"/>
  <c r="W70" i="1"/>
  <c r="Q70" i="1"/>
  <c r="L70" i="1"/>
  <c r="F70" i="1"/>
  <c r="AF69" i="1"/>
  <c r="AE69" i="1"/>
  <c r="AA69" i="1"/>
  <c r="Z69" i="1"/>
  <c r="W69" i="1"/>
  <c r="Q69" i="1"/>
  <c r="L69" i="1"/>
  <c r="F69" i="1"/>
  <c r="AH68" i="1"/>
  <c r="AF68" i="1"/>
  <c r="AE68" i="1"/>
  <c r="AA68" i="1"/>
  <c r="Z68" i="1"/>
  <c r="W68" i="1"/>
  <c r="Q68" i="1"/>
  <c r="L68" i="1"/>
  <c r="F68" i="1"/>
  <c r="AF67" i="1"/>
  <c r="AE67" i="1"/>
  <c r="AA67" i="1"/>
  <c r="Z67" i="1"/>
  <c r="W67" i="1"/>
  <c r="Q67" i="1"/>
  <c r="L67" i="1"/>
  <c r="F67" i="1"/>
  <c r="AF66" i="1"/>
  <c r="AH66" i="1" s="1"/>
  <c r="AE66" i="1"/>
  <c r="AA66" i="1"/>
  <c r="Z66" i="1"/>
  <c r="W66" i="1"/>
  <c r="Q66" i="1"/>
  <c r="L66" i="1"/>
  <c r="F66" i="1"/>
  <c r="AF65" i="1"/>
  <c r="AH65" i="1" s="1"/>
  <c r="AE65" i="1"/>
  <c r="AA65" i="1"/>
  <c r="Z65" i="1"/>
  <c r="W65" i="1"/>
  <c r="Q65" i="1"/>
  <c r="L65" i="1"/>
  <c r="F65" i="1"/>
  <c r="AF64" i="1"/>
  <c r="AE64" i="1"/>
  <c r="AA64" i="1"/>
  <c r="Z64" i="1"/>
  <c r="W64" i="1"/>
  <c r="Q64" i="1"/>
  <c r="L64" i="1"/>
  <c r="F64" i="1"/>
  <c r="AF63" i="1"/>
  <c r="AE63" i="1"/>
  <c r="AA63" i="1"/>
  <c r="Z63" i="1"/>
  <c r="AC63" i="1" s="1"/>
  <c r="W63" i="1"/>
  <c r="Q63" i="1"/>
  <c r="L63" i="1"/>
  <c r="F63" i="1"/>
  <c r="AF62" i="1"/>
  <c r="AE62" i="1"/>
  <c r="AA62" i="1"/>
  <c r="Z62" i="1"/>
  <c r="W62" i="1"/>
  <c r="Q62" i="1"/>
  <c r="L62" i="1"/>
  <c r="F62" i="1"/>
  <c r="AF61" i="1"/>
  <c r="AH61" i="1" s="1"/>
  <c r="AE61" i="1"/>
  <c r="AA61" i="1"/>
  <c r="Z61" i="1"/>
  <c r="W61" i="1"/>
  <c r="Q61" i="1"/>
  <c r="L61" i="1"/>
  <c r="F61" i="1"/>
  <c r="AF60" i="1"/>
  <c r="AE60" i="1"/>
  <c r="AH60" i="1" s="1"/>
  <c r="AA60" i="1"/>
  <c r="Z60" i="1"/>
  <c r="W60" i="1"/>
  <c r="Q60" i="1"/>
  <c r="L60" i="1"/>
  <c r="F60" i="1"/>
  <c r="AF59" i="1"/>
  <c r="AE59" i="1"/>
  <c r="AA59" i="1"/>
  <c r="Z59" i="1"/>
  <c r="W59" i="1"/>
  <c r="Q59" i="1"/>
  <c r="L59" i="1"/>
  <c r="F59" i="1"/>
  <c r="AF58" i="1"/>
  <c r="AH58" i="1" s="1"/>
  <c r="AE58" i="1"/>
  <c r="AA58" i="1"/>
  <c r="Z58" i="1"/>
  <c r="W58" i="1"/>
  <c r="Q58" i="1"/>
  <c r="L58" i="1"/>
  <c r="F58" i="1"/>
  <c r="AF57" i="1"/>
  <c r="AH57" i="1" s="1"/>
  <c r="AE57" i="1"/>
  <c r="AA57" i="1"/>
  <c r="Z57" i="1"/>
  <c r="W57" i="1"/>
  <c r="Q57" i="1"/>
  <c r="L57" i="1"/>
  <c r="F57" i="1"/>
  <c r="AF56" i="1"/>
  <c r="AE56" i="1"/>
  <c r="AA56" i="1"/>
  <c r="Z56" i="1"/>
  <c r="AC56" i="1" s="1"/>
  <c r="W56" i="1"/>
  <c r="Q56" i="1"/>
  <c r="L56" i="1"/>
  <c r="F56" i="1"/>
  <c r="AF55" i="1"/>
  <c r="AE55" i="1"/>
  <c r="AA55" i="1"/>
  <c r="Z55" i="1"/>
  <c r="W55" i="1"/>
  <c r="Q55" i="1"/>
  <c r="L55" i="1"/>
  <c r="F55" i="1"/>
  <c r="AH54" i="1"/>
  <c r="AF54" i="1"/>
  <c r="AE54" i="1"/>
  <c r="AA54" i="1"/>
  <c r="Z54" i="1"/>
  <c r="AC54" i="1" s="1"/>
  <c r="W54" i="1"/>
  <c r="Q54" i="1"/>
  <c r="L54" i="1"/>
  <c r="F54" i="1"/>
  <c r="AF53" i="1"/>
  <c r="AH53" i="1" s="1"/>
  <c r="AE53" i="1"/>
  <c r="AA53" i="1"/>
  <c r="Z53" i="1"/>
  <c r="W53" i="1"/>
  <c r="Q53" i="1"/>
  <c r="L53" i="1"/>
  <c r="F53" i="1"/>
  <c r="AF52" i="1"/>
  <c r="AE52" i="1"/>
  <c r="AH52" i="1" s="1"/>
  <c r="AA52" i="1"/>
  <c r="Z52" i="1"/>
  <c r="AC52" i="1" s="1"/>
  <c r="W52" i="1"/>
  <c r="Q52" i="1"/>
  <c r="L52" i="1"/>
  <c r="F52" i="1"/>
  <c r="AF51" i="1"/>
  <c r="AE51" i="1"/>
  <c r="AA51" i="1"/>
  <c r="Z51" i="1"/>
  <c r="W51" i="1"/>
  <c r="Q51" i="1"/>
  <c r="L51" i="1"/>
  <c r="F51" i="1"/>
  <c r="AF50" i="1"/>
  <c r="AE50" i="1"/>
  <c r="AA50" i="1"/>
  <c r="Z50" i="1"/>
  <c r="W50" i="1"/>
  <c r="Q50" i="1"/>
  <c r="L50" i="1"/>
  <c r="F50" i="1"/>
  <c r="AF49" i="1"/>
  <c r="AE49" i="1"/>
  <c r="AA49" i="1"/>
  <c r="Z49" i="1"/>
  <c r="W49" i="1"/>
  <c r="Q49" i="1"/>
  <c r="L49" i="1"/>
  <c r="F49" i="1"/>
  <c r="AF48" i="1"/>
  <c r="AE48" i="1"/>
  <c r="AA48" i="1"/>
  <c r="Z48" i="1"/>
  <c r="W48" i="1"/>
  <c r="Q48" i="1"/>
  <c r="L48" i="1"/>
  <c r="F48" i="1"/>
  <c r="AF47" i="1"/>
  <c r="AE47" i="1"/>
  <c r="AH47" i="1" s="1"/>
  <c r="AA47" i="1"/>
  <c r="Z47" i="1"/>
  <c r="W47" i="1"/>
  <c r="Q47" i="1"/>
  <c r="L47" i="1"/>
  <c r="F47" i="1"/>
  <c r="AF46" i="1"/>
  <c r="AE46" i="1"/>
  <c r="AH46" i="1" s="1"/>
  <c r="AA46" i="1"/>
  <c r="Z46" i="1"/>
  <c r="W46" i="1"/>
  <c r="Q46" i="1"/>
  <c r="L46" i="1"/>
  <c r="F46" i="1"/>
  <c r="AF45" i="1"/>
  <c r="AE45" i="1"/>
  <c r="AA45" i="1"/>
  <c r="Z45" i="1"/>
  <c r="AC45" i="1" s="1"/>
  <c r="W45" i="1"/>
  <c r="Q45" i="1"/>
  <c r="L45" i="1"/>
  <c r="F45" i="1"/>
  <c r="AF44" i="1"/>
  <c r="AE44" i="1"/>
  <c r="AA44" i="1"/>
  <c r="Z44" i="1"/>
  <c r="W44" i="1"/>
  <c r="Q44" i="1"/>
  <c r="L44" i="1"/>
  <c r="F44" i="1"/>
  <c r="AF43" i="1"/>
  <c r="AE43" i="1"/>
  <c r="AA43" i="1"/>
  <c r="Z43" i="1"/>
  <c r="W43" i="1"/>
  <c r="Q43" i="1"/>
  <c r="L43" i="1"/>
  <c r="F43" i="1"/>
  <c r="AF42" i="1"/>
  <c r="AE42" i="1"/>
  <c r="AA42" i="1"/>
  <c r="Z42" i="1"/>
  <c r="AC42" i="1" s="1"/>
  <c r="W42" i="1"/>
  <c r="Q42" i="1"/>
  <c r="L42" i="1"/>
  <c r="F42" i="1"/>
  <c r="AF41" i="1"/>
  <c r="AH41" i="1" s="1"/>
  <c r="AE41" i="1"/>
  <c r="AA41" i="1"/>
  <c r="AC41" i="1" s="1"/>
  <c r="Z41" i="1"/>
  <c r="W41" i="1"/>
  <c r="Q41" i="1"/>
  <c r="L41" i="1"/>
  <c r="F41" i="1"/>
  <c r="AF40" i="1"/>
  <c r="AE40" i="1"/>
  <c r="AH40" i="1" s="1"/>
  <c r="AA40" i="1"/>
  <c r="Z40" i="1"/>
  <c r="W40" i="1"/>
  <c r="Q40" i="1"/>
  <c r="L40" i="1"/>
  <c r="F40" i="1"/>
  <c r="AF39" i="1"/>
  <c r="AE39" i="1"/>
  <c r="AA39" i="1"/>
  <c r="Z39" i="1"/>
  <c r="W39" i="1"/>
  <c r="Q39" i="1"/>
  <c r="L39" i="1"/>
  <c r="F39" i="1"/>
  <c r="AF38" i="1"/>
  <c r="AH38" i="1" s="1"/>
  <c r="AE38" i="1"/>
  <c r="AA38" i="1"/>
  <c r="Z38" i="1"/>
  <c r="W38" i="1"/>
  <c r="Q38" i="1"/>
  <c r="L38" i="1"/>
  <c r="F38" i="1"/>
  <c r="AF37" i="1"/>
  <c r="AE37" i="1"/>
  <c r="AA37" i="1"/>
  <c r="Z37" i="1"/>
  <c r="W37" i="1"/>
  <c r="Q37" i="1"/>
  <c r="L37" i="1"/>
  <c r="F37" i="1"/>
  <c r="AF36" i="1"/>
  <c r="AE36" i="1"/>
  <c r="AA36" i="1"/>
  <c r="Z36" i="1"/>
  <c r="W36" i="1"/>
  <c r="Q36" i="1"/>
  <c r="L36" i="1"/>
  <c r="F36" i="1"/>
  <c r="AF35" i="1"/>
  <c r="AH35" i="1" s="1"/>
  <c r="AE35" i="1"/>
  <c r="AA35" i="1"/>
  <c r="Z35" i="1"/>
  <c r="AC35" i="1" s="1"/>
  <c r="W35" i="1"/>
  <c r="Q35" i="1"/>
  <c r="L35" i="1"/>
  <c r="F35" i="1"/>
  <c r="AF34" i="1"/>
  <c r="AE34" i="1"/>
  <c r="AH34" i="1" s="1"/>
  <c r="AA34" i="1"/>
  <c r="Z34" i="1"/>
  <c r="W34" i="1"/>
  <c r="Q34" i="1"/>
  <c r="L34" i="1"/>
  <c r="F34" i="1"/>
  <c r="AF33" i="1"/>
  <c r="AE33" i="1"/>
  <c r="AA33" i="1"/>
  <c r="Z33" i="1"/>
  <c r="W33" i="1"/>
  <c r="Q33" i="1"/>
  <c r="L33" i="1"/>
  <c r="F33" i="1"/>
  <c r="AF32" i="1"/>
  <c r="AE32" i="1"/>
  <c r="AA32" i="1"/>
  <c r="Z32" i="1"/>
  <c r="W32" i="1"/>
  <c r="Q32" i="1"/>
  <c r="L32" i="1"/>
  <c r="F32" i="1"/>
  <c r="AF31" i="1"/>
  <c r="AE31" i="1"/>
  <c r="AA31" i="1"/>
  <c r="Z31" i="1"/>
  <c r="W31" i="1"/>
  <c r="Q31" i="1"/>
  <c r="L31" i="1"/>
  <c r="F31" i="1"/>
  <c r="AF30" i="1"/>
  <c r="AE30" i="1"/>
  <c r="AA30" i="1"/>
  <c r="Z30" i="1"/>
  <c r="AC30" i="1" s="1"/>
  <c r="W30" i="1"/>
  <c r="Q30" i="1"/>
  <c r="L30" i="1"/>
  <c r="F30" i="1"/>
  <c r="AF29" i="1"/>
  <c r="AE29" i="1"/>
  <c r="AA29" i="1"/>
  <c r="Z29" i="1"/>
  <c r="AC29" i="1" s="1"/>
  <c r="W29" i="1"/>
  <c r="Q29" i="1"/>
  <c r="L29" i="1"/>
  <c r="F29" i="1"/>
  <c r="AF28" i="1"/>
  <c r="AE28" i="1"/>
  <c r="AA28" i="1"/>
  <c r="Z28" i="1"/>
  <c r="W28" i="1"/>
  <c r="Q28" i="1"/>
  <c r="L28" i="1"/>
  <c r="F28" i="1"/>
  <c r="AF27" i="1"/>
  <c r="AH27" i="1" s="1"/>
  <c r="AE27" i="1"/>
  <c r="AA27" i="1"/>
  <c r="Z27" i="1"/>
  <c r="AC27" i="1" s="1"/>
  <c r="W27" i="1"/>
  <c r="Q27" i="1"/>
  <c r="L27" i="1"/>
  <c r="F27" i="1"/>
  <c r="AF26" i="1"/>
  <c r="AH26" i="1" s="1"/>
  <c r="AE26" i="1"/>
  <c r="AA26" i="1"/>
  <c r="Z26" i="1"/>
  <c r="W26" i="1"/>
  <c r="Q26" i="1"/>
  <c r="L26" i="1"/>
  <c r="F26" i="1"/>
  <c r="AF25" i="1"/>
  <c r="AH25" i="1" s="1"/>
  <c r="AE25" i="1"/>
  <c r="AA25" i="1"/>
  <c r="Z25" i="1"/>
  <c r="W25" i="1"/>
  <c r="Q25" i="1"/>
  <c r="L25" i="1"/>
  <c r="F25" i="1"/>
  <c r="AF24" i="1"/>
  <c r="AE24" i="1"/>
  <c r="AH24" i="1" s="1"/>
  <c r="AA24" i="1"/>
  <c r="Z24" i="1"/>
  <c r="W24" i="1"/>
  <c r="Q24" i="1"/>
  <c r="L24" i="1"/>
  <c r="F24" i="1"/>
  <c r="AF23" i="1"/>
  <c r="AE23" i="1"/>
  <c r="AA23" i="1"/>
  <c r="AC23" i="1" s="1"/>
  <c r="Z23" i="1"/>
  <c r="W23" i="1"/>
  <c r="Q23" i="1"/>
  <c r="L23" i="1"/>
  <c r="F23" i="1"/>
  <c r="AF22" i="1"/>
  <c r="AE22" i="1"/>
  <c r="AA22" i="1"/>
  <c r="Z22" i="1"/>
  <c r="W22" i="1"/>
  <c r="Q22" i="1"/>
  <c r="L22" i="1"/>
  <c r="F22" i="1"/>
  <c r="AF21" i="1"/>
  <c r="AE21" i="1"/>
  <c r="AA21" i="1"/>
  <c r="Z21" i="1"/>
  <c r="W21" i="1"/>
  <c r="Q21" i="1"/>
  <c r="L21" i="1"/>
  <c r="F21" i="1"/>
  <c r="AF20" i="1"/>
  <c r="AH20" i="1" s="1"/>
  <c r="AE20" i="1"/>
  <c r="AA20" i="1"/>
  <c r="Z20" i="1"/>
  <c r="W20" i="1"/>
  <c r="Q20" i="1"/>
  <c r="L20" i="1"/>
  <c r="F20" i="1"/>
  <c r="AF19" i="1"/>
  <c r="AH19" i="1" s="1"/>
  <c r="AE19" i="1"/>
  <c r="AA19" i="1"/>
  <c r="Z19" i="1"/>
  <c r="W19" i="1"/>
  <c r="Q19" i="1"/>
  <c r="L19" i="1"/>
  <c r="F19" i="1"/>
  <c r="AF18" i="1"/>
  <c r="AE18" i="1"/>
  <c r="AH18" i="1" s="1"/>
  <c r="AA18" i="1"/>
  <c r="Z18" i="1"/>
  <c r="W18" i="1"/>
  <c r="Q18" i="1"/>
  <c r="L18" i="1"/>
  <c r="F18" i="1"/>
  <c r="AF17" i="1"/>
  <c r="AE17" i="1"/>
  <c r="AA17" i="1"/>
  <c r="Z17" i="1"/>
  <c r="W17" i="1"/>
  <c r="Q17" i="1"/>
  <c r="L17" i="1"/>
  <c r="F17" i="1"/>
  <c r="AF16" i="1"/>
  <c r="AH16" i="1" s="1"/>
  <c r="AE16" i="1"/>
  <c r="AA16" i="1"/>
  <c r="Z16" i="1"/>
  <c r="W16" i="1"/>
  <c r="Q16" i="1"/>
  <c r="L16" i="1"/>
  <c r="F16" i="1"/>
  <c r="AF15" i="1"/>
  <c r="AE15" i="1"/>
  <c r="AH15" i="1" s="1"/>
  <c r="AA15" i="1"/>
  <c r="Z15" i="1"/>
  <c r="W15" i="1"/>
  <c r="Q15" i="1"/>
  <c r="L15" i="1"/>
  <c r="F15" i="1"/>
  <c r="AF14" i="1"/>
  <c r="AE14" i="1"/>
  <c r="AA14" i="1"/>
  <c r="AC14" i="1" s="1"/>
  <c r="Z14" i="1"/>
  <c r="W14" i="1"/>
  <c r="Q14" i="1"/>
  <c r="L14" i="1"/>
  <c r="F14" i="1"/>
  <c r="AF13" i="1"/>
  <c r="AH13" i="1" s="1"/>
  <c r="AE13" i="1"/>
  <c r="AA13" i="1"/>
  <c r="Z13" i="1"/>
  <c r="AC13" i="1" s="1"/>
  <c r="W13" i="1"/>
  <c r="Q13" i="1"/>
  <c r="L13" i="1"/>
  <c r="F13" i="1"/>
  <c r="AF12" i="1"/>
  <c r="AE12" i="1"/>
  <c r="AA12" i="1"/>
  <c r="Z12" i="1"/>
  <c r="W12" i="1"/>
  <c r="Q12" i="1"/>
  <c r="L12" i="1"/>
  <c r="F12" i="1"/>
  <c r="AF11" i="1"/>
  <c r="AE11" i="1"/>
  <c r="AA11" i="1"/>
  <c r="Z11" i="1"/>
  <c r="AC11" i="1" s="1"/>
  <c r="W11" i="1"/>
  <c r="Q11" i="1"/>
  <c r="L11" i="1"/>
  <c r="F11" i="1"/>
  <c r="AF10" i="1"/>
  <c r="AH10" i="1" s="1"/>
  <c r="AE10" i="1"/>
  <c r="AA10" i="1"/>
  <c r="AC10" i="1" s="1"/>
  <c r="Z10" i="1"/>
  <c r="W10" i="1"/>
  <c r="Q10" i="1"/>
  <c r="L10" i="1"/>
  <c r="F10" i="1"/>
  <c r="O9" i="1"/>
  <c r="N9" i="1"/>
  <c r="U9" i="1"/>
  <c r="D9" i="1"/>
  <c r="I9" i="1"/>
  <c r="J9" i="1"/>
  <c r="T9" i="1"/>
  <c r="B9" i="1"/>
  <c r="N7" i="1"/>
  <c r="J7" i="1"/>
  <c r="I7" i="1"/>
  <c r="U7" i="1"/>
  <c r="O7" i="1"/>
  <c r="C7" i="1"/>
  <c r="T7" i="1"/>
  <c r="D7" i="1"/>
  <c r="AC617" i="1" l="1"/>
  <c r="AC875" i="1"/>
  <c r="AH518" i="1"/>
  <c r="AC800" i="1"/>
  <c r="AH609" i="1"/>
  <c r="AH613" i="1"/>
  <c r="AH617" i="1"/>
  <c r="AC187" i="1"/>
  <c r="AC274" i="1"/>
  <c r="AH396" i="1"/>
  <c r="AH471" i="1"/>
  <c r="AC475" i="1"/>
  <c r="AH669" i="1"/>
  <c r="AH673" i="1"/>
  <c r="AH681" i="1"/>
  <c r="AH741" i="1"/>
  <c r="AC844" i="1"/>
  <c r="AC848" i="1"/>
  <c r="AC69" i="1"/>
  <c r="AC160" i="1"/>
  <c r="AC539" i="1"/>
  <c r="AC543" i="1"/>
  <c r="AH749" i="1"/>
  <c r="AH757" i="1"/>
  <c r="AH840" i="1"/>
  <c r="AC955" i="1"/>
  <c r="AC959" i="1"/>
  <c r="AC924" i="1"/>
  <c r="AH710" i="1"/>
  <c r="AH912" i="1"/>
  <c r="AH920" i="1"/>
  <c r="AC831" i="1"/>
  <c r="AH411" i="1"/>
  <c r="AH36" i="1"/>
  <c r="AH293" i="1"/>
  <c r="AH704" i="1"/>
  <c r="AH373" i="1"/>
  <c r="AC239" i="1"/>
  <c r="AH642" i="1"/>
  <c r="AH809" i="1"/>
  <c r="AH14" i="1"/>
  <c r="AH200" i="1"/>
  <c r="AC323" i="1"/>
  <c r="AH706" i="1"/>
  <c r="AH908" i="1"/>
  <c r="AH113" i="1"/>
  <c r="AH299" i="1"/>
  <c r="AH508" i="1"/>
  <c r="AH386" i="1"/>
  <c r="AH520" i="1"/>
  <c r="AH603" i="1"/>
  <c r="AH786" i="1"/>
  <c r="AH22" i="1"/>
  <c r="AH943" i="1"/>
  <c r="AH652" i="1"/>
  <c r="AC127" i="1"/>
  <c r="AH28" i="1"/>
  <c r="AH198" i="1"/>
  <c r="AH289" i="1"/>
  <c r="AH494" i="1"/>
  <c r="AH274" i="1"/>
  <c r="AH365" i="1"/>
  <c r="AH342" i="1"/>
  <c r="AH219" i="1"/>
  <c r="AH539" i="1"/>
  <c r="AH638" i="1"/>
  <c r="AH955" i="1"/>
  <c r="AH256" i="1"/>
  <c r="AC371" i="1"/>
  <c r="AH465" i="1"/>
  <c r="AH473" i="1"/>
  <c r="AH576" i="1"/>
  <c r="AC584" i="1"/>
  <c r="AH268" i="1"/>
  <c r="AH272" i="1"/>
  <c r="AH280" i="1"/>
  <c r="AC699" i="1"/>
  <c r="AC747" i="1"/>
  <c r="AC751" i="1"/>
  <c r="AH695" i="1"/>
  <c r="AH469" i="1"/>
  <c r="AC276" i="1"/>
  <c r="AC458" i="1"/>
  <c r="AC827" i="1"/>
  <c r="AH815" i="1"/>
  <c r="AH32" i="1"/>
  <c r="AH498" i="1"/>
  <c r="AH123" i="1"/>
  <c r="AH510" i="1"/>
  <c r="AC586" i="1"/>
  <c r="AH369" i="1"/>
  <c r="AH543" i="1"/>
  <c r="AC133" i="1"/>
  <c r="AH82" i="1"/>
  <c r="AH165" i="1"/>
  <c r="AH55" i="1"/>
  <c r="AH59" i="1"/>
  <c r="AH63" i="1"/>
  <c r="AH67" i="1"/>
  <c r="AC237" i="1"/>
  <c r="AH340" i="1"/>
  <c r="AC348" i="1"/>
  <c r="AH525" i="1"/>
  <c r="AH529" i="1"/>
  <c r="AH533" i="1"/>
  <c r="AH846" i="1"/>
  <c r="AH850" i="1"/>
  <c r="AH854" i="1"/>
  <c r="AH937" i="1"/>
  <c r="AH502" i="1"/>
  <c r="AH206" i="1"/>
  <c r="AH171" i="1"/>
  <c r="AH338" i="1"/>
  <c r="AH156" i="1"/>
  <c r="AC411" i="1"/>
  <c r="AH959" i="1"/>
  <c r="AH44" i="1"/>
  <c r="AH187" i="1"/>
  <c r="AH214" i="1"/>
  <c r="AH245" i="1"/>
  <c r="AH284" i="1"/>
  <c r="AH354" i="1"/>
  <c r="AH358" i="1"/>
  <c r="AC462" i="1"/>
  <c r="AH481" i="1"/>
  <c r="AH485" i="1"/>
  <c r="AH555" i="1"/>
  <c r="AH594" i="1"/>
  <c r="AH598" i="1"/>
  <c r="AC606" i="1"/>
  <c r="AH625" i="1"/>
  <c r="AH629" i="1"/>
  <c r="AC641" i="1"/>
  <c r="AH699" i="1"/>
  <c r="AH718" i="1"/>
  <c r="AH722" i="1"/>
  <c r="AH769" i="1"/>
  <c r="AH773" i="1"/>
  <c r="AH800" i="1"/>
  <c r="AH866" i="1"/>
  <c r="AH893" i="1"/>
  <c r="AH897" i="1"/>
  <c r="AH71" i="1"/>
  <c r="AH106" i="1"/>
  <c r="AC17" i="1"/>
  <c r="AH48" i="1"/>
  <c r="AH141" i="1"/>
  <c r="AH149" i="1"/>
  <c r="AH164" i="1"/>
  <c r="AH191" i="1"/>
  <c r="AH218" i="1"/>
  <c r="AH249" i="1"/>
  <c r="AC269" i="1"/>
  <c r="AH292" i="1"/>
  <c r="AH381" i="1"/>
  <c r="AH389" i="1"/>
  <c r="AH400" i="1"/>
  <c r="AH427" i="1"/>
  <c r="AH431" i="1"/>
  <c r="AH439" i="1"/>
  <c r="AH489" i="1"/>
  <c r="AC528" i="1"/>
  <c r="AC532" i="1"/>
  <c r="AH559" i="1"/>
  <c r="AC579" i="1"/>
  <c r="AH602" i="1"/>
  <c r="AC614" i="1"/>
  <c r="AH676" i="1"/>
  <c r="AC684" i="1"/>
  <c r="AH777" i="1"/>
  <c r="AH781" i="1"/>
  <c r="AC812" i="1"/>
  <c r="AH839" i="1"/>
  <c r="AC843" i="1"/>
  <c r="AC847" i="1"/>
  <c r="AH870" i="1"/>
  <c r="AH901" i="1"/>
  <c r="AC909" i="1"/>
  <c r="AH928" i="1"/>
  <c r="AH975" i="1"/>
  <c r="AH257" i="1"/>
  <c r="AC308" i="1"/>
  <c r="AH339" i="1"/>
  <c r="AH366" i="1"/>
  <c r="AC412" i="1"/>
  <c r="AH443" i="1"/>
  <c r="AH470" i="1"/>
  <c r="AH505" i="1"/>
  <c r="AH509" i="1"/>
  <c r="AH528" i="1"/>
  <c r="AH575" i="1"/>
  <c r="AC649" i="1"/>
  <c r="AH742" i="1"/>
  <c r="AH789" i="1"/>
  <c r="AC851" i="1"/>
  <c r="AH940" i="1"/>
  <c r="AH944" i="1"/>
  <c r="AH350" i="1"/>
  <c r="AC481" i="1"/>
  <c r="AC25" i="1"/>
  <c r="AH64" i="1"/>
  <c r="AH83" i="1"/>
  <c r="AH226" i="1"/>
  <c r="AC277" i="1"/>
  <c r="AH335" i="1"/>
  <c r="AH466" i="1"/>
  <c r="AH21" i="1"/>
  <c r="AH91" i="1"/>
  <c r="AC95" i="1"/>
  <c r="AC103" i="1"/>
  <c r="AH114" i="1"/>
  <c r="AH118" i="1"/>
  <c r="AH122" i="1"/>
  <c r="AH265" i="1"/>
  <c r="AH273" i="1"/>
  <c r="AH300" i="1"/>
  <c r="AH308" i="1"/>
  <c r="AH370" i="1"/>
  <c r="AH513" i="1"/>
  <c r="AH517" i="1"/>
  <c r="AH540" i="1"/>
  <c r="AC587" i="1"/>
  <c r="AC591" i="1"/>
  <c r="AH684" i="1"/>
  <c r="AH688" i="1"/>
  <c r="AH692" i="1"/>
  <c r="AH812" i="1"/>
  <c r="AH816" i="1"/>
  <c r="AH820" i="1"/>
  <c r="AH847" i="1"/>
  <c r="AC859" i="1"/>
  <c r="AC863" i="1"/>
  <c r="AC882" i="1"/>
  <c r="AC886" i="1"/>
  <c r="AC921" i="1"/>
  <c r="AH237" i="1"/>
  <c r="AC358" i="1"/>
  <c r="AC594" i="1"/>
  <c r="AH881" i="1"/>
  <c r="AC48" i="1"/>
  <c r="AH102" i="1"/>
  <c r="AH175" i="1"/>
  <c r="AH241" i="1"/>
  <c r="AH377" i="1"/>
  <c r="AH419" i="1"/>
  <c r="AC435" i="1"/>
  <c r="AH477" i="1"/>
  <c r="AC489" i="1"/>
  <c r="AH29" i="1"/>
  <c r="AH33" i="1"/>
  <c r="AH37" i="1"/>
  <c r="AH203" i="1"/>
  <c r="AH238" i="1"/>
  <c r="AH281" i="1"/>
  <c r="AH544" i="1"/>
  <c r="AH622" i="1"/>
  <c r="AC626" i="1"/>
  <c r="AC630" i="1"/>
  <c r="AH715" i="1"/>
  <c r="AH754" i="1"/>
  <c r="AH758" i="1"/>
  <c r="AH878" i="1"/>
  <c r="AH882" i="1"/>
  <c r="AH886" i="1"/>
  <c r="AC964" i="1"/>
  <c r="AC968" i="1"/>
  <c r="AH450" i="1"/>
  <c r="AH621" i="1"/>
  <c r="AH877" i="1"/>
  <c r="AC79" i="1"/>
  <c r="AH315" i="1"/>
  <c r="AH656" i="1"/>
  <c r="AH765" i="1"/>
  <c r="AH862" i="1"/>
  <c r="AC80" i="1"/>
  <c r="AH176" i="1"/>
  <c r="AC192" i="1"/>
  <c r="AH207" i="1"/>
  <c r="AC223" i="1"/>
  <c r="AH242" i="1"/>
  <c r="AH316" i="1"/>
  <c r="AH351" i="1"/>
  <c r="AH359" i="1"/>
  <c r="AC382" i="1"/>
  <c r="AH416" i="1"/>
  <c r="AH478" i="1"/>
  <c r="AH521" i="1"/>
  <c r="AH587" i="1"/>
  <c r="AH657" i="1"/>
  <c r="AC669" i="1"/>
  <c r="AH766" i="1"/>
  <c r="AH921" i="1"/>
  <c r="AH956" i="1"/>
  <c r="AC245" i="1"/>
  <c r="AC354" i="1"/>
  <c r="AC485" i="1"/>
  <c r="AC598" i="1"/>
  <c r="AH753" i="1"/>
  <c r="AH885" i="1"/>
  <c r="AH590" i="1"/>
  <c r="AH761" i="1"/>
  <c r="AH17" i="1"/>
  <c r="AH45" i="1"/>
  <c r="AC61" i="1"/>
  <c r="AC84" i="1"/>
  <c r="AC227" i="1"/>
  <c r="AH250" i="1"/>
  <c r="AH324" i="1"/>
  <c r="AC367" i="1"/>
  <c r="AH436" i="1"/>
  <c r="AC506" i="1"/>
  <c r="AH564" i="1"/>
  <c r="AC638" i="1"/>
  <c r="AC704" i="1"/>
  <c r="AH719" i="1"/>
  <c r="AH778" i="1"/>
  <c r="AC790" i="1"/>
  <c r="AH828" i="1"/>
  <c r="AH836" i="1"/>
  <c r="AC840" i="1"/>
  <c r="AH871" i="1"/>
  <c r="AH894" i="1"/>
  <c r="AC941" i="1"/>
  <c r="AH968" i="1"/>
  <c r="AH972" i="1"/>
  <c r="AC46" i="1"/>
  <c r="AH235" i="1"/>
  <c r="AH475" i="1"/>
  <c r="AH549" i="1"/>
  <c r="AC596" i="1"/>
  <c r="AH619" i="1"/>
  <c r="AH654" i="1"/>
  <c r="AC771" i="1"/>
  <c r="AC802" i="1"/>
  <c r="AH879" i="1"/>
  <c r="AH883" i="1"/>
  <c r="AC961" i="1"/>
  <c r="AC965" i="1"/>
  <c r="AC969" i="1"/>
  <c r="AH278" i="1"/>
  <c r="AH545" i="1"/>
  <c r="AC50" i="1"/>
  <c r="AH100" i="1"/>
  <c r="AH104" i="1"/>
  <c r="AH158" i="1"/>
  <c r="AH177" i="1"/>
  <c r="AH181" i="1"/>
  <c r="AH208" i="1"/>
  <c r="AH239" i="1"/>
  <c r="AH313" i="1"/>
  <c r="AH317" i="1"/>
  <c r="AC325" i="1"/>
  <c r="AH417" i="1"/>
  <c r="AH421" i="1"/>
  <c r="AC433" i="1"/>
  <c r="AC437" i="1"/>
  <c r="AH553" i="1"/>
  <c r="AC561" i="1"/>
  <c r="AC565" i="1"/>
  <c r="AH588" i="1"/>
  <c r="AC600" i="1"/>
  <c r="AH623" i="1"/>
  <c r="AH658" i="1"/>
  <c r="AH662" i="1"/>
  <c r="AH716" i="1"/>
  <c r="AH763" i="1"/>
  <c r="AH798" i="1"/>
  <c r="AC833" i="1"/>
  <c r="AC837" i="1"/>
  <c r="AH860" i="1"/>
  <c r="AH957" i="1"/>
  <c r="AH790" i="1"/>
  <c r="AC821" i="1"/>
  <c r="AC910" i="1"/>
  <c r="AH945" i="1"/>
  <c r="AH115" i="1"/>
  <c r="AH169" i="1"/>
  <c r="AH270" i="1"/>
  <c r="AH301" i="1"/>
  <c r="AH514" i="1"/>
  <c r="AH646" i="1"/>
  <c r="AH689" i="1"/>
  <c r="AH817" i="1"/>
  <c r="AC825" i="1"/>
  <c r="AH844" i="1"/>
  <c r="AH949" i="1"/>
  <c r="AC181" i="1"/>
  <c r="AH305" i="1"/>
  <c r="AC313" i="1"/>
  <c r="AH541" i="1"/>
  <c r="AC553" i="1"/>
  <c r="AH747" i="1"/>
  <c r="AH910" i="1"/>
  <c r="AH30" i="1"/>
  <c r="AH69" i="1"/>
  <c r="AC185" i="1"/>
  <c r="AH11" i="1"/>
  <c r="AC19" i="1"/>
  <c r="AH42" i="1"/>
  <c r="AH50" i="1"/>
  <c r="AC66" i="1"/>
  <c r="AH73" i="1"/>
  <c r="AH77" i="1"/>
  <c r="AC108" i="1"/>
  <c r="AH135" i="1"/>
  <c r="AC166" i="1"/>
  <c r="AH185" i="1"/>
  <c r="AC220" i="1"/>
  <c r="AC255" i="1"/>
  <c r="AC259" i="1"/>
  <c r="AH286" i="1"/>
  <c r="AH321" i="1"/>
  <c r="AC329" i="1"/>
  <c r="AC364" i="1"/>
  <c r="AH379" i="1"/>
  <c r="AH398" i="1"/>
  <c r="AH425" i="1"/>
  <c r="AH437" i="1"/>
  <c r="AH479" i="1"/>
  <c r="AH483" i="1"/>
  <c r="AC507" i="1"/>
  <c r="AC511" i="1"/>
  <c r="AH557" i="1"/>
  <c r="AH592" i="1"/>
  <c r="AH720" i="1"/>
  <c r="AH767" i="1"/>
  <c r="AH771" i="1"/>
  <c r="AH779" i="1"/>
  <c r="AH829" i="1"/>
  <c r="AH864" i="1"/>
  <c r="AH868" i="1"/>
  <c r="AH895" i="1"/>
  <c r="AH961" i="1"/>
  <c r="AH965" i="1"/>
  <c r="AH969" i="1"/>
  <c r="AH977" i="1"/>
  <c r="AH197" i="1"/>
  <c r="AC267" i="1"/>
  <c r="AC271" i="1"/>
  <c r="AH503" i="1"/>
  <c r="AH573" i="1"/>
  <c r="AC845" i="1"/>
  <c r="AC93" i="1"/>
  <c r="AH108" i="1"/>
  <c r="AH228" i="1"/>
  <c r="AH263" i="1"/>
  <c r="AH298" i="1"/>
  <c r="AH333" i="1"/>
  <c r="AH468" i="1"/>
  <c r="AC651" i="1"/>
  <c r="AH740" i="1"/>
  <c r="AH791" i="1"/>
  <c r="AC876" i="1"/>
  <c r="AC911" i="1"/>
  <c r="AC77" i="1"/>
  <c r="AC487" i="1"/>
  <c r="AH112" i="1"/>
  <c r="AH116" i="1"/>
  <c r="AH120" i="1"/>
  <c r="AH267" i="1"/>
  <c r="AH271" i="1"/>
  <c r="AH302" i="1"/>
  <c r="AH345" i="1"/>
  <c r="AH445" i="1"/>
  <c r="AC546" i="1"/>
  <c r="AC550" i="1"/>
  <c r="AH686" i="1"/>
  <c r="AH705" i="1"/>
  <c r="AH709" i="1"/>
  <c r="AC756" i="1"/>
  <c r="AC760" i="1"/>
  <c r="AH814" i="1"/>
  <c r="AH818" i="1"/>
  <c r="AC880" i="1"/>
  <c r="AC884" i="1"/>
  <c r="AC888" i="1"/>
  <c r="AH950" i="1"/>
  <c r="AH119" i="1"/>
  <c r="AH92" i="1"/>
  <c r="AC177" i="1"/>
  <c r="AH309" i="1"/>
  <c r="AH537" i="1"/>
  <c r="AC588" i="1"/>
  <c r="AH751" i="1"/>
  <c r="AH821" i="1"/>
  <c r="AH914" i="1"/>
  <c r="AC922" i="1"/>
  <c r="AC73" i="1"/>
  <c r="AC31" i="1"/>
  <c r="AH23" i="1"/>
  <c r="AH31" i="1"/>
  <c r="AC43" i="1"/>
  <c r="AH89" i="1"/>
  <c r="AH93" i="1"/>
  <c r="AH124" i="1"/>
  <c r="AC136" i="1"/>
  <c r="AC186" i="1"/>
  <c r="AH306" i="1"/>
  <c r="AC380" i="1"/>
  <c r="AH542" i="1"/>
  <c r="AH651" i="1"/>
  <c r="AH694" i="1"/>
  <c r="AH748" i="1"/>
  <c r="AH756" i="1"/>
  <c r="AH795" i="1"/>
  <c r="AH849" i="1"/>
  <c r="AH853" i="1"/>
  <c r="AC857" i="1"/>
  <c r="AH884" i="1"/>
  <c r="AC896" i="1"/>
  <c r="AH911" i="1"/>
  <c r="AH915" i="1"/>
  <c r="AH919" i="1"/>
  <c r="AH954" i="1"/>
  <c r="AC51" i="1"/>
  <c r="AH97" i="1"/>
  <c r="AH101" i="1"/>
  <c r="AH314" i="1"/>
  <c r="AC461" i="1"/>
  <c r="AH663" i="1"/>
  <c r="AH698" i="1"/>
  <c r="AH826" i="1"/>
  <c r="AH923" i="1"/>
  <c r="AC927" i="1"/>
  <c r="AH12" i="1"/>
  <c r="AH43" i="1"/>
  <c r="AH132" i="1"/>
  <c r="AH136" i="1"/>
  <c r="AC163" i="1"/>
  <c r="AH213" i="1"/>
  <c r="AH283" i="1"/>
  <c r="AH322" i="1"/>
  <c r="AH353" i="1"/>
  <c r="AH357" i="1"/>
  <c r="AC388" i="1"/>
  <c r="AH407" i="1"/>
  <c r="AH457" i="1"/>
  <c r="AH480" i="1"/>
  <c r="AC500" i="1"/>
  <c r="AC504" i="1"/>
  <c r="AH523" i="1"/>
  <c r="AH558" i="1"/>
  <c r="AH593" i="1"/>
  <c r="AH597" i="1"/>
  <c r="AH624" i="1"/>
  <c r="AC636" i="1"/>
  <c r="AH721" i="1"/>
  <c r="AH725" i="1"/>
  <c r="AH768" i="1"/>
  <c r="AH830" i="1"/>
  <c r="AH865" i="1"/>
  <c r="AH896" i="1"/>
  <c r="AH962" i="1"/>
  <c r="AH51" i="1"/>
  <c r="AC59" i="1"/>
  <c r="AC67" i="1"/>
  <c r="AH109" i="1"/>
  <c r="AC113" i="1"/>
  <c r="AC121" i="1"/>
  <c r="AH140" i="1"/>
  <c r="AH144" i="1"/>
  <c r="AH190" i="1"/>
  <c r="AH295" i="1"/>
  <c r="AC303" i="1"/>
  <c r="AH330" i="1"/>
  <c r="AC338" i="1"/>
  <c r="AC342" i="1"/>
  <c r="AH388" i="1"/>
  <c r="AC473" i="1"/>
  <c r="AH500" i="1"/>
  <c r="AC531" i="1"/>
  <c r="AH566" i="1"/>
  <c r="AH570" i="1"/>
  <c r="AH679" i="1"/>
  <c r="AC683" i="1"/>
  <c r="AC687" i="1"/>
  <c r="AH702" i="1"/>
  <c r="AC815" i="1"/>
  <c r="AH931" i="1"/>
  <c r="AC428" i="1"/>
  <c r="AC466" i="1"/>
  <c r="AC18" i="1"/>
  <c r="AC451" i="1"/>
  <c r="AC570" i="1"/>
  <c r="AC974" i="1"/>
  <c r="AC818" i="1"/>
  <c r="AC497" i="1"/>
  <c r="AC681" i="1"/>
  <c r="AC330" i="1"/>
  <c r="AC440" i="1"/>
  <c r="AC174" i="1"/>
  <c r="AC417" i="1"/>
  <c r="AC906" i="1"/>
  <c r="AC826" i="1"/>
  <c r="AC34" i="1"/>
  <c r="AC38" i="1"/>
  <c r="AC178" i="1"/>
  <c r="AC182" i="1"/>
  <c r="AC197" i="1"/>
  <c r="AC212" i="1"/>
  <c r="AC273" i="1"/>
  <c r="AC288" i="1"/>
  <c r="AC292" i="1"/>
  <c r="AC296" i="1"/>
  <c r="AC334" i="1"/>
  <c r="AC353" i="1"/>
  <c r="AC357" i="1"/>
  <c r="AC402" i="1"/>
  <c r="AC406" i="1"/>
  <c r="AC425" i="1"/>
  <c r="AC444" i="1"/>
  <c r="AC482" i="1"/>
  <c r="AC486" i="1"/>
  <c r="AC643" i="1"/>
  <c r="AC666" i="1"/>
  <c r="AC830" i="1"/>
  <c r="AC944" i="1"/>
  <c r="AC470" i="1"/>
  <c r="AC688" i="1"/>
  <c r="AC860" i="1"/>
  <c r="AC928" i="1"/>
  <c r="AC102" i="1"/>
  <c r="AC140" i="1"/>
  <c r="AC612" i="1"/>
  <c r="AC696" i="1"/>
  <c r="AC474" i="1"/>
  <c r="AC726" i="1"/>
  <c r="AC978" i="1"/>
  <c r="AC242" i="1"/>
  <c r="AC326" i="1"/>
  <c r="AC501" i="1"/>
  <c r="AC246" i="1"/>
  <c r="AC284" i="1"/>
  <c r="AC505" i="1"/>
  <c r="AC547" i="1"/>
  <c r="AC662" i="1"/>
  <c r="AC700" i="1"/>
  <c r="AC757" i="1"/>
  <c r="AC803" i="1"/>
  <c r="AC872" i="1"/>
  <c r="AC53" i="1"/>
  <c r="AC152" i="1"/>
  <c r="AC421" i="1"/>
  <c r="AC601" i="1"/>
  <c r="AC738" i="1"/>
  <c r="AC761" i="1"/>
  <c r="AC788" i="1"/>
  <c r="AC849" i="1"/>
  <c r="AC137" i="1"/>
  <c r="AC156" i="1"/>
  <c r="AC216" i="1"/>
  <c r="AC513" i="1"/>
  <c r="AC590" i="1"/>
  <c r="AC609" i="1"/>
  <c r="AC628" i="1"/>
  <c r="AC689" i="1"/>
  <c r="AC746" i="1"/>
  <c r="AC773" i="1"/>
  <c r="AC914" i="1"/>
  <c r="AC929" i="1"/>
  <c r="AC99" i="1"/>
  <c r="AC114" i="1"/>
  <c r="AC258" i="1"/>
  <c r="AC452" i="1"/>
  <c r="AC494" i="1"/>
  <c r="AC613" i="1"/>
  <c r="AC670" i="1"/>
  <c r="AC693" i="1"/>
  <c r="AC777" i="1"/>
  <c r="AC842" i="1"/>
  <c r="AC937" i="1"/>
  <c r="AC566" i="1"/>
  <c r="AC627" i="1"/>
  <c r="AC932" i="1"/>
  <c r="AC117" i="1"/>
  <c r="AC814" i="1"/>
  <c r="AC616" i="1"/>
  <c r="AC707" i="1"/>
  <c r="AC83" i="1"/>
  <c r="AC265" i="1"/>
  <c r="AC730" i="1"/>
  <c r="AC193" i="1"/>
  <c r="AC524" i="1"/>
  <c r="AC734" i="1"/>
  <c r="AC868" i="1"/>
  <c r="AC91" i="1"/>
  <c r="AC376" i="1"/>
  <c r="AC398" i="1"/>
  <c r="AC478" i="1"/>
  <c r="AC792" i="1"/>
  <c r="AC57" i="1"/>
  <c r="AC254" i="1"/>
  <c r="AC300" i="1"/>
  <c r="AC448" i="1"/>
  <c r="AC467" i="1"/>
  <c r="AC517" i="1"/>
  <c r="AC536" i="1"/>
  <c r="AC632" i="1"/>
  <c r="AC769" i="1"/>
  <c r="AC796" i="1"/>
  <c r="AC918" i="1"/>
  <c r="AC933" i="1"/>
  <c r="AC118" i="1"/>
  <c r="AC262" i="1"/>
  <c r="AC456" i="1"/>
  <c r="AC540" i="1"/>
  <c r="AC674" i="1"/>
  <c r="AC678" i="1"/>
  <c r="AC697" i="1"/>
  <c r="AC708" i="1"/>
  <c r="AC712" i="1"/>
  <c r="AC750" i="1"/>
  <c r="AC60" i="1"/>
  <c r="AC608" i="1"/>
  <c r="AC768" i="1"/>
  <c r="AC917" i="1"/>
  <c r="AC722" i="1"/>
  <c r="AC841" i="1"/>
  <c r="AC322" i="1"/>
  <c r="AC436" i="1"/>
  <c r="AC597" i="1"/>
  <c r="AC658" i="1"/>
  <c r="AC853" i="1"/>
  <c r="AC126" i="1"/>
  <c r="AC194" i="1"/>
  <c r="AC312" i="1"/>
  <c r="AC350" i="1"/>
  <c r="AC369" i="1"/>
  <c r="AC373" i="1"/>
  <c r="AC414" i="1"/>
  <c r="AC544" i="1"/>
  <c r="AC548" i="1"/>
  <c r="AC552" i="1"/>
  <c r="AC659" i="1"/>
  <c r="AC754" i="1"/>
  <c r="AC785" i="1"/>
  <c r="AC804" i="1"/>
  <c r="AC869" i="1"/>
  <c r="AC960" i="1"/>
  <c r="AC718" i="1"/>
  <c r="AC936" i="1"/>
  <c r="AC692" i="1"/>
  <c r="AC394" i="1"/>
  <c r="AC520" i="1"/>
  <c r="AC574" i="1"/>
  <c r="AC673" i="1"/>
  <c r="AC578" i="1"/>
  <c r="AC963" i="1"/>
  <c r="AC12" i="1"/>
  <c r="AC209" i="1"/>
  <c r="AC228" i="1"/>
  <c r="AC270" i="1"/>
  <c r="AC384" i="1"/>
  <c r="AC418" i="1"/>
  <c r="AC422" i="1"/>
  <c r="AC441" i="1"/>
  <c r="AC460" i="1"/>
  <c r="AC602" i="1"/>
  <c r="AC762" i="1"/>
  <c r="AC789" i="1"/>
  <c r="AC808" i="1"/>
  <c r="AC850" i="1"/>
  <c r="AC854" i="1"/>
  <c r="AC392" i="1"/>
  <c r="AC464" i="1"/>
  <c r="AC468" i="1"/>
  <c r="AC472" i="1"/>
  <c r="AC514" i="1"/>
  <c r="AC560" i="1"/>
  <c r="AC564" i="1"/>
  <c r="AC568" i="1"/>
  <c r="AC610" i="1"/>
  <c r="AC625" i="1"/>
  <c r="AC629" i="1"/>
  <c r="AC690" i="1"/>
  <c r="AC770" i="1"/>
  <c r="AC774" i="1"/>
  <c r="AC915" i="1"/>
  <c r="AC930" i="1"/>
  <c r="AC934" i="1"/>
  <c r="AC953" i="1"/>
  <c r="AC926" i="1"/>
  <c r="AC142" i="1"/>
  <c r="AC430" i="1"/>
  <c r="AC449" i="1"/>
  <c r="AC453" i="1"/>
  <c r="AC694" i="1"/>
  <c r="AC720" i="1"/>
  <c r="AC862" i="1"/>
  <c r="AC119" i="1"/>
  <c r="AC146" i="1"/>
  <c r="AC263" i="1"/>
  <c r="AC282" i="1"/>
  <c r="AC305" i="1"/>
  <c r="AC366" i="1"/>
  <c r="AC572" i="1"/>
  <c r="AC652" i="1"/>
  <c r="AC675" i="1"/>
  <c r="AC679" i="1"/>
  <c r="AC705" i="1"/>
  <c r="AC709" i="1"/>
  <c r="AC724" i="1"/>
  <c r="AC728" i="1"/>
  <c r="AC816" i="1"/>
  <c r="AC900" i="1"/>
  <c r="AC976" i="1"/>
  <c r="AC115" i="1"/>
  <c r="AC24" i="1"/>
  <c r="AC85" i="1"/>
  <c r="AC206" i="1"/>
  <c r="AC240" i="1"/>
  <c r="AC309" i="1"/>
  <c r="AC324" i="1"/>
  <c r="AC328" i="1"/>
  <c r="AC396" i="1"/>
  <c r="AC434" i="1"/>
  <c r="AC457" i="1"/>
  <c r="AC522" i="1"/>
  <c r="AC576" i="1"/>
  <c r="AC580" i="1"/>
  <c r="AC595" i="1"/>
  <c r="AC618" i="1"/>
  <c r="AC698" i="1"/>
  <c r="AC713" i="1"/>
  <c r="AC782" i="1"/>
  <c r="AC801" i="1"/>
  <c r="AC820" i="1"/>
  <c r="AC824" i="1"/>
  <c r="AC866" i="1"/>
  <c r="AC881" i="1"/>
  <c r="AC885" i="1"/>
  <c r="AC980" i="1"/>
  <c r="AC28" i="1"/>
  <c r="AC47" i="1"/>
  <c r="AC286" i="1"/>
  <c r="AC370" i="1"/>
  <c r="AC476" i="1"/>
  <c r="AC545" i="1"/>
  <c r="AC549" i="1"/>
  <c r="AC660" i="1"/>
  <c r="AC664" i="1"/>
  <c r="AC732" i="1"/>
  <c r="AC755" i="1"/>
  <c r="AC759" i="1"/>
  <c r="AC786" i="1"/>
  <c r="AC805" i="1"/>
  <c r="AC870" i="1"/>
  <c r="AC904" i="1"/>
  <c r="AC89" i="1"/>
  <c r="AC210" i="1"/>
  <c r="AC225" i="1"/>
  <c r="AC229" i="1"/>
  <c r="AC419" i="1"/>
  <c r="AC423" i="1"/>
  <c r="AC442" i="1"/>
  <c r="AC736" i="1"/>
  <c r="AC58" i="1"/>
  <c r="AC32" i="1"/>
  <c r="AC74" i="1"/>
  <c r="AC78" i="1"/>
  <c r="AC161" i="1"/>
  <c r="AC176" i="1"/>
  <c r="AC180" i="1"/>
  <c r="AC184" i="1"/>
  <c r="AC290" i="1"/>
  <c r="AC355" i="1"/>
  <c r="AC359" i="1"/>
  <c r="AC385" i="1"/>
  <c r="AC389" i="1"/>
  <c r="AC400" i="1"/>
  <c r="AC404" i="1"/>
  <c r="AC408" i="1"/>
  <c r="AC480" i="1"/>
  <c r="AC484" i="1"/>
  <c r="AC488" i="1"/>
  <c r="AC526" i="1"/>
  <c r="AC622" i="1"/>
  <c r="AC645" i="1"/>
  <c r="AC702" i="1"/>
  <c r="AC740" i="1"/>
  <c r="AC809" i="1"/>
  <c r="AC874" i="1"/>
  <c r="AC908" i="1"/>
  <c r="AC946" i="1"/>
  <c r="AC40" i="1"/>
  <c r="AC131" i="1"/>
  <c r="AC154" i="1"/>
  <c r="AC165" i="1"/>
  <c r="AC233" i="1"/>
  <c r="AC275" i="1"/>
  <c r="AC298" i="1"/>
  <c r="AC336" i="1"/>
  <c r="AC340" i="1"/>
  <c r="AC344" i="1"/>
  <c r="AC378" i="1"/>
  <c r="AC446" i="1"/>
  <c r="AC530" i="1"/>
  <c r="AC534" i="1"/>
  <c r="AC668" i="1"/>
  <c r="AC744" i="1"/>
  <c r="AC794" i="1"/>
  <c r="AC832" i="1"/>
  <c r="AC836" i="1"/>
  <c r="AC950" i="1"/>
  <c r="AC913" i="1"/>
  <c r="AC16" i="1"/>
  <c r="AC135" i="1"/>
  <c r="AC897" i="1"/>
  <c r="AC916" i="1"/>
  <c r="AC931" i="1"/>
  <c r="AC935" i="1"/>
  <c r="AC949" i="1"/>
  <c r="AC97" i="1"/>
  <c r="AC101" i="1"/>
  <c r="AC116" i="1"/>
  <c r="AC188" i="1"/>
  <c r="AC256" i="1"/>
  <c r="AC450" i="1"/>
  <c r="AC454" i="1"/>
  <c r="AC492" i="1"/>
  <c r="AC538" i="1"/>
  <c r="AC569" i="1"/>
  <c r="AC611" i="1"/>
  <c r="AC721" i="1"/>
  <c r="AC798" i="1"/>
  <c r="AC920" i="1"/>
  <c r="AC954" i="1"/>
  <c r="AC44" i="1"/>
  <c r="AC105" i="1"/>
  <c r="AC147" i="1"/>
  <c r="AC158" i="1"/>
  <c r="AC260" i="1"/>
  <c r="AC264" i="1"/>
  <c r="AC306" i="1"/>
  <c r="AC321" i="1"/>
  <c r="AC542" i="1"/>
  <c r="AC615" i="1"/>
  <c r="AC634" i="1"/>
  <c r="AC672" i="1"/>
  <c r="AC676" i="1"/>
  <c r="AC680" i="1"/>
  <c r="AC706" i="1"/>
  <c r="AC710" i="1"/>
  <c r="AC725" i="1"/>
  <c r="AC748" i="1"/>
  <c r="AC817" i="1"/>
  <c r="AC878" i="1"/>
  <c r="AC901" i="1"/>
  <c r="AC977" i="1"/>
  <c r="AC164" i="1"/>
  <c r="AC124" i="1"/>
  <c r="AC222" i="1"/>
  <c r="AC241" i="1"/>
  <c r="AC310" i="1"/>
  <c r="AC958" i="1"/>
  <c r="AC981" i="1"/>
  <c r="AC280" i="1"/>
  <c r="AC318" i="1"/>
  <c r="AC516" i="1"/>
  <c r="AC562" i="1"/>
  <c r="AC745" i="1"/>
  <c r="AC772" i="1"/>
  <c r="AC898" i="1"/>
  <c r="AC22" i="1"/>
  <c r="AC238" i="1"/>
  <c r="AC261" i="1"/>
  <c r="AC204" i="1"/>
  <c r="AC582" i="1"/>
  <c r="AC654" i="1"/>
  <c r="AC822" i="1"/>
  <c r="AC883" i="1"/>
  <c r="AC49" i="1"/>
  <c r="AC372" i="1"/>
  <c r="AC753" i="1"/>
  <c r="AC784" i="1"/>
  <c r="AC39" i="1"/>
  <c r="AC297" i="1"/>
  <c r="AC316" i="1"/>
  <c r="AC362" i="1"/>
  <c r="AC529" i="1"/>
  <c r="AC556" i="1"/>
  <c r="AC686" i="1"/>
  <c r="AC766" i="1"/>
  <c r="AC858" i="1"/>
  <c r="AC138" i="1"/>
  <c r="AC168" i="1"/>
  <c r="AC20" i="1"/>
  <c r="AC62" i="1"/>
  <c r="AC100" i="1"/>
  <c r="AC217" i="1"/>
  <c r="AC320" i="1"/>
  <c r="AC90" i="1"/>
  <c r="AC109" i="1"/>
  <c r="AC226" i="1"/>
  <c r="AC230" i="1"/>
  <c r="AC249" i="1"/>
  <c r="AC352" i="1"/>
  <c r="AC416" i="1"/>
  <c r="AC420" i="1"/>
  <c r="AC424" i="1"/>
  <c r="AC554" i="1"/>
  <c r="AC642" i="1"/>
  <c r="AC737" i="1"/>
  <c r="AC852" i="1"/>
  <c r="AC890" i="1"/>
  <c r="AC905" i="1"/>
  <c r="AC962" i="1"/>
  <c r="AC776" i="1"/>
  <c r="AC64" i="1"/>
  <c r="AC98" i="1"/>
  <c r="AC257" i="1"/>
  <c r="AC68" i="1"/>
  <c r="AC148" i="1"/>
  <c r="AC677" i="1"/>
  <c r="AC26" i="1"/>
  <c r="AC593" i="1"/>
  <c r="AC130" i="1"/>
  <c r="AC343" i="1"/>
  <c r="AC533" i="1"/>
  <c r="AC648" i="1"/>
  <c r="AC835" i="1"/>
  <c r="AC202" i="1"/>
  <c r="AC33" i="1"/>
  <c r="AC71" i="1"/>
  <c r="AC162" i="1"/>
  <c r="AC211" i="1"/>
  <c r="AC272" i="1"/>
  <c r="AC291" i="1"/>
  <c r="AC295" i="1"/>
  <c r="AC356" i="1"/>
  <c r="AC360" i="1"/>
  <c r="AC386" i="1"/>
  <c r="AC390" i="1"/>
  <c r="AC401" i="1"/>
  <c r="AC405" i="1"/>
  <c r="AC508" i="1"/>
  <c r="AC585" i="1"/>
  <c r="AC604" i="1"/>
  <c r="AC741" i="1"/>
  <c r="AC810" i="1"/>
  <c r="AC856" i="1"/>
  <c r="AC894" i="1"/>
  <c r="AE9" i="1"/>
  <c r="Q9" i="1"/>
  <c r="AF9" i="1"/>
  <c r="AH9" i="1" s="1"/>
  <c r="L9" i="1"/>
  <c r="AA9" i="1"/>
  <c r="F9" i="1"/>
  <c r="Z9" i="1"/>
  <c r="W9" i="1"/>
  <c r="AC294" i="1"/>
  <c r="AH319" i="1"/>
  <c r="AH493" i="1"/>
  <c r="AH627" i="1"/>
  <c r="AC828" i="1"/>
  <c r="AC471" i="1"/>
  <c r="AH941" i="1"/>
  <c r="AC374" i="1"/>
  <c r="AC938" i="1"/>
  <c r="AC410" i="1"/>
  <c r="AC839" i="1"/>
  <c r="AH905" i="1"/>
  <c r="AH62" i="1"/>
  <c r="AH246" i="1"/>
  <c r="AH297" i="1"/>
  <c r="AH467" i="1"/>
  <c r="AH217" i="1"/>
  <c r="AC279" i="1"/>
  <c r="AH413" i="1"/>
  <c r="AH547" i="1"/>
  <c r="AC631" i="1"/>
  <c r="AH649" i="1"/>
  <c r="AC682" i="1"/>
  <c r="AC106" i="1"/>
  <c r="AH275" i="1"/>
  <c r="AH835" i="1"/>
  <c r="AC887" i="1"/>
  <c r="AC490" i="1"/>
  <c r="AH755" i="1"/>
  <c r="AH399" i="1"/>
  <c r="AH671" i="1"/>
  <c r="AH927" i="1"/>
  <c r="AC128" i="1"/>
  <c r="AH726" i="1"/>
  <c r="AH49" i="1"/>
  <c r="AC483" i="1"/>
  <c r="AC563" i="1"/>
  <c r="AH96" i="1"/>
  <c r="AH121" i="1"/>
  <c r="AC375" i="1"/>
  <c r="AH103" i="1"/>
  <c r="AH371" i="1"/>
  <c r="AH796" i="1"/>
  <c r="AH979" i="1"/>
  <c r="AH147" i="1"/>
  <c r="AC201" i="1"/>
  <c r="AC339" i="1"/>
  <c r="AC535" i="1"/>
  <c r="AH822" i="1"/>
  <c r="AH892" i="1"/>
  <c r="AH75" i="1"/>
  <c r="AH129" i="1"/>
  <c r="AC151" i="1"/>
  <c r="AC332" i="1"/>
  <c r="AH531" i="1"/>
  <c r="AC633" i="1"/>
  <c r="AC691" i="1"/>
  <c r="AC775" i="1"/>
  <c r="AC947" i="1"/>
  <c r="AC36" i="1"/>
  <c r="AC252" i="1"/>
  <c r="AH361" i="1"/>
  <c r="AC889" i="1"/>
  <c r="AH179" i="1"/>
  <c r="AC499" i="1"/>
  <c r="AC871" i="1"/>
  <c r="AC966" i="1"/>
  <c r="AC304" i="1"/>
  <c r="AH857" i="1"/>
  <c r="AH636" i="1"/>
  <c r="AH90" i="1"/>
  <c r="AH611" i="1"/>
  <c r="AH137" i="1"/>
  <c r="AH441" i="1"/>
  <c r="AH867" i="1"/>
  <c r="AH685" i="1"/>
  <c r="AH195" i="1"/>
  <c r="AH349" i="1"/>
  <c r="AH614" i="1"/>
  <c r="AH723" i="1"/>
  <c r="AH255" i="1"/>
  <c r="AC455" i="1"/>
  <c r="AC15" i="1"/>
  <c r="AC55" i="1"/>
  <c r="AH80" i="1"/>
  <c r="AC780" i="1"/>
  <c r="AC199" i="1"/>
  <c r="AC224" i="1"/>
  <c r="AC727" i="1"/>
  <c r="AH39" i="1"/>
  <c r="AH451" i="1"/>
  <c r="AC144" i="1"/>
  <c r="AC438" i="1"/>
  <c r="AC743" i="1"/>
  <c r="AH845" i="1"/>
  <c r="AC912" i="1"/>
  <c r="AH291" i="1"/>
  <c r="AH745" i="1"/>
  <c r="AC793" i="1"/>
  <c r="AH269" i="1"/>
  <c r="AC183" i="1"/>
  <c r="AH204" i="1"/>
  <c r="AC368" i="1"/>
  <c r="AC87" i="1"/>
  <c r="AH166" i="1"/>
  <c r="AC231" i="1"/>
  <c r="AC311" i="1"/>
  <c r="AC391" i="1"/>
  <c r="AH492" i="1"/>
  <c r="AC518" i="1"/>
  <c r="AH572" i="1"/>
  <c r="AH739" i="1"/>
  <c r="AC787" i="1"/>
  <c r="AC145" i="1"/>
  <c r="AC551" i="1"/>
  <c r="AH831" i="1"/>
  <c r="AH138" i="1"/>
  <c r="AC656" i="1"/>
  <c r="AC346" i="1"/>
  <c r="AC266" i="1"/>
  <c r="AC65" i="1"/>
  <c r="AH227" i="1"/>
  <c r="AH307" i="1"/>
  <c r="AH387" i="1"/>
  <c r="AC663" i="1"/>
  <c r="AC758" i="1"/>
  <c r="AC864" i="1"/>
  <c r="AC919" i="1"/>
  <c r="AH803" i="1"/>
  <c r="AC807" i="1"/>
  <c r="AH579" i="1"/>
  <c r="AC583" i="1"/>
  <c r="AC21" i="1"/>
  <c r="AH72" i="1"/>
  <c r="AH499" i="1"/>
  <c r="AC503" i="1"/>
  <c r="AH691" i="1"/>
  <c r="AC695" i="1"/>
  <c r="AH947" i="1"/>
  <c r="AC951" i="1"/>
  <c r="AH56" i="1"/>
  <c r="AH563" i="1"/>
  <c r="AC567" i="1"/>
  <c r="AH787" i="1"/>
  <c r="AC791" i="1"/>
  <c r="AH323" i="1"/>
  <c r="AC215" i="1"/>
  <c r="AC647" i="1"/>
  <c r="AC122" i="1"/>
  <c r="AH243" i="1"/>
  <c r="AC247" i="1"/>
  <c r="AH819" i="1"/>
  <c r="AC823" i="1"/>
  <c r="AC903" i="1"/>
  <c r="AH163" i="1"/>
  <c r="AC167" i="1"/>
  <c r="AC94" i="1"/>
  <c r="AH211" i="1"/>
  <c r="AC327" i="1"/>
  <c r="AH595" i="1"/>
  <c r="AC599" i="1"/>
  <c r="AH707" i="1"/>
  <c r="AC711" i="1"/>
  <c r="AH643" i="1"/>
  <c r="AH515" i="1"/>
  <c r="AC519" i="1"/>
  <c r="AH963" i="1"/>
  <c r="AC967" i="1"/>
  <c r="AH899" i="1"/>
  <c r="AC37" i="1"/>
  <c r="AC88" i="1"/>
  <c r="AH435" i="1"/>
  <c r="AC439" i="1"/>
  <c r="AH851" i="1"/>
  <c r="AC855" i="1"/>
  <c r="AK53" i="1" l="1"/>
  <c r="AP4" i="1"/>
  <c r="AP3" i="1" s="1"/>
  <c r="AC9" i="1"/>
  <c r="AK52" i="1" l="1"/>
  <c r="AK51" i="1" s="1"/>
  <c r="AK75" i="1"/>
  <c r="AK99" i="1" s="1"/>
  <c r="AK74" i="1" l="1"/>
  <c r="AK73" i="1" s="1"/>
  <c r="AK98" i="1" l="1"/>
  <c r="AK97" i="1" s="1"/>
  <c r="AK138" i="1"/>
  <c r="AK137" i="1" s="1"/>
  <c r="AK136" i="1" s="1"/>
</calcChain>
</file>

<file path=xl/sharedStrings.xml><?xml version="1.0" encoding="utf-8"?>
<sst xmlns="http://schemas.openxmlformats.org/spreadsheetml/2006/main" count="663" uniqueCount="27">
  <si>
    <t>cffdqmms Index</t>
  </si>
  <si>
    <t>cffdqmml Index</t>
  </si>
  <si>
    <t>Start Date</t>
  </si>
  <si>
    <t>End Date</t>
  </si>
  <si>
    <t>Dates</t>
  </si>
  <si>
    <t>PX_LAST</t>
  </si>
  <si>
    <t>cfcdqmml Index</t>
  </si>
  <si>
    <t>cfcdqmms Index</t>
  </si>
  <si>
    <t>CBTUEMML Index</t>
  </si>
  <si>
    <t>CBTUEMMS Index</t>
  </si>
  <si>
    <t>#N/A N/A</t>
  </si>
  <si>
    <t>CBTVEMML Index</t>
  </si>
  <si>
    <t>CBTVEMMS Index</t>
  </si>
  <si>
    <t>Crude Long</t>
  </si>
  <si>
    <t>Crude Short</t>
  </si>
  <si>
    <t>ICFUBMML Index</t>
  </si>
  <si>
    <t>ICFUBMMS Index</t>
  </si>
  <si>
    <t>ICCBBMML Index</t>
  </si>
  <si>
    <t>ICCBBMMS Index</t>
  </si>
  <si>
    <t>BRENT FUTURES</t>
  </si>
  <si>
    <t>BRENT FUTURES+options</t>
  </si>
  <si>
    <t>WTI FUTURES+options</t>
  </si>
  <si>
    <t>WTI FUTURES</t>
  </si>
  <si>
    <t>Long</t>
  </si>
  <si>
    <t>Short</t>
  </si>
  <si>
    <t>FUTURES</t>
  </si>
  <si>
    <t>FUTURES+options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</si>
</sst>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10" fontId="0" fillId="0" borderId="0" xfId="1" applyNumberFormat="1" applyFont="1"/>
    <xf numFmtId="0" fontId="0" fillId="2" borderId="0" xfId="0" applyFill="1"/>
    <xf numFmtId="10" fontId="0" fillId="2" borderId="0" xfId="1" applyNumberFormat="1" applyFont="1" applyFill="1"/>
    <xf numFmtId="0" fontId="0" fillId="3" borderId="0" xfId="0" applyFill="1"/>
    <xf numFmtId="14" fontId="0" fillId="2" borderId="0" xfId="0" applyNumberForma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loomberg.rtd">
      <tp t="s">
        <v>Last Price</v>
        <stp/>
        <stp>##V3_BFIELDINFOV12</stp>
        <stp>[percent_short_crude.xlsx]Sheet1!R7C14</stp>
        <stp>PX_LAST</stp>
        <tr r="N7" s="1"/>
      </tp>
      <tp t="s">
        <v>Last Price</v>
        <stp/>
        <stp>##V3_BFIELDINFOV12</stp>
        <stp>[percent_short_crude.xlsx]Sheet1!R7C15</stp>
        <stp>PX_LAST</stp>
        <tr r="O7" s="1"/>
      </tp>
      <tp t="s">
        <v>Last Price</v>
        <stp/>
        <stp>##V3_BFIELDINFOV12</stp>
        <stp>[percent_short_crude.xlsx]Sheet1!R7C10</stp>
        <stp>PX_LAST</stp>
        <tr r="J7" s="1"/>
      </tp>
      <tp t="s">
        <v>Last Price</v>
        <stp/>
        <stp>##V3_BFIELDINFOV12</stp>
        <stp>[percent_short_crude.xlsx]Sheet1!R7C20</stp>
        <stp>PX_LAST</stp>
        <tr r="T7" s="1"/>
      </tp>
      <tp t="s">
        <v>Last Price</v>
        <stp/>
        <stp>##V3_BFIELDINFOV12</stp>
        <stp>[percent_short_crude.xlsx]Sheet1!R7C21</stp>
        <stp>PX_LAST</stp>
        <tr r="U7" s="1"/>
      </tp>
    </main>
    <main first="bofaddin.rtdserver">
      <tp t="e">
        <v>#N/A</v>
        <stp/>
        <stp>BDH|10007940482998586339</stp>
        <tr r="I9" s="1"/>
      </tp>
      <tp t="e">
        <v>#N/A</v>
        <stp/>
        <stp>BDH|15130665603291131932</stp>
        <tr r="N9" s="1"/>
      </tp>
      <tp t="e">
        <v>#N/A</v>
        <stp/>
        <stp>BDH|13453483400574754869</stp>
        <tr r="D9" s="1"/>
      </tp>
      <tp t="e">
        <v>#N/A</v>
        <stp/>
        <stp>BDH|16765784554426538102</stp>
        <tr r="O9" s="1"/>
      </tp>
      <tp t="e">
        <v>#N/A</v>
        <stp/>
        <stp>BDH|13856572173738576862</stp>
        <tr r="U9" s="1"/>
      </tp>
    </main>
    <main first="bofaddin.rtdserver">
      <tp t="e">
        <v>#N/A</v>
        <stp/>
        <stp>BDH|5913365127390920</stp>
        <tr r="T9" s="1"/>
      </tp>
    </main>
    <main first="bofaddin.rtdserver">
      <tp t="e">
        <v>#N/A</v>
        <stp/>
        <stp>BDH|9817206000070529478</stp>
        <tr r="J9" s="1"/>
      </tp>
      <tp t="e">
        <v>#N/A</v>
        <stp/>
        <stp>BDH|2484443528986996982</stp>
        <tr r="B9" s="1"/>
      </tp>
    </main>
    <main first="bloomberg.rtd">
      <tp t="s">
        <v>Last Price</v>
        <stp/>
        <stp>##V3_BFIELDINFOV12</stp>
        <stp>[percent_short_crude.xlsx]Sheet1!R7C3</stp>
        <stp>PX_LAST</stp>
        <tr r="C7" s="1"/>
      </tp>
      <tp t="s">
        <v>Last Price</v>
        <stp/>
        <stp>##V3_BFIELDINFOV12</stp>
        <stp>[percent_short_crude.xlsx]Sheet1!R7C4</stp>
        <stp>PX_LAST</stp>
        <tr r="D7" s="1"/>
      </tp>
      <tp t="s">
        <v>Last Price</v>
        <stp/>
        <stp>##V3_BFIELDINFOV12</stp>
        <stp>[percent_short_crude.xlsx]Sheet1!R7C9</stp>
        <stp>PX_LAST</stp>
        <tr r="I7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Sheet1!$AP$3</c:f>
          <c:strCache>
            <c:ptCount val="1"/>
            <c:pt idx="0">
              <c:v>WTI - Manage Money Short (%) - Last Value: 35.1%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969"/>
              <c:layout>
                <c:manualLayout>
                  <c:x val="-1.2376790918176398E-16"/>
                  <c:y val="-3.03413360487457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8A7-463B-8A53-ABB7D417A3F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Sheet1!$B$9:$B$978</c:f>
              <c:numCache>
                <c:formatCode>m/d/yyyy</c:formatCode>
                <c:ptCount val="970"/>
                <c:pt idx="0">
                  <c:v>39448</c:v>
                </c:pt>
                <c:pt idx="1">
                  <c:v>39455</c:v>
                </c:pt>
                <c:pt idx="2">
                  <c:v>39462</c:v>
                </c:pt>
                <c:pt idx="3">
                  <c:v>39469</c:v>
                </c:pt>
                <c:pt idx="4">
                  <c:v>39476</c:v>
                </c:pt>
                <c:pt idx="5">
                  <c:v>39483</c:v>
                </c:pt>
                <c:pt idx="6">
                  <c:v>39490</c:v>
                </c:pt>
                <c:pt idx="7">
                  <c:v>39497</c:v>
                </c:pt>
                <c:pt idx="8">
                  <c:v>39504</c:v>
                </c:pt>
                <c:pt idx="9">
                  <c:v>39511</c:v>
                </c:pt>
                <c:pt idx="10">
                  <c:v>39518</c:v>
                </c:pt>
                <c:pt idx="11">
                  <c:v>39525</c:v>
                </c:pt>
                <c:pt idx="12">
                  <c:v>39532</c:v>
                </c:pt>
                <c:pt idx="13">
                  <c:v>39539</c:v>
                </c:pt>
                <c:pt idx="14">
                  <c:v>39546</c:v>
                </c:pt>
                <c:pt idx="15">
                  <c:v>39553</c:v>
                </c:pt>
                <c:pt idx="16">
                  <c:v>39560</c:v>
                </c:pt>
                <c:pt idx="17">
                  <c:v>39567</c:v>
                </c:pt>
                <c:pt idx="18">
                  <c:v>39574</c:v>
                </c:pt>
                <c:pt idx="19">
                  <c:v>39581</c:v>
                </c:pt>
                <c:pt idx="20">
                  <c:v>39588</c:v>
                </c:pt>
                <c:pt idx="21">
                  <c:v>39595</c:v>
                </c:pt>
                <c:pt idx="22">
                  <c:v>39602</c:v>
                </c:pt>
                <c:pt idx="23">
                  <c:v>39609</c:v>
                </c:pt>
                <c:pt idx="24">
                  <c:v>39616</c:v>
                </c:pt>
                <c:pt idx="25">
                  <c:v>39623</c:v>
                </c:pt>
                <c:pt idx="26">
                  <c:v>39630</c:v>
                </c:pt>
                <c:pt idx="27">
                  <c:v>39637</c:v>
                </c:pt>
                <c:pt idx="28">
                  <c:v>39644</c:v>
                </c:pt>
                <c:pt idx="29">
                  <c:v>39651</c:v>
                </c:pt>
                <c:pt idx="30">
                  <c:v>39658</c:v>
                </c:pt>
                <c:pt idx="31">
                  <c:v>39665</c:v>
                </c:pt>
                <c:pt idx="32">
                  <c:v>39672</c:v>
                </c:pt>
                <c:pt idx="33">
                  <c:v>39679</c:v>
                </c:pt>
                <c:pt idx="34">
                  <c:v>39686</c:v>
                </c:pt>
                <c:pt idx="35">
                  <c:v>39693</c:v>
                </c:pt>
                <c:pt idx="36">
                  <c:v>39700</c:v>
                </c:pt>
                <c:pt idx="37">
                  <c:v>39707</c:v>
                </c:pt>
                <c:pt idx="38">
                  <c:v>39714</c:v>
                </c:pt>
                <c:pt idx="39">
                  <c:v>39721</c:v>
                </c:pt>
                <c:pt idx="40">
                  <c:v>39728</c:v>
                </c:pt>
                <c:pt idx="41">
                  <c:v>39735</c:v>
                </c:pt>
                <c:pt idx="42">
                  <c:v>39742</c:v>
                </c:pt>
                <c:pt idx="43">
                  <c:v>39749</c:v>
                </c:pt>
                <c:pt idx="44">
                  <c:v>39756</c:v>
                </c:pt>
                <c:pt idx="45">
                  <c:v>39763</c:v>
                </c:pt>
                <c:pt idx="46">
                  <c:v>39770</c:v>
                </c:pt>
                <c:pt idx="47">
                  <c:v>39777</c:v>
                </c:pt>
                <c:pt idx="48">
                  <c:v>39784</c:v>
                </c:pt>
                <c:pt idx="49">
                  <c:v>39791</c:v>
                </c:pt>
                <c:pt idx="50">
                  <c:v>39798</c:v>
                </c:pt>
                <c:pt idx="51">
                  <c:v>39805</c:v>
                </c:pt>
                <c:pt idx="52">
                  <c:v>39812</c:v>
                </c:pt>
                <c:pt idx="53">
                  <c:v>39819</c:v>
                </c:pt>
                <c:pt idx="54">
                  <c:v>39826</c:v>
                </c:pt>
                <c:pt idx="55">
                  <c:v>39833</c:v>
                </c:pt>
                <c:pt idx="56">
                  <c:v>39840</c:v>
                </c:pt>
                <c:pt idx="57">
                  <c:v>39847</c:v>
                </c:pt>
                <c:pt idx="58">
                  <c:v>39854</c:v>
                </c:pt>
                <c:pt idx="59">
                  <c:v>39861</c:v>
                </c:pt>
                <c:pt idx="60">
                  <c:v>39868</c:v>
                </c:pt>
                <c:pt idx="61">
                  <c:v>39875</c:v>
                </c:pt>
                <c:pt idx="62">
                  <c:v>39882</c:v>
                </c:pt>
                <c:pt idx="63">
                  <c:v>39889</c:v>
                </c:pt>
                <c:pt idx="64">
                  <c:v>39896</c:v>
                </c:pt>
                <c:pt idx="65">
                  <c:v>39903</c:v>
                </c:pt>
                <c:pt idx="66">
                  <c:v>39910</c:v>
                </c:pt>
                <c:pt idx="67">
                  <c:v>39917</c:v>
                </c:pt>
                <c:pt idx="68">
                  <c:v>39924</c:v>
                </c:pt>
                <c:pt idx="69">
                  <c:v>39931</c:v>
                </c:pt>
                <c:pt idx="70">
                  <c:v>39938</c:v>
                </c:pt>
                <c:pt idx="71">
                  <c:v>39945</c:v>
                </c:pt>
                <c:pt idx="72">
                  <c:v>39952</c:v>
                </c:pt>
                <c:pt idx="73">
                  <c:v>39959</c:v>
                </c:pt>
                <c:pt idx="74">
                  <c:v>39966</c:v>
                </c:pt>
                <c:pt idx="75">
                  <c:v>39973</c:v>
                </c:pt>
                <c:pt idx="76">
                  <c:v>39980</c:v>
                </c:pt>
                <c:pt idx="77">
                  <c:v>39987</c:v>
                </c:pt>
                <c:pt idx="78">
                  <c:v>39994</c:v>
                </c:pt>
                <c:pt idx="79">
                  <c:v>40001</c:v>
                </c:pt>
                <c:pt idx="80">
                  <c:v>40008</c:v>
                </c:pt>
                <c:pt idx="81">
                  <c:v>40015</c:v>
                </c:pt>
                <c:pt idx="82">
                  <c:v>40022</c:v>
                </c:pt>
                <c:pt idx="83">
                  <c:v>40029</c:v>
                </c:pt>
                <c:pt idx="84">
                  <c:v>40036</c:v>
                </c:pt>
                <c:pt idx="85">
                  <c:v>40043</c:v>
                </c:pt>
                <c:pt idx="86">
                  <c:v>40050</c:v>
                </c:pt>
                <c:pt idx="87">
                  <c:v>40057</c:v>
                </c:pt>
                <c:pt idx="88">
                  <c:v>40064</c:v>
                </c:pt>
                <c:pt idx="89">
                  <c:v>40071</c:v>
                </c:pt>
                <c:pt idx="90">
                  <c:v>40078</c:v>
                </c:pt>
                <c:pt idx="91">
                  <c:v>40085</c:v>
                </c:pt>
                <c:pt idx="92">
                  <c:v>40092</c:v>
                </c:pt>
                <c:pt idx="93">
                  <c:v>40099</c:v>
                </c:pt>
                <c:pt idx="94">
                  <c:v>40106</c:v>
                </c:pt>
                <c:pt idx="95">
                  <c:v>40113</c:v>
                </c:pt>
                <c:pt idx="96">
                  <c:v>40120</c:v>
                </c:pt>
                <c:pt idx="97">
                  <c:v>40127</c:v>
                </c:pt>
                <c:pt idx="98">
                  <c:v>40134</c:v>
                </c:pt>
                <c:pt idx="99">
                  <c:v>40141</c:v>
                </c:pt>
                <c:pt idx="100">
                  <c:v>40148</c:v>
                </c:pt>
                <c:pt idx="101">
                  <c:v>40155</c:v>
                </c:pt>
                <c:pt idx="102">
                  <c:v>40162</c:v>
                </c:pt>
                <c:pt idx="103">
                  <c:v>40169</c:v>
                </c:pt>
                <c:pt idx="104">
                  <c:v>40176</c:v>
                </c:pt>
                <c:pt idx="105">
                  <c:v>40183</c:v>
                </c:pt>
                <c:pt idx="106">
                  <c:v>40190</c:v>
                </c:pt>
                <c:pt idx="107">
                  <c:v>40197</c:v>
                </c:pt>
                <c:pt idx="108">
                  <c:v>40204</c:v>
                </c:pt>
                <c:pt idx="109">
                  <c:v>40211</c:v>
                </c:pt>
                <c:pt idx="110">
                  <c:v>40218</c:v>
                </c:pt>
                <c:pt idx="111">
                  <c:v>40225</c:v>
                </c:pt>
                <c:pt idx="112">
                  <c:v>40232</c:v>
                </c:pt>
                <c:pt idx="113">
                  <c:v>40239</c:v>
                </c:pt>
                <c:pt idx="114">
                  <c:v>40246</c:v>
                </c:pt>
                <c:pt idx="115">
                  <c:v>40253</c:v>
                </c:pt>
                <c:pt idx="116">
                  <c:v>40260</c:v>
                </c:pt>
                <c:pt idx="117">
                  <c:v>40267</c:v>
                </c:pt>
                <c:pt idx="118">
                  <c:v>40274</c:v>
                </c:pt>
                <c:pt idx="119">
                  <c:v>40281</c:v>
                </c:pt>
                <c:pt idx="120">
                  <c:v>40288</c:v>
                </c:pt>
                <c:pt idx="121">
                  <c:v>40295</c:v>
                </c:pt>
                <c:pt idx="122">
                  <c:v>40302</c:v>
                </c:pt>
                <c:pt idx="123">
                  <c:v>40309</c:v>
                </c:pt>
                <c:pt idx="124">
                  <c:v>40316</c:v>
                </c:pt>
                <c:pt idx="125">
                  <c:v>40323</c:v>
                </c:pt>
                <c:pt idx="126">
                  <c:v>40330</c:v>
                </c:pt>
                <c:pt idx="127">
                  <c:v>40337</c:v>
                </c:pt>
                <c:pt idx="128">
                  <c:v>40344</c:v>
                </c:pt>
                <c:pt idx="129">
                  <c:v>40351</c:v>
                </c:pt>
                <c:pt idx="130">
                  <c:v>40358</c:v>
                </c:pt>
                <c:pt idx="131">
                  <c:v>40365</c:v>
                </c:pt>
                <c:pt idx="132">
                  <c:v>40372</c:v>
                </c:pt>
                <c:pt idx="133">
                  <c:v>40379</c:v>
                </c:pt>
                <c:pt idx="134">
                  <c:v>40386</c:v>
                </c:pt>
                <c:pt idx="135">
                  <c:v>40393</c:v>
                </c:pt>
                <c:pt idx="136">
                  <c:v>40400</c:v>
                </c:pt>
                <c:pt idx="137">
                  <c:v>40407</c:v>
                </c:pt>
                <c:pt idx="138">
                  <c:v>40414</c:v>
                </c:pt>
                <c:pt idx="139">
                  <c:v>40421</c:v>
                </c:pt>
                <c:pt idx="140">
                  <c:v>40428</c:v>
                </c:pt>
                <c:pt idx="141">
                  <c:v>40435</c:v>
                </c:pt>
                <c:pt idx="142">
                  <c:v>40442</c:v>
                </c:pt>
                <c:pt idx="143">
                  <c:v>40449</c:v>
                </c:pt>
                <c:pt idx="144">
                  <c:v>40456</c:v>
                </c:pt>
                <c:pt idx="145">
                  <c:v>40463</c:v>
                </c:pt>
                <c:pt idx="146">
                  <c:v>40470</c:v>
                </c:pt>
                <c:pt idx="147">
                  <c:v>40477</c:v>
                </c:pt>
                <c:pt idx="148">
                  <c:v>40484</c:v>
                </c:pt>
                <c:pt idx="149">
                  <c:v>40491</c:v>
                </c:pt>
                <c:pt idx="150">
                  <c:v>40498</c:v>
                </c:pt>
                <c:pt idx="151">
                  <c:v>40505</c:v>
                </c:pt>
                <c:pt idx="152">
                  <c:v>40512</c:v>
                </c:pt>
                <c:pt idx="153">
                  <c:v>40519</c:v>
                </c:pt>
                <c:pt idx="154">
                  <c:v>40526</c:v>
                </c:pt>
                <c:pt idx="155">
                  <c:v>40533</c:v>
                </c:pt>
                <c:pt idx="156">
                  <c:v>40540</c:v>
                </c:pt>
                <c:pt idx="157">
                  <c:v>40547</c:v>
                </c:pt>
                <c:pt idx="158">
                  <c:v>40554</c:v>
                </c:pt>
                <c:pt idx="159">
                  <c:v>40561</c:v>
                </c:pt>
                <c:pt idx="160">
                  <c:v>40568</c:v>
                </c:pt>
                <c:pt idx="161">
                  <c:v>40575</c:v>
                </c:pt>
                <c:pt idx="162">
                  <c:v>40582</c:v>
                </c:pt>
                <c:pt idx="163">
                  <c:v>40589</c:v>
                </c:pt>
                <c:pt idx="164">
                  <c:v>40596</c:v>
                </c:pt>
                <c:pt idx="165">
                  <c:v>40603</c:v>
                </c:pt>
                <c:pt idx="166">
                  <c:v>40610</c:v>
                </c:pt>
                <c:pt idx="167">
                  <c:v>40617</c:v>
                </c:pt>
                <c:pt idx="168">
                  <c:v>40624</c:v>
                </c:pt>
                <c:pt idx="169">
                  <c:v>40631</c:v>
                </c:pt>
                <c:pt idx="170">
                  <c:v>40638</c:v>
                </c:pt>
                <c:pt idx="171">
                  <c:v>40645</c:v>
                </c:pt>
                <c:pt idx="172">
                  <c:v>40652</c:v>
                </c:pt>
                <c:pt idx="173">
                  <c:v>40659</c:v>
                </c:pt>
                <c:pt idx="174">
                  <c:v>40666</c:v>
                </c:pt>
                <c:pt idx="175">
                  <c:v>40673</c:v>
                </c:pt>
                <c:pt idx="176">
                  <c:v>40680</c:v>
                </c:pt>
                <c:pt idx="177">
                  <c:v>40687</c:v>
                </c:pt>
                <c:pt idx="178">
                  <c:v>40694</c:v>
                </c:pt>
                <c:pt idx="179">
                  <c:v>40701</c:v>
                </c:pt>
                <c:pt idx="180">
                  <c:v>40708</c:v>
                </c:pt>
                <c:pt idx="181">
                  <c:v>40715</c:v>
                </c:pt>
                <c:pt idx="182">
                  <c:v>40722</c:v>
                </c:pt>
                <c:pt idx="183">
                  <c:v>40729</c:v>
                </c:pt>
                <c:pt idx="184">
                  <c:v>40736</c:v>
                </c:pt>
                <c:pt idx="185">
                  <c:v>40743</c:v>
                </c:pt>
                <c:pt idx="186">
                  <c:v>40750</c:v>
                </c:pt>
                <c:pt idx="187">
                  <c:v>40757</c:v>
                </c:pt>
                <c:pt idx="188">
                  <c:v>40764</c:v>
                </c:pt>
                <c:pt idx="189">
                  <c:v>40771</c:v>
                </c:pt>
                <c:pt idx="190">
                  <c:v>40778</c:v>
                </c:pt>
                <c:pt idx="191">
                  <c:v>40785</c:v>
                </c:pt>
                <c:pt idx="192">
                  <c:v>40792</c:v>
                </c:pt>
                <c:pt idx="193">
                  <c:v>40799</c:v>
                </c:pt>
                <c:pt idx="194">
                  <c:v>40806</c:v>
                </c:pt>
                <c:pt idx="195">
                  <c:v>40813</c:v>
                </c:pt>
                <c:pt idx="196">
                  <c:v>40820</c:v>
                </c:pt>
                <c:pt idx="197">
                  <c:v>40827</c:v>
                </c:pt>
                <c:pt idx="198">
                  <c:v>40834</c:v>
                </c:pt>
                <c:pt idx="199">
                  <c:v>40841</c:v>
                </c:pt>
                <c:pt idx="200">
                  <c:v>40848</c:v>
                </c:pt>
                <c:pt idx="201">
                  <c:v>40855</c:v>
                </c:pt>
                <c:pt idx="202">
                  <c:v>40862</c:v>
                </c:pt>
                <c:pt idx="203">
                  <c:v>40869</c:v>
                </c:pt>
                <c:pt idx="204">
                  <c:v>40876</c:v>
                </c:pt>
                <c:pt idx="205">
                  <c:v>40883</c:v>
                </c:pt>
                <c:pt idx="206">
                  <c:v>40890</c:v>
                </c:pt>
                <c:pt idx="207">
                  <c:v>40897</c:v>
                </c:pt>
                <c:pt idx="208">
                  <c:v>40904</c:v>
                </c:pt>
                <c:pt idx="209">
                  <c:v>40911</c:v>
                </c:pt>
                <c:pt idx="210">
                  <c:v>40918</c:v>
                </c:pt>
                <c:pt idx="211">
                  <c:v>40925</c:v>
                </c:pt>
                <c:pt idx="212">
                  <c:v>40932</c:v>
                </c:pt>
                <c:pt idx="213">
                  <c:v>40939</c:v>
                </c:pt>
                <c:pt idx="214">
                  <c:v>40946</c:v>
                </c:pt>
                <c:pt idx="215">
                  <c:v>40953</c:v>
                </c:pt>
                <c:pt idx="216">
                  <c:v>40960</c:v>
                </c:pt>
                <c:pt idx="217">
                  <c:v>40967</c:v>
                </c:pt>
                <c:pt idx="218">
                  <c:v>40974</c:v>
                </c:pt>
                <c:pt idx="219">
                  <c:v>40981</c:v>
                </c:pt>
                <c:pt idx="220">
                  <c:v>40988</c:v>
                </c:pt>
                <c:pt idx="221">
                  <c:v>40995</c:v>
                </c:pt>
                <c:pt idx="222">
                  <c:v>41002</c:v>
                </c:pt>
                <c:pt idx="223">
                  <c:v>41009</c:v>
                </c:pt>
                <c:pt idx="224">
                  <c:v>41016</c:v>
                </c:pt>
                <c:pt idx="225">
                  <c:v>41023</c:v>
                </c:pt>
                <c:pt idx="226">
                  <c:v>41030</c:v>
                </c:pt>
                <c:pt idx="227">
                  <c:v>41037</c:v>
                </c:pt>
                <c:pt idx="228">
                  <c:v>41044</c:v>
                </c:pt>
                <c:pt idx="229">
                  <c:v>41051</c:v>
                </c:pt>
                <c:pt idx="230">
                  <c:v>41058</c:v>
                </c:pt>
                <c:pt idx="231">
                  <c:v>41065</c:v>
                </c:pt>
                <c:pt idx="232">
                  <c:v>41072</c:v>
                </c:pt>
                <c:pt idx="233">
                  <c:v>41079</c:v>
                </c:pt>
                <c:pt idx="234">
                  <c:v>41086</c:v>
                </c:pt>
                <c:pt idx="235">
                  <c:v>41093</c:v>
                </c:pt>
                <c:pt idx="236">
                  <c:v>41100</c:v>
                </c:pt>
                <c:pt idx="237">
                  <c:v>41107</c:v>
                </c:pt>
                <c:pt idx="238">
                  <c:v>41114</c:v>
                </c:pt>
                <c:pt idx="239">
                  <c:v>41121</c:v>
                </c:pt>
                <c:pt idx="240">
                  <c:v>41128</c:v>
                </c:pt>
                <c:pt idx="241">
                  <c:v>41135</c:v>
                </c:pt>
                <c:pt idx="242">
                  <c:v>41142</c:v>
                </c:pt>
                <c:pt idx="243">
                  <c:v>41149</c:v>
                </c:pt>
                <c:pt idx="244">
                  <c:v>41156</c:v>
                </c:pt>
                <c:pt idx="245">
                  <c:v>41163</c:v>
                </c:pt>
                <c:pt idx="246">
                  <c:v>41170</c:v>
                </c:pt>
                <c:pt idx="247">
                  <c:v>41177</c:v>
                </c:pt>
                <c:pt idx="248">
                  <c:v>41184</c:v>
                </c:pt>
                <c:pt idx="249">
                  <c:v>41191</c:v>
                </c:pt>
                <c:pt idx="250">
                  <c:v>41198</c:v>
                </c:pt>
                <c:pt idx="251">
                  <c:v>41205</c:v>
                </c:pt>
                <c:pt idx="252">
                  <c:v>41212</c:v>
                </c:pt>
                <c:pt idx="253">
                  <c:v>41219</c:v>
                </c:pt>
                <c:pt idx="254">
                  <c:v>41226</c:v>
                </c:pt>
                <c:pt idx="255">
                  <c:v>41233</c:v>
                </c:pt>
                <c:pt idx="256">
                  <c:v>41240</c:v>
                </c:pt>
                <c:pt idx="257">
                  <c:v>41247</c:v>
                </c:pt>
                <c:pt idx="258">
                  <c:v>41254</c:v>
                </c:pt>
                <c:pt idx="259">
                  <c:v>41261</c:v>
                </c:pt>
                <c:pt idx="260">
                  <c:v>41268</c:v>
                </c:pt>
                <c:pt idx="261">
                  <c:v>41275</c:v>
                </c:pt>
                <c:pt idx="262">
                  <c:v>41282</c:v>
                </c:pt>
                <c:pt idx="263">
                  <c:v>41289</c:v>
                </c:pt>
                <c:pt idx="264">
                  <c:v>41296</c:v>
                </c:pt>
                <c:pt idx="265">
                  <c:v>41303</c:v>
                </c:pt>
                <c:pt idx="266">
                  <c:v>41310</c:v>
                </c:pt>
                <c:pt idx="267">
                  <c:v>41317</c:v>
                </c:pt>
                <c:pt idx="268">
                  <c:v>41324</c:v>
                </c:pt>
                <c:pt idx="269">
                  <c:v>41331</c:v>
                </c:pt>
                <c:pt idx="270">
                  <c:v>41338</c:v>
                </c:pt>
                <c:pt idx="271">
                  <c:v>41345</c:v>
                </c:pt>
                <c:pt idx="272">
                  <c:v>41352</c:v>
                </c:pt>
                <c:pt idx="273">
                  <c:v>41359</c:v>
                </c:pt>
                <c:pt idx="274">
                  <c:v>41366</c:v>
                </c:pt>
                <c:pt idx="275">
                  <c:v>41373</c:v>
                </c:pt>
                <c:pt idx="276">
                  <c:v>41380</c:v>
                </c:pt>
                <c:pt idx="277">
                  <c:v>41387</c:v>
                </c:pt>
                <c:pt idx="278">
                  <c:v>41394</c:v>
                </c:pt>
                <c:pt idx="279">
                  <c:v>41401</c:v>
                </c:pt>
                <c:pt idx="280">
                  <c:v>41408</c:v>
                </c:pt>
                <c:pt idx="281">
                  <c:v>41415</c:v>
                </c:pt>
                <c:pt idx="282">
                  <c:v>41422</c:v>
                </c:pt>
                <c:pt idx="283">
                  <c:v>41429</c:v>
                </c:pt>
                <c:pt idx="284">
                  <c:v>41436</c:v>
                </c:pt>
                <c:pt idx="285">
                  <c:v>41443</c:v>
                </c:pt>
                <c:pt idx="286">
                  <c:v>41450</c:v>
                </c:pt>
                <c:pt idx="287">
                  <c:v>41457</c:v>
                </c:pt>
                <c:pt idx="288">
                  <c:v>41464</c:v>
                </c:pt>
                <c:pt idx="289">
                  <c:v>41471</c:v>
                </c:pt>
                <c:pt idx="290">
                  <c:v>41478</c:v>
                </c:pt>
                <c:pt idx="291">
                  <c:v>41485</c:v>
                </c:pt>
                <c:pt idx="292">
                  <c:v>41492</c:v>
                </c:pt>
                <c:pt idx="293">
                  <c:v>41499</c:v>
                </c:pt>
                <c:pt idx="294">
                  <c:v>41506</c:v>
                </c:pt>
                <c:pt idx="295">
                  <c:v>41513</c:v>
                </c:pt>
                <c:pt idx="296">
                  <c:v>41520</c:v>
                </c:pt>
                <c:pt idx="297">
                  <c:v>41527</c:v>
                </c:pt>
                <c:pt idx="298">
                  <c:v>41534</c:v>
                </c:pt>
                <c:pt idx="299">
                  <c:v>41541</c:v>
                </c:pt>
                <c:pt idx="300">
                  <c:v>41548</c:v>
                </c:pt>
                <c:pt idx="301">
                  <c:v>41555</c:v>
                </c:pt>
                <c:pt idx="302">
                  <c:v>41562</c:v>
                </c:pt>
                <c:pt idx="303">
                  <c:v>41569</c:v>
                </c:pt>
                <c:pt idx="304">
                  <c:v>41576</c:v>
                </c:pt>
                <c:pt idx="305">
                  <c:v>41583</c:v>
                </c:pt>
                <c:pt idx="306">
                  <c:v>41590</c:v>
                </c:pt>
                <c:pt idx="307">
                  <c:v>41597</c:v>
                </c:pt>
                <c:pt idx="308">
                  <c:v>41604</c:v>
                </c:pt>
                <c:pt idx="309">
                  <c:v>41611</c:v>
                </c:pt>
                <c:pt idx="310">
                  <c:v>41618</c:v>
                </c:pt>
                <c:pt idx="311">
                  <c:v>41625</c:v>
                </c:pt>
                <c:pt idx="312">
                  <c:v>41632</c:v>
                </c:pt>
                <c:pt idx="313">
                  <c:v>41639</c:v>
                </c:pt>
                <c:pt idx="314">
                  <c:v>41646</c:v>
                </c:pt>
                <c:pt idx="315">
                  <c:v>41653</c:v>
                </c:pt>
                <c:pt idx="316">
                  <c:v>41660</c:v>
                </c:pt>
                <c:pt idx="317">
                  <c:v>41667</c:v>
                </c:pt>
                <c:pt idx="318">
                  <c:v>41674</c:v>
                </c:pt>
                <c:pt idx="319">
                  <c:v>41681</c:v>
                </c:pt>
                <c:pt idx="320">
                  <c:v>41688</c:v>
                </c:pt>
                <c:pt idx="321">
                  <c:v>41695</c:v>
                </c:pt>
                <c:pt idx="322">
                  <c:v>41702</c:v>
                </c:pt>
                <c:pt idx="323">
                  <c:v>41709</c:v>
                </c:pt>
                <c:pt idx="324">
                  <c:v>41716</c:v>
                </c:pt>
                <c:pt idx="325">
                  <c:v>41723</c:v>
                </c:pt>
                <c:pt idx="326">
                  <c:v>41730</c:v>
                </c:pt>
                <c:pt idx="327">
                  <c:v>41737</c:v>
                </c:pt>
                <c:pt idx="328">
                  <c:v>41744</c:v>
                </c:pt>
                <c:pt idx="329">
                  <c:v>41751</c:v>
                </c:pt>
                <c:pt idx="330">
                  <c:v>41758</c:v>
                </c:pt>
                <c:pt idx="331">
                  <c:v>41765</c:v>
                </c:pt>
                <c:pt idx="332">
                  <c:v>41772</c:v>
                </c:pt>
                <c:pt idx="333">
                  <c:v>41779</c:v>
                </c:pt>
                <c:pt idx="334">
                  <c:v>41786</c:v>
                </c:pt>
                <c:pt idx="335">
                  <c:v>41793</c:v>
                </c:pt>
                <c:pt idx="336">
                  <c:v>41800</c:v>
                </c:pt>
                <c:pt idx="337">
                  <c:v>41807</c:v>
                </c:pt>
                <c:pt idx="338">
                  <c:v>41814</c:v>
                </c:pt>
                <c:pt idx="339">
                  <c:v>41821</c:v>
                </c:pt>
                <c:pt idx="340">
                  <c:v>41828</c:v>
                </c:pt>
                <c:pt idx="341">
                  <c:v>41835</c:v>
                </c:pt>
                <c:pt idx="342">
                  <c:v>41842</c:v>
                </c:pt>
                <c:pt idx="343">
                  <c:v>41849</c:v>
                </c:pt>
                <c:pt idx="344">
                  <c:v>41856</c:v>
                </c:pt>
                <c:pt idx="345">
                  <c:v>41863</c:v>
                </c:pt>
                <c:pt idx="346">
                  <c:v>41870</c:v>
                </c:pt>
                <c:pt idx="347">
                  <c:v>41877</c:v>
                </c:pt>
                <c:pt idx="348">
                  <c:v>41884</c:v>
                </c:pt>
                <c:pt idx="349">
                  <c:v>41891</c:v>
                </c:pt>
                <c:pt idx="350">
                  <c:v>41898</c:v>
                </c:pt>
                <c:pt idx="351">
                  <c:v>41905</c:v>
                </c:pt>
                <c:pt idx="352">
                  <c:v>41912</c:v>
                </c:pt>
                <c:pt idx="353">
                  <c:v>41919</c:v>
                </c:pt>
                <c:pt idx="354">
                  <c:v>41926</c:v>
                </c:pt>
                <c:pt idx="355">
                  <c:v>41933</c:v>
                </c:pt>
                <c:pt idx="356">
                  <c:v>41940</c:v>
                </c:pt>
                <c:pt idx="357">
                  <c:v>41947</c:v>
                </c:pt>
                <c:pt idx="358">
                  <c:v>41954</c:v>
                </c:pt>
                <c:pt idx="359">
                  <c:v>41961</c:v>
                </c:pt>
                <c:pt idx="360">
                  <c:v>41968</c:v>
                </c:pt>
                <c:pt idx="361">
                  <c:v>41975</c:v>
                </c:pt>
                <c:pt idx="362">
                  <c:v>41982</c:v>
                </c:pt>
                <c:pt idx="363">
                  <c:v>41989</c:v>
                </c:pt>
                <c:pt idx="364">
                  <c:v>41996</c:v>
                </c:pt>
                <c:pt idx="365">
                  <c:v>42003</c:v>
                </c:pt>
                <c:pt idx="366">
                  <c:v>42010</c:v>
                </c:pt>
                <c:pt idx="367">
                  <c:v>42017</c:v>
                </c:pt>
                <c:pt idx="368">
                  <c:v>42024</c:v>
                </c:pt>
                <c:pt idx="369">
                  <c:v>42031</c:v>
                </c:pt>
                <c:pt idx="370">
                  <c:v>42038</c:v>
                </c:pt>
                <c:pt idx="371">
                  <c:v>42045</c:v>
                </c:pt>
                <c:pt idx="372">
                  <c:v>42052</c:v>
                </c:pt>
                <c:pt idx="373">
                  <c:v>42059</c:v>
                </c:pt>
                <c:pt idx="374">
                  <c:v>42066</c:v>
                </c:pt>
                <c:pt idx="375">
                  <c:v>42073</c:v>
                </c:pt>
                <c:pt idx="376">
                  <c:v>42080</c:v>
                </c:pt>
                <c:pt idx="377">
                  <c:v>42087</c:v>
                </c:pt>
                <c:pt idx="378">
                  <c:v>42094</c:v>
                </c:pt>
                <c:pt idx="379">
                  <c:v>42101</c:v>
                </c:pt>
                <c:pt idx="380">
                  <c:v>42108</c:v>
                </c:pt>
                <c:pt idx="381">
                  <c:v>42115</c:v>
                </c:pt>
                <c:pt idx="382">
                  <c:v>42122</c:v>
                </c:pt>
                <c:pt idx="383">
                  <c:v>42129</c:v>
                </c:pt>
                <c:pt idx="384">
                  <c:v>42136</c:v>
                </c:pt>
                <c:pt idx="385">
                  <c:v>42143</c:v>
                </c:pt>
                <c:pt idx="386">
                  <c:v>42150</c:v>
                </c:pt>
                <c:pt idx="387">
                  <c:v>42157</c:v>
                </c:pt>
                <c:pt idx="388">
                  <c:v>42164</c:v>
                </c:pt>
                <c:pt idx="389">
                  <c:v>42171</c:v>
                </c:pt>
                <c:pt idx="390">
                  <c:v>42178</c:v>
                </c:pt>
                <c:pt idx="391">
                  <c:v>42185</c:v>
                </c:pt>
                <c:pt idx="392">
                  <c:v>42192</c:v>
                </c:pt>
                <c:pt idx="393">
                  <c:v>42199</c:v>
                </c:pt>
                <c:pt idx="394">
                  <c:v>42206</c:v>
                </c:pt>
                <c:pt idx="395">
                  <c:v>42213</c:v>
                </c:pt>
                <c:pt idx="396">
                  <c:v>42220</c:v>
                </c:pt>
                <c:pt idx="397">
                  <c:v>42227</c:v>
                </c:pt>
                <c:pt idx="398">
                  <c:v>42234</c:v>
                </c:pt>
                <c:pt idx="399">
                  <c:v>42241</c:v>
                </c:pt>
                <c:pt idx="400">
                  <c:v>42248</c:v>
                </c:pt>
                <c:pt idx="401">
                  <c:v>42255</c:v>
                </c:pt>
                <c:pt idx="402">
                  <c:v>42262</c:v>
                </c:pt>
                <c:pt idx="403">
                  <c:v>42269</c:v>
                </c:pt>
                <c:pt idx="404">
                  <c:v>42276</c:v>
                </c:pt>
                <c:pt idx="405">
                  <c:v>42283</c:v>
                </c:pt>
                <c:pt idx="406">
                  <c:v>42290</c:v>
                </c:pt>
                <c:pt idx="407">
                  <c:v>42297</c:v>
                </c:pt>
                <c:pt idx="408">
                  <c:v>42304</c:v>
                </c:pt>
                <c:pt idx="409">
                  <c:v>42311</c:v>
                </c:pt>
                <c:pt idx="410">
                  <c:v>42318</c:v>
                </c:pt>
                <c:pt idx="411">
                  <c:v>42325</c:v>
                </c:pt>
                <c:pt idx="412">
                  <c:v>42332</c:v>
                </c:pt>
                <c:pt idx="413">
                  <c:v>42339</c:v>
                </c:pt>
                <c:pt idx="414">
                  <c:v>42346</c:v>
                </c:pt>
                <c:pt idx="415">
                  <c:v>42353</c:v>
                </c:pt>
                <c:pt idx="416">
                  <c:v>42360</c:v>
                </c:pt>
                <c:pt idx="417">
                  <c:v>42367</c:v>
                </c:pt>
                <c:pt idx="418">
                  <c:v>42374</c:v>
                </c:pt>
                <c:pt idx="419">
                  <c:v>42381</c:v>
                </c:pt>
                <c:pt idx="420">
                  <c:v>42388</c:v>
                </c:pt>
                <c:pt idx="421">
                  <c:v>42395</c:v>
                </c:pt>
                <c:pt idx="422">
                  <c:v>42402</c:v>
                </c:pt>
                <c:pt idx="423">
                  <c:v>42409</c:v>
                </c:pt>
                <c:pt idx="424">
                  <c:v>42416</c:v>
                </c:pt>
                <c:pt idx="425">
                  <c:v>42423</c:v>
                </c:pt>
                <c:pt idx="426">
                  <c:v>42430</c:v>
                </c:pt>
                <c:pt idx="427">
                  <c:v>42437</c:v>
                </c:pt>
                <c:pt idx="428">
                  <c:v>42444</c:v>
                </c:pt>
                <c:pt idx="429">
                  <c:v>42451</c:v>
                </c:pt>
                <c:pt idx="430">
                  <c:v>42458</c:v>
                </c:pt>
                <c:pt idx="431">
                  <c:v>42465</c:v>
                </c:pt>
                <c:pt idx="432">
                  <c:v>42472</c:v>
                </c:pt>
                <c:pt idx="433">
                  <c:v>42479</c:v>
                </c:pt>
                <c:pt idx="434">
                  <c:v>42486</c:v>
                </c:pt>
                <c:pt idx="435">
                  <c:v>42493</c:v>
                </c:pt>
                <c:pt idx="436">
                  <c:v>42500</c:v>
                </c:pt>
                <c:pt idx="437">
                  <c:v>42507</c:v>
                </c:pt>
                <c:pt idx="438">
                  <c:v>42514</c:v>
                </c:pt>
                <c:pt idx="439">
                  <c:v>42521</c:v>
                </c:pt>
                <c:pt idx="440">
                  <c:v>42528</c:v>
                </c:pt>
                <c:pt idx="441">
                  <c:v>42535</c:v>
                </c:pt>
                <c:pt idx="442">
                  <c:v>42542</c:v>
                </c:pt>
                <c:pt idx="443">
                  <c:v>42549</c:v>
                </c:pt>
                <c:pt idx="444">
                  <c:v>42556</c:v>
                </c:pt>
                <c:pt idx="445">
                  <c:v>42563</c:v>
                </c:pt>
                <c:pt idx="446">
                  <c:v>42570</c:v>
                </c:pt>
                <c:pt idx="447">
                  <c:v>42577</c:v>
                </c:pt>
                <c:pt idx="448">
                  <c:v>42584</c:v>
                </c:pt>
                <c:pt idx="449">
                  <c:v>42591</c:v>
                </c:pt>
                <c:pt idx="450">
                  <c:v>42598</c:v>
                </c:pt>
                <c:pt idx="451">
                  <c:v>42605</c:v>
                </c:pt>
                <c:pt idx="452">
                  <c:v>42612</c:v>
                </c:pt>
                <c:pt idx="453">
                  <c:v>42619</c:v>
                </c:pt>
                <c:pt idx="454">
                  <c:v>42626</c:v>
                </c:pt>
                <c:pt idx="455">
                  <c:v>42633</c:v>
                </c:pt>
                <c:pt idx="456">
                  <c:v>42640</c:v>
                </c:pt>
                <c:pt idx="457">
                  <c:v>42647</c:v>
                </c:pt>
                <c:pt idx="458">
                  <c:v>42654</c:v>
                </c:pt>
                <c:pt idx="459">
                  <c:v>42661</c:v>
                </c:pt>
                <c:pt idx="460">
                  <c:v>42668</c:v>
                </c:pt>
                <c:pt idx="461">
                  <c:v>42675</c:v>
                </c:pt>
                <c:pt idx="462">
                  <c:v>42682</c:v>
                </c:pt>
                <c:pt idx="463">
                  <c:v>42689</c:v>
                </c:pt>
                <c:pt idx="464">
                  <c:v>42696</c:v>
                </c:pt>
                <c:pt idx="465">
                  <c:v>42703</c:v>
                </c:pt>
                <c:pt idx="466">
                  <c:v>42710</c:v>
                </c:pt>
                <c:pt idx="467">
                  <c:v>42717</c:v>
                </c:pt>
                <c:pt idx="468">
                  <c:v>42724</c:v>
                </c:pt>
                <c:pt idx="469">
                  <c:v>42731</c:v>
                </c:pt>
                <c:pt idx="470">
                  <c:v>42738</c:v>
                </c:pt>
                <c:pt idx="471">
                  <c:v>42745</c:v>
                </c:pt>
                <c:pt idx="472">
                  <c:v>42752</c:v>
                </c:pt>
                <c:pt idx="473">
                  <c:v>42759</c:v>
                </c:pt>
                <c:pt idx="474">
                  <c:v>42766</c:v>
                </c:pt>
                <c:pt idx="475">
                  <c:v>42773</c:v>
                </c:pt>
                <c:pt idx="476">
                  <c:v>42780</c:v>
                </c:pt>
                <c:pt idx="477">
                  <c:v>42787</c:v>
                </c:pt>
                <c:pt idx="478">
                  <c:v>42794</c:v>
                </c:pt>
                <c:pt idx="479">
                  <c:v>42801</c:v>
                </c:pt>
                <c:pt idx="480">
                  <c:v>42808</c:v>
                </c:pt>
                <c:pt idx="481">
                  <c:v>42815</c:v>
                </c:pt>
                <c:pt idx="482">
                  <c:v>42822</c:v>
                </c:pt>
                <c:pt idx="483">
                  <c:v>42829</c:v>
                </c:pt>
                <c:pt idx="484">
                  <c:v>42836</c:v>
                </c:pt>
                <c:pt idx="485">
                  <c:v>42843</c:v>
                </c:pt>
                <c:pt idx="486">
                  <c:v>42850</c:v>
                </c:pt>
                <c:pt idx="487">
                  <c:v>42857</c:v>
                </c:pt>
                <c:pt idx="488">
                  <c:v>42864</c:v>
                </c:pt>
                <c:pt idx="489">
                  <c:v>42871</c:v>
                </c:pt>
                <c:pt idx="490">
                  <c:v>42878</c:v>
                </c:pt>
                <c:pt idx="491">
                  <c:v>42885</c:v>
                </c:pt>
                <c:pt idx="492">
                  <c:v>42892</c:v>
                </c:pt>
                <c:pt idx="493">
                  <c:v>42899</c:v>
                </c:pt>
                <c:pt idx="494">
                  <c:v>42906</c:v>
                </c:pt>
                <c:pt idx="495">
                  <c:v>42913</c:v>
                </c:pt>
                <c:pt idx="496">
                  <c:v>42920</c:v>
                </c:pt>
                <c:pt idx="497">
                  <c:v>42927</c:v>
                </c:pt>
                <c:pt idx="498">
                  <c:v>42934</c:v>
                </c:pt>
                <c:pt idx="499">
                  <c:v>42941</c:v>
                </c:pt>
                <c:pt idx="500">
                  <c:v>42948</c:v>
                </c:pt>
                <c:pt idx="501">
                  <c:v>42955</c:v>
                </c:pt>
                <c:pt idx="502">
                  <c:v>42962</c:v>
                </c:pt>
                <c:pt idx="503">
                  <c:v>42969</c:v>
                </c:pt>
                <c:pt idx="504">
                  <c:v>42976</c:v>
                </c:pt>
                <c:pt idx="505">
                  <c:v>42983</c:v>
                </c:pt>
                <c:pt idx="506">
                  <c:v>42990</c:v>
                </c:pt>
                <c:pt idx="507">
                  <c:v>42997</c:v>
                </c:pt>
                <c:pt idx="508">
                  <c:v>43004</c:v>
                </c:pt>
                <c:pt idx="509">
                  <c:v>43011</c:v>
                </c:pt>
                <c:pt idx="510">
                  <c:v>43018</c:v>
                </c:pt>
                <c:pt idx="511">
                  <c:v>43025</c:v>
                </c:pt>
                <c:pt idx="512">
                  <c:v>43032</c:v>
                </c:pt>
                <c:pt idx="513">
                  <c:v>43039</c:v>
                </c:pt>
                <c:pt idx="514">
                  <c:v>43046</c:v>
                </c:pt>
                <c:pt idx="515">
                  <c:v>43053</c:v>
                </c:pt>
                <c:pt idx="516">
                  <c:v>43060</c:v>
                </c:pt>
                <c:pt idx="517">
                  <c:v>43067</c:v>
                </c:pt>
                <c:pt idx="518">
                  <c:v>43074</c:v>
                </c:pt>
                <c:pt idx="519">
                  <c:v>43081</c:v>
                </c:pt>
                <c:pt idx="520">
                  <c:v>43088</c:v>
                </c:pt>
                <c:pt idx="521">
                  <c:v>43095</c:v>
                </c:pt>
                <c:pt idx="522">
                  <c:v>43102</c:v>
                </c:pt>
                <c:pt idx="523">
                  <c:v>43109</c:v>
                </c:pt>
                <c:pt idx="524">
                  <c:v>43116</c:v>
                </c:pt>
                <c:pt idx="525">
                  <c:v>43123</c:v>
                </c:pt>
                <c:pt idx="526">
                  <c:v>43130</c:v>
                </c:pt>
                <c:pt idx="527">
                  <c:v>43137</c:v>
                </c:pt>
                <c:pt idx="528">
                  <c:v>43144</c:v>
                </c:pt>
                <c:pt idx="529">
                  <c:v>43151</c:v>
                </c:pt>
                <c:pt idx="530">
                  <c:v>43158</c:v>
                </c:pt>
                <c:pt idx="531">
                  <c:v>43165</c:v>
                </c:pt>
                <c:pt idx="532">
                  <c:v>43172</c:v>
                </c:pt>
                <c:pt idx="533">
                  <c:v>43179</c:v>
                </c:pt>
                <c:pt idx="534">
                  <c:v>43186</c:v>
                </c:pt>
                <c:pt idx="535">
                  <c:v>43193</c:v>
                </c:pt>
                <c:pt idx="536">
                  <c:v>43200</c:v>
                </c:pt>
                <c:pt idx="537">
                  <c:v>43207</c:v>
                </c:pt>
                <c:pt idx="538">
                  <c:v>43214</c:v>
                </c:pt>
                <c:pt idx="539">
                  <c:v>43221</c:v>
                </c:pt>
                <c:pt idx="540">
                  <c:v>43228</c:v>
                </c:pt>
                <c:pt idx="541">
                  <c:v>43235</c:v>
                </c:pt>
                <c:pt idx="542">
                  <c:v>43242</c:v>
                </c:pt>
                <c:pt idx="543">
                  <c:v>43249</c:v>
                </c:pt>
                <c:pt idx="544">
                  <c:v>43256</c:v>
                </c:pt>
                <c:pt idx="545">
                  <c:v>43263</c:v>
                </c:pt>
                <c:pt idx="546">
                  <c:v>43270</c:v>
                </c:pt>
                <c:pt idx="547">
                  <c:v>43277</c:v>
                </c:pt>
                <c:pt idx="548">
                  <c:v>43284</c:v>
                </c:pt>
                <c:pt idx="549">
                  <c:v>43291</c:v>
                </c:pt>
                <c:pt idx="550">
                  <c:v>43298</c:v>
                </c:pt>
                <c:pt idx="551">
                  <c:v>43305</c:v>
                </c:pt>
                <c:pt idx="552">
                  <c:v>43312</c:v>
                </c:pt>
                <c:pt idx="553">
                  <c:v>43319</c:v>
                </c:pt>
                <c:pt idx="554">
                  <c:v>43326</c:v>
                </c:pt>
                <c:pt idx="555">
                  <c:v>43333</c:v>
                </c:pt>
                <c:pt idx="556">
                  <c:v>43340</c:v>
                </c:pt>
                <c:pt idx="557">
                  <c:v>43347</c:v>
                </c:pt>
                <c:pt idx="558">
                  <c:v>43354</c:v>
                </c:pt>
                <c:pt idx="559">
                  <c:v>43361</c:v>
                </c:pt>
                <c:pt idx="560">
                  <c:v>43368</c:v>
                </c:pt>
                <c:pt idx="561">
                  <c:v>43375</c:v>
                </c:pt>
                <c:pt idx="562">
                  <c:v>43382</c:v>
                </c:pt>
                <c:pt idx="563">
                  <c:v>43389</c:v>
                </c:pt>
                <c:pt idx="564">
                  <c:v>43396</c:v>
                </c:pt>
                <c:pt idx="565">
                  <c:v>43403</c:v>
                </c:pt>
                <c:pt idx="566">
                  <c:v>43410</c:v>
                </c:pt>
                <c:pt idx="567">
                  <c:v>43417</c:v>
                </c:pt>
                <c:pt idx="568">
                  <c:v>43424</c:v>
                </c:pt>
                <c:pt idx="569">
                  <c:v>43431</c:v>
                </c:pt>
                <c:pt idx="570">
                  <c:v>43438</c:v>
                </c:pt>
                <c:pt idx="571">
                  <c:v>43445</c:v>
                </c:pt>
                <c:pt idx="572">
                  <c:v>43452</c:v>
                </c:pt>
                <c:pt idx="573">
                  <c:v>43459</c:v>
                </c:pt>
                <c:pt idx="574">
                  <c:v>43466</c:v>
                </c:pt>
                <c:pt idx="575">
                  <c:v>43473</c:v>
                </c:pt>
                <c:pt idx="576">
                  <c:v>43480</c:v>
                </c:pt>
                <c:pt idx="577">
                  <c:v>43487</c:v>
                </c:pt>
                <c:pt idx="578">
                  <c:v>43494</c:v>
                </c:pt>
                <c:pt idx="579">
                  <c:v>43501</c:v>
                </c:pt>
                <c:pt idx="580">
                  <c:v>43508</c:v>
                </c:pt>
                <c:pt idx="581">
                  <c:v>43515</c:v>
                </c:pt>
                <c:pt idx="582">
                  <c:v>43522</c:v>
                </c:pt>
                <c:pt idx="583">
                  <c:v>43529</c:v>
                </c:pt>
                <c:pt idx="584">
                  <c:v>43536</c:v>
                </c:pt>
                <c:pt idx="585">
                  <c:v>43543</c:v>
                </c:pt>
                <c:pt idx="586">
                  <c:v>43550</c:v>
                </c:pt>
                <c:pt idx="587">
                  <c:v>43557</c:v>
                </c:pt>
                <c:pt idx="588">
                  <c:v>43564</c:v>
                </c:pt>
                <c:pt idx="589">
                  <c:v>43571</c:v>
                </c:pt>
                <c:pt idx="590">
                  <c:v>43578</c:v>
                </c:pt>
                <c:pt idx="591">
                  <c:v>43585</c:v>
                </c:pt>
                <c:pt idx="592">
                  <c:v>43592</c:v>
                </c:pt>
                <c:pt idx="593">
                  <c:v>43599</c:v>
                </c:pt>
                <c:pt idx="594">
                  <c:v>43606</c:v>
                </c:pt>
                <c:pt idx="595">
                  <c:v>43613</c:v>
                </c:pt>
                <c:pt idx="596">
                  <c:v>43620</c:v>
                </c:pt>
                <c:pt idx="597">
                  <c:v>43627</c:v>
                </c:pt>
                <c:pt idx="598">
                  <c:v>43634</c:v>
                </c:pt>
                <c:pt idx="599">
                  <c:v>43641</c:v>
                </c:pt>
                <c:pt idx="600">
                  <c:v>43648</c:v>
                </c:pt>
                <c:pt idx="601">
                  <c:v>43655</c:v>
                </c:pt>
                <c:pt idx="602">
                  <c:v>43662</c:v>
                </c:pt>
                <c:pt idx="603">
                  <c:v>43669</c:v>
                </c:pt>
                <c:pt idx="604">
                  <c:v>43676</c:v>
                </c:pt>
                <c:pt idx="605">
                  <c:v>43683</c:v>
                </c:pt>
                <c:pt idx="606">
                  <c:v>43690</c:v>
                </c:pt>
                <c:pt idx="607">
                  <c:v>43697</c:v>
                </c:pt>
                <c:pt idx="608">
                  <c:v>43704</c:v>
                </c:pt>
                <c:pt idx="609">
                  <c:v>43711</c:v>
                </c:pt>
                <c:pt idx="610">
                  <c:v>43718</c:v>
                </c:pt>
                <c:pt idx="611">
                  <c:v>43725</c:v>
                </c:pt>
                <c:pt idx="612">
                  <c:v>43732</c:v>
                </c:pt>
                <c:pt idx="613">
                  <c:v>43739</c:v>
                </c:pt>
                <c:pt idx="614">
                  <c:v>43746</c:v>
                </c:pt>
                <c:pt idx="615">
                  <c:v>43753</c:v>
                </c:pt>
                <c:pt idx="616">
                  <c:v>43760</c:v>
                </c:pt>
                <c:pt idx="617">
                  <c:v>43767</c:v>
                </c:pt>
                <c:pt idx="618">
                  <c:v>43774</c:v>
                </c:pt>
                <c:pt idx="619">
                  <c:v>43781</c:v>
                </c:pt>
                <c:pt idx="620">
                  <c:v>43788</c:v>
                </c:pt>
                <c:pt idx="621">
                  <c:v>43795</c:v>
                </c:pt>
                <c:pt idx="622">
                  <c:v>43802</c:v>
                </c:pt>
                <c:pt idx="623">
                  <c:v>43809</c:v>
                </c:pt>
                <c:pt idx="624">
                  <c:v>43816</c:v>
                </c:pt>
                <c:pt idx="625">
                  <c:v>43823</c:v>
                </c:pt>
                <c:pt idx="626">
                  <c:v>43830</c:v>
                </c:pt>
                <c:pt idx="627">
                  <c:v>43837</c:v>
                </c:pt>
                <c:pt idx="628">
                  <c:v>43844</c:v>
                </c:pt>
                <c:pt idx="629">
                  <c:v>43851</c:v>
                </c:pt>
                <c:pt idx="630">
                  <c:v>43858</c:v>
                </c:pt>
                <c:pt idx="631">
                  <c:v>43865</c:v>
                </c:pt>
                <c:pt idx="632">
                  <c:v>43872</c:v>
                </c:pt>
                <c:pt idx="633">
                  <c:v>43879</c:v>
                </c:pt>
                <c:pt idx="634">
                  <c:v>43886</c:v>
                </c:pt>
                <c:pt idx="635">
                  <c:v>43893</c:v>
                </c:pt>
                <c:pt idx="636">
                  <c:v>43900</c:v>
                </c:pt>
                <c:pt idx="637">
                  <c:v>43907</c:v>
                </c:pt>
                <c:pt idx="638">
                  <c:v>43914</c:v>
                </c:pt>
                <c:pt idx="639">
                  <c:v>43921</c:v>
                </c:pt>
                <c:pt idx="640">
                  <c:v>43928</c:v>
                </c:pt>
                <c:pt idx="641">
                  <c:v>43935</c:v>
                </c:pt>
                <c:pt idx="642">
                  <c:v>43942</c:v>
                </c:pt>
                <c:pt idx="643">
                  <c:v>43949</c:v>
                </c:pt>
                <c:pt idx="644">
                  <c:v>43956</c:v>
                </c:pt>
                <c:pt idx="645">
                  <c:v>43963</c:v>
                </c:pt>
                <c:pt idx="646">
                  <c:v>43970</c:v>
                </c:pt>
                <c:pt idx="647">
                  <c:v>43977</c:v>
                </c:pt>
                <c:pt idx="648">
                  <c:v>43984</c:v>
                </c:pt>
                <c:pt idx="649">
                  <c:v>43991</c:v>
                </c:pt>
                <c:pt idx="650">
                  <c:v>43998</c:v>
                </c:pt>
                <c:pt idx="651">
                  <c:v>44005</c:v>
                </c:pt>
                <c:pt idx="652">
                  <c:v>44012</c:v>
                </c:pt>
                <c:pt idx="653">
                  <c:v>44019</c:v>
                </c:pt>
                <c:pt idx="654">
                  <c:v>44026</c:v>
                </c:pt>
                <c:pt idx="655">
                  <c:v>44033</c:v>
                </c:pt>
                <c:pt idx="656">
                  <c:v>44040</c:v>
                </c:pt>
                <c:pt idx="657">
                  <c:v>44047</c:v>
                </c:pt>
                <c:pt idx="658">
                  <c:v>44054</c:v>
                </c:pt>
                <c:pt idx="659">
                  <c:v>44061</c:v>
                </c:pt>
                <c:pt idx="660">
                  <c:v>44068</c:v>
                </c:pt>
                <c:pt idx="661">
                  <c:v>44075</c:v>
                </c:pt>
                <c:pt idx="662">
                  <c:v>44082</c:v>
                </c:pt>
                <c:pt idx="663">
                  <c:v>44089</c:v>
                </c:pt>
                <c:pt idx="664">
                  <c:v>44096</c:v>
                </c:pt>
                <c:pt idx="665">
                  <c:v>44103</c:v>
                </c:pt>
                <c:pt idx="666">
                  <c:v>44110</c:v>
                </c:pt>
                <c:pt idx="667">
                  <c:v>44117</c:v>
                </c:pt>
                <c:pt idx="668">
                  <c:v>44124</c:v>
                </c:pt>
                <c:pt idx="669">
                  <c:v>44131</c:v>
                </c:pt>
                <c:pt idx="670">
                  <c:v>44138</c:v>
                </c:pt>
                <c:pt idx="671">
                  <c:v>44145</c:v>
                </c:pt>
                <c:pt idx="672">
                  <c:v>44152</c:v>
                </c:pt>
                <c:pt idx="673">
                  <c:v>44159</c:v>
                </c:pt>
                <c:pt idx="674">
                  <c:v>44166</c:v>
                </c:pt>
                <c:pt idx="675">
                  <c:v>44173</c:v>
                </c:pt>
                <c:pt idx="676">
                  <c:v>44180</c:v>
                </c:pt>
                <c:pt idx="677">
                  <c:v>44187</c:v>
                </c:pt>
                <c:pt idx="678">
                  <c:v>44194</c:v>
                </c:pt>
                <c:pt idx="679">
                  <c:v>44201</c:v>
                </c:pt>
                <c:pt idx="680">
                  <c:v>44208</c:v>
                </c:pt>
                <c:pt idx="681">
                  <c:v>44215</c:v>
                </c:pt>
                <c:pt idx="682">
                  <c:v>44222</c:v>
                </c:pt>
                <c:pt idx="683">
                  <c:v>44229</c:v>
                </c:pt>
                <c:pt idx="684">
                  <c:v>44236</c:v>
                </c:pt>
                <c:pt idx="685">
                  <c:v>44243</c:v>
                </c:pt>
                <c:pt idx="686">
                  <c:v>44250</c:v>
                </c:pt>
                <c:pt idx="687">
                  <c:v>44257</c:v>
                </c:pt>
                <c:pt idx="688">
                  <c:v>44264</c:v>
                </c:pt>
                <c:pt idx="689">
                  <c:v>44271</c:v>
                </c:pt>
                <c:pt idx="690">
                  <c:v>44278</c:v>
                </c:pt>
                <c:pt idx="691">
                  <c:v>44285</c:v>
                </c:pt>
                <c:pt idx="692">
                  <c:v>44292</c:v>
                </c:pt>
                <c:pt idx="693">
                  <c:v>44299</c:v>
                </c:pt>
                <c:pt idx="694">
                  <c:v>44306</c:v>
                </c:pt>
                <c:pt idx="695">
                  <c:v>44313</c:v>
                </c:pt>
                <c:pt idx="696">
                  <c:v>44320</c:v>
                </c:pt>
                <c:pt idx="697">
                  <c:v>44327</c:v>
                </c:pt>
                <c:pt idx="698">
                  <c:v>44334</c:v>
                </c:pt>
                <c:pt idx="699">
                  <c:v>44341</c:v>
                </c:pt>
                <c:pt idx="700">
                  <c:v>44348</c:v>
                </c:pt>
                <c:pt idx="701">
                  <c:v>44355</c:v>
                </c:pt>
                <c:pt idx="702">
                  <c:v>44362</c:v>
                </c:pt>
                <c:pt idx="703">
                  <c:v>44369</c:v>
                </c:pt>
                <c:pt idx="704">
                  <c:v>44376</c:v>
                </c:pt>
                <c:pt idx="705">
                  <c:v>44383</c:v>
                </c:pt>
                <c:pt idx="706">
                  <c:v>44390</c:v>
                </c:pt>
                <c:pt idx="707">
                  <c:v>44397</c:v>
                </c:pt>
                <c:pt idx="708">
                  <c:v>44404</c:v>
                </c:pt>
                <c:pt idx="709">
                  <c:v>44411</c:v>
                </c:pt>
                <c:pt idx="710">
                  <c:v>44418</c:v>
                </c:pt>
                <c:pt idx="711">
                  <c:v>44425</c:v>
                </c:pt>
                <c:pt idx="712">
                  <c:v>44432</c:v>
                </c:pt>
                <c:pt idx="713">
                  <c:v>44439</c:v>
                </c:pt>
                <c:pt idx="714">
                  <c:v>44446</c:v>
                </c:pt>
                <c:pt idx="715">
                  <c:v>44453</c:v>
                </c:pt>
                <c:pt idx="716">
                  <c:v>44460</c:v>
                </c:pt>
                <c:pt idx="717">
                  <c:v>44467</c:v>
                </c:pt>
                <c:pt idx="718">
                  <c:v>44474</c:v>
                </c:pt>
                <c:pt idx="719">
                  <c:v>44481</c:v>
                </c:pt>
                <c:pt idx="720">
                  <c:v>44488</c:v>
                </c:pt>
                <c:pt idx="721">
                  <c:v>44495</c:v>
                </c:pt>
                <c:pt idx="722">
                  <c:v>44502</c:v>
                </c:pt>
                <c:pt idx="723">
                  <c:v>44509</c:v>
                </c:pt>
                <c:pt idx="724">
                  <c:v>44516</c:v>
                </c:pt>
                <c:pt idx="725">
                  <c:v>44523</c:v>
                </c:pt>
                <c:pt idx="726">
                  <c:v>44530</c:v>
                </c:pt>
                <c:pt idx="727">
                  <c:v>44537</c:v>
                </c:pt>
                <c:pt idx="728">
                  <c:v>44544</c:v>
                </c:pt>
                <c:pt idx="729">
                  <c:v>44551</c:v>
                </c:pt>
                <c:pt idx="730">
                  <c:v>44558</c:v>
                </c:pt>
                <c:pt idx="731">
                  <c:v>44565</c:v>
                </c:pt>
                <c:pt idx="732">
                  <c:v>44572</c:v>
                </c:pt>
                <c:pt idx="733">
                  <c:v>44579</c:v>
                </c:pt>
                <c:pt idx="734">
                  <c:v>44586</c:v>
                </c:pt>
                <c:pt idx="735">
                  <c:v>44593</c:v>
                </c:pt>
                <c:pt idx="736">
                  <c:v>44600</c:v>
                </c:pt>
                <c:pt idx="737">
                  <c:v>44607</c:v>
                </c:pt>
                <c:pt idx="738">
                  <c:v>44614</c:v>
                </c:pt>
                <c:pt idx="739">
                  <c:v>44621</c:v>
                </c:pt>
                <c:pt idx="740">
                  <c:v>44628</c:v>
                </c:pt>
                <c:pt idx="741">
                  <c:v>44635</c:v>
                </c:pt>
                <c:pt idx="742">
                  <c:v>44642</c:v>
                </c:pt>
                <c:pt idx="743">
                  <c:v>44649</c:v>
                </c:pt>
                <c:pt idx="744">
                  <c:v>44656</c:v>
                </c:pt>
                <c:pt idx="745">
                  <c:v>44663</c:v>
                </c:pt>
                <c:pt idx="746">
                  <c:v>44670</c:v>
                </c:pt>
                <c:pt idx="747">
                  <c:v>44677</c:v>
                </c:pt>
                <c:pt idx="748">
                  <c:v>44684</c:v>
                </c:pt>
                <c:pt idx="749">
                  <c:v>44691</c:v>
                </c:pt>
                <c:pt idx="750">
                  <c:v>44698</c:v>
                </c:pt>
                <c:pt idx="751">
                  <c:v>44705</c:v>
                </c:pt>
                <c:pt idx="752">
                  <c:v>44712</c:v>
                </c:pt>
                <c:pt idx="753">
                  <c:v>44719</c:v>
                </c:pt>
                <c:pt idx="754">
                  <c:v>44726</c:v>
                </c:pt>
                <c:pt idx="755">
                  <c:v>44733</c:v>
                </c:pt>
                <c:pt idx="756">
                  <c:v>44740</c:v>
                </c:pt>
                <c:pt idx="757">
                  <c:v>44747</c:v>
                </c:pt>
                <c:pt idx="758">
                  <c:v>44754</c:v>
                </c:pt>
                <c:pt idx="759">
                  <c:v>44761</c:v>
                </c:pt>
                <c:pt idx="760">
                  <c:v>44768</c:v>
                </c:pt>
                <c:pt idx="761">
                  <c:v>44775</c:v>
                </c:pt>
                <c:pt idx="762">
                  <c:v>44782</c:v>
                </c:pt>
                <c:pt idx="763">
                  <c:v>44789</c:v>
                </c:pt>
                <c:pt idx="764">
                  <c:v>44796</c:v>
                </c:pt>
                <c:pt idx="765">
                  <c:v>44803</c:v>
                </c:pt>
                <c:pt idx="766">
                  <c:v>44810</c:v>
                </c:pt>
                <c:pt idx="767">
                  <c:v>44817</c:v>
                </c:pt>
                <c:pt idx="768">
                  <c:v>44824</c:v>
                </c:pt>
                <c:pt idx="769">
                  <c:v>44831</c:v>
                </c:pt>
                <c:pt idx="770">
                  <c:v>44838</c:v>
                </c:pt>
                <c:pt idx="771">
                  <c:v>44845</c:v>
                </c:pt>
                <c:pt idx="772">
                  <c:v>44852</c:v>
                </c:pt>
                <c:pt idx="773">
                  <c:v>44859</c:v>
                </c:pt>
                <c:pt idx="774">
                  <c:v>44866</c:v>
                </c:pt>
                <c:pt idx="775">
                  <c:v>44873</c:v>
                </c:pt>
                <c:pt idx="776">
                  <c:v>44880</c:v>
                </c:pt>
                <c:pt idx="777">
                  <c:v>44887</c:v>
                </c:pt>
                <c:pt idx="778">
                  <c:v>44894</c:v>
                </c:pt>
                <c:pt idx="779">
                  <c:v>44901</c:v>
                </c:pt>
                <c:pt idx="780">
                  <c:v>44908</c:v>
                </c:pt>
                <c:pt idx="781">
                  <c:v>44915</c:v>
                </c:pt>
                <c:pt idx="782">
                  <c:v>44922</c:v>
                </c:pt>
                <c:pt idx="783">
                  <c:v>44929</c:v>
                </c:pt>
                <c:pt idx="784">
                  <c:v>44936</c:v>
                </c:pt>
                <c:pt idx="785">
                  <c:v>44943</c:v>
                </c:pt>
                <c:pt idx="786">
                  <c:v>44950</c:v>
                </c:pt>
                <c:pt idx="787">
                  <c:v>44957</c:v>
                </c:pt>
                <c:pt idx="788">
                  <c:v>44964</c:v>
                </c:pt>
                <c:pt idx="789">
                  <c:v>44971</c:v>
                </c:pt>
                <c:pt idx="790">
                  <c:v>44978</c:v>
                </c:pt>
                <c:pt idx="791">
                  <c:v>44985</c:v>
                </c:pt>
                <c:pt idx="792">
                  <c:v>44992</c:v>
                </c:pt>
                <c:pt idx="793">
                  <c:v>44999</c:v>
                </c:pt>
                <c:pt idx="794">
                  <c:v>45006</c:v>
                </c:pt>
                <c:pt idx="795">
                  <c:v>45013</c:v>
                </c:pt>
                <c:pt idx="796">
                  <c:v>45020</c:v>
                </c:pt>
                <c:pt idx="797">
                  <c:v>45027</c:v>
                </c:pt>
                <c:pt idx="798">
                  <c:v>45034</c:v>
                </c:pt>
                <c:pt idx="799">
                  <c:v>45041</c:v>
                </c:pt>
                <c:pt idx="800">
                  <c:v>45048</c:v>
                </c:pt>
                <c:pt idx="801">
                  <c:v>45055</c:v>
                </c:pt>
                <c:pt idx="802">
                  <c:v>45062</c:v>
                </c:pt>
                <c:pt idx="803">
                  <c:v>45069</c:v>
                </c:pt>
                <c:pt idx="804">
                  <c:v>45076</c:v>
                </c:pt>
                <c:pt idx="805">
                  <c:v>45083</c:v>
                </c:pt>
                <c:pt idx="806">
                  <c:v>45090</c:v>
                </c:pt>
                <c:pt idx="807">
                  <c:v>45097</c:v>
                </c:pt>
                <c:pt idx="808">
                  <c:v>45104</c:v>
                </c:pt>
                <c:pt idx="809">
                  <c:v>45111</c:v>
                </c:pt>
                <c:pt idx="810">
                  <c:v>45118</c:v>
                </c:pt>
                <c:pt idx="811">
                  <c:v>45125</c:v>
                </c:pt>
                <c:pt idx="812">
                  <c:v>45132</c:v>
                </c:pt>
                <c:pt idx="813">
                  <c:v>45139</c:v>
                </c:pt>
                <c:pt idx="814">
                  <c:v>45146</c:v>
                </c:pt>
                <c:pt idx="815">
                  <c:v>45153</c:v>
                </c:pt>
                <c:pt idx="816">
                  <c:v>45160</c:v>
                </c:pt>
                <c:pt idx="817">
                  <c:v>45167</c:v>
                </c:pt>
                <c:pt idx="818">
                  <c:v>45174</c:v>
                </c:pt>
                <c:pt idx="819">
                  <c:v>45181</c:v>
                </c:pt>
                <c:pt idx="820">
                  <c:v>45188</c:v>
                </c:pt>
                <c:pt idx="821">
                  <c:v>45195</c:v>
                </c:pt>
                <c:pt idx="822">
                  <c:v>45202</c:v>
                </c:pt>
                <c:pt idx="823">
                  <c:v>45209</c:v>
                </c:pt>
                <c:pt idx="824">
                  <c:v>45216</c:v>
                </c:pt>
                <c:pt idx="825">
                  <c:v>45223</c:v>
                </c:pt>
                <c:pt idx="826">
                  <c:v>45230</c:v>
                </c:pt>
                <c:pt idx="827">
                  <c:v>45237</c:v>
                </c:pt>
                <c:pt idx="828">
                  <c:v>45244</c:v>
                </c:pt>
                <c:pt idx="829">
                  <c:v>45251</c:v>
                </c:pt>
                <c:pt idx="830">
                  <c:v>45258</c:v>
                </c:pt>
                <c:pt idx="831">
                  <c:v>45265</c:v>
                </c:pt>
                <c:pt idx="832">
                  <c:v>45272</c:v>
                </c:pt>
                <c:pt idx="833">
                  <c:v>45279</c:v>
                </c:pt>
                <c:pt idx="834">
                  <c:v>45286</c:v>
                </c:pt>
                <c:pt idx="835">
                  <c:v>45293</c:v>
                </c:pt>
                <c:pt idx="836">
                  <c:v>45300</c:v>
                </c:pt>
                <c:pt idx="837">
                  <c:v>45307</c:v>
                </c:pt>
                <c:pt idx="838">
                  <c:v>45314</c:v>
                </c:pt>
                <c:pt idx="839">
                  <c:v>45321</c:v>
                </c:pt>
                <c:pt idx="840">
                  <c:v>45328</c:v>
                </c:pt>
                <c:pt idx="841">
                  <c:v>45335</c:v>
                </c:pt>
                <c:pt idx="842">
                  <c:v>45342</c:v>
                </c:pt>
                <c:pt idx="843">
                  <c:v>45349</c:v>
                </c:pt>
                <c:pt idx="844">
                  <c:v>45356</c:v>
                </c:pt>
                <c:pt idx="845">
                  <c:v>45363</c:v>
                </c:pt>
                <c:pt idx="846">
                  <c:v>45370</c:v>
                </c:pt>
                <c:pt idx="847">
                  <c:v>45377</c:v>
                </c:pt>
                <c:pt idx="848">
                  <c:v>45384</c:v>
                </c:pt>
                <c:pt idx="849">
                  <c:v>45391</c:v>
                </c:pt>
                <c:pt idx="850">
                  <c:v>45398</c:v>
                </c:pt>
                <c:pt idx="851">
                  <c:v>45405</c:v>
                </c:pt>
                <c:pt idx="852">
                  <c:v>45412</c:v>
                </c:pt>
                <c:pt idx="853">
                  <c:v>45419</c:v>
                </c:pt>
                <c:pt idx="854">
                  <c:v>45426</c:v>
                </c:pt>
                <c:pt idx="855">
                  <c:v>45433</c:v>
                </c:pt>
                <c:pt idx="856">
                  <c:v>45440</c:v>
                </c:pt>
                <c:pt idx="857">
                  <c:v>45447</c:v>
                </c:pt>
                <c:pt idx="858">
                  <c:v>45454</c:v>
                </c:pt>
                <c:pt idx="859">
                  <c:v>45461</c:v>
                </c:pt>
                <c:pt idx="860">
                  <c:v>45468</c:v>
                </c:pt>
                <c:pt idx="861">
                  <c:v>45475</c:v>
                </c:pt>
                <c:pt idx="862">
                  <c:v>45482</c:v>
                </c:pt>
                <c:pt idx="863">
                  <c:v>45489</c:v>
                </c:pt>
                <c:pt idx="864">
                  <c:v>45496</c:v>
                </c:pt>
                <c:pt idx="865">
                  <c:v>45503</c:v>
                </c:pt>
                <c:pt idx="866">
                  <c:v>45510</c:v>
                </c:pt>
                <c:pt idx="867">
                  <c:v>45517</c:v>
                </c:pt>
                <c:pt idx="868">
                  <c:v>45524</c:v>
                </c:pt>
                <c:pt idx="869">
                  <c:v>45531</c:v>
                </c:pt>
                <c:pt idx="870">
                  <c:v>45538</c:v>
                </c:pt>
                <c:pt idx="871">
                  <c:v>45545</c:v>
                </c:pt>
                <c:pt idx="872">
                  <c:v>45552</c:v>
                </c:pt>
                <c:pt idx="873">
                  <c:v>45559</c:v>
                </c:pt>
                <c:pt idx="874">
                  <c:v>45566</c:v>
                </c:pt>
                <c:pt idx="875">
                  <c:v>45573</c:v>
                </c:pt>
                <c:pt idx="876">
                  <c:v>45580</c:v>
                </c:pt>
                <c:pt idx="877">
                  <c:v>45587</c:v>
                </c:pt>
                <c:pt idx="878">
                  <c:v>45594</c:v>
                </c:pt>
                <c:pt idx="879">
                  <c:v>45601</c:v>
                </c:pt>
                <c:pt idx="880">
                  <c:v>45608</c:v>
                </c:pt>
                <c:pt idx="881">
                  <c:v>45615</c:v>
                </c:pt>
                <c:pt idx="882">
                  <c:v>45622</c:v>
                </c:pt>
                <c:pt idx="883">
                  <c:v>45629</c:v>
                </c:pt>
                <c:pt idx="884">
                  <c:v>45636</c:v>
                </c:pt>
                <c:pt idx="885">
                  <c:v>45643</c:v>
                </c:pt>
                <c:pt idx="886">
                  <c:v>45650</c:v>
                </c:pt>
                <c:pt idx="887">
                  <c:v>45657</c:v>
                </c:pt>
                <c:pt idx="888">
                  <c:v>45664</c:v>
                </c:pt>
                <c:pt idx="889">
                  <c:v>45671</c:v>
                </c:pt>
                <c:pt idx="890">
                  <c:v>45678</c:v>
                </c:pt>
                <c:pt idx="891">
                  <c:v>45685</c:v>
                </c:pt>
                <c:pt idx="892">
                  <c:v>45692</c:v>
                </c:pt>
                <c:pt idx="893">
                  <c:v>45699</c:v>
                </c:pt>
                <c:pt idx="894">
                  <c:v>45706</c:v>
                </c:pt>
                <c:pt idx="895">
                  <c:v>45713</c:v>
                </c:pt>
                <c:pt idx="896">
                  <c:v>45720</c:v>
                </c:pt>
                <c:pt idx="897">
                  <c:v>45727</c:v>
                </c:pt>
                <c:pt idx="898">
                  <c:v>45734</c:v>
                </c:pt>
                <c:pt idx="899">
                  <c:v>45741</c:v>
                </c:pt>
                <c:pt idx="900">
                  <c:v>45748</c:v>
                </c:pt>
                <c:pt idx="901">
                  <c:v>45755</c:v>
                </c:pt>
                <c:pt idx="902">
                  <c:v>45762</c:v>
                </c:pt>
                <c:pt idx="903">
                  <c:v>45769</c:v>
                </c:pt>
                <c:pt idx="904">
                  <c:v>45776</c:v>
                </c:pt>
                <c:pt idx="905">
                  <c:v>45783</c:v>
                </c:pt>
                <c:pt idx="906">
                  <c:v>45790</c:v>
                </c:pt>
                <c:pt idx="907">
                  <c:v>45797</c:v>
                </c:pt>
                <c:pt idx="908">
                  <c:v>45804</c:v>
                </c:pt>
                <c:pt idx="909">
                  <c:v>45811</c:v>
                </c:pt>
                <c:pt idx="910">
                  <c:v>45818</c:v>
                </c:pt>
                <c:pt idx="911">
                  <c:v>45825</c:v>
                </c:pt>
                <c:pt idx="912">
                  <c:v>45832</c:v>
                </c:pt>
                <c:pt idx="913">
                  <c:v>45839</c:v>
                </c:pt>
                <c:pt idx="914">
                  <c:v>45846</c:v>
                </c:pt>
                <c:pt idx="915">
                  <c:v>45853</c:v>
                </c:pt>
                <c:pt idx="916">
                  <c:v>45860</c:v>
                </c:pt>
                <c:pt idx="917">
                  <c:v>45867</c:v>
                </c:pt>
                <c:pt idx="918">
                  <c:v>45874</c:v>
                </c:pt>
                <c:pt idx="919">
                  <c:v>45881</c:v>
                </c:pt>
                <c:pt idx="920">
                  <c:v>45888</c:v>
                </c:pt>
                <c:pt idx="921">
                  <c:v>45895</c:v>
                </c:pt>
                <c:pt idx="922">
                  <c:v>45902</c:v>
                </c:pt>
                <c:pt idx="923">
                  <c:v>45909</c:v>
                </c:pt>
                <c:pt idx="924">
                  <c:v>45916</c:v>
                </c:pt>
                <c:pt idx="925">
                  <c:v>45923</c:v>
                </c:pt>
                <c:pt idx="926">
                  <c:v>45930</c:v>
                </c:pt>
                <c:pt idx="927">
                  <c:v>45937</c:v>
                </c:pt>
                <c:pt idx="928">
                  <c:v>45944</c:v>
                </c:pt>
                <c:pt idx="929">
                  <c:v>45951</c:v>
                </c:pt>
                <c:pt idx="930">
                  <c:v>45958</c:v>
                </c:pt>
                <c:pt idx="931">
                  <c:v>45965</c:v>
                </c:pt>
                <c:pt idx="932">
                  <c:v>45972</c:v>
                </c:pt>
                <c:pt idx="933">
                  <c:v>45979</c:v>
                </c:pt>
                <c:pt idx="934">
                  <c:v>45986</c:v>
                </c:pt>
                <c:pt idx="935">
                  <c:v>45993</c:v>
                </c:pt>
                <c:pt idx="936">
                  <c:v>46000</c:v>
                </c:pt>
                <c:pt idx="937">
                  <c:v>46007</c:v>
                </c:pt>
                <c:pt idx="938">
                  <c:v>46014</c:v>
                </c:pt>
                <c:pt idx="939">
                  <c:v>46021</c:v>
                </c:pt>
                <c:pt idx="940">
                  <c:v>46028</c:v>
                </c:pt>
                <c:pt idx="941">
                  <c:v>46035</c:v>
                </c:pt>
                <c:pt idx="942">
                  <c:v>46042</c:v>
                </c:pt>
                <c:pt idx="943">
                  <c:v>46049</c:v>
                </c:pt>
                <c:pt idx="944">
                  <c:v>46056</c:v>
                </c:pt>
                <c:pt idx="945">
                  <c:v>46063</c:v>
                </c:pt>
                <c:pt idx="946">
                  <c:v>46070</c:v>
                </c:pt>
                <c:pt idx="947">
                  <c:v>46077</c:v>
                </c:pt>
                <c:pt idx="948">
                  <c:v>46084</c:v>
                </c:pt>
                <c:pt idx="949">
                  <c:v>46091</c:v>
                </c:pt>
                <c:pt idx="950">
                  <c:v>46098</c:v>
                </c:pt>
                <c:pt idx="951">
                  <c:v>46105</c:v>
                </c:pt>
                <c:pt idx="952">
                  <c:v>46112</c:v>
                </c:pt>
                <c:pt idx="953">
                  <c:v>46119</c:v>
                </c:pt>
                <c:pt idx="954">
                  <c:v>46126</c:v>
                </c:pt>
                <c:pt idx="955">
                  <c:v>46133</c:v>
                </c:pt>
                <c:pt idx="956">
                  <c:v>46140</c:v>
                </c:pt>
                <c:pt idx="957">
                  <c:v>46147</c:v>
                </c:pt>
                <c:pt idx="958">
                  <c:v>46154</c:v>
                </c:pt>
                <c:pt idx="959">
                  <c:v>46161</c:v>
                </c:pt>
                <c:pt idx="960">
                  <c:v>46168</c:v>
                </c:pt>
                <c:pt idx="961">
                  <c:v>46175</c:v>
                </c:pt>
                <c:pt idx="962">
                  <c:v>46182</c:v>
                </c:pt>
                <c:pt idx="963">
                  <c:v>46189</c:v>
                </c:pt>
                <c:pt idx="964">
                  <c:v>46196</c:v>
                </c:pt>
                <c:pt idx="965">
                  <c:v>46203</c:v>
                </c:pt>
                <c:pt idx="966">
                  <c:v>46210</c:v>
                </c:pt>
                <c:pt idx="967">
                  <c:v>46217</c:v>
                </c:pt>
                <c:pt idx="968">
                  <c:v>46224</c:v>
                </c:pt>
                <c:pt idx="969">
                  <c:v>46231</c:v>
                </c:pt>
              </c:numCache>
            </c:numRef>
          </c:cat>
          <c:val>
            <c:numRef>
              <c:f>Sheet1!$F$9:$F$978</c:f>
              <c:numCache>
                <c:formatCode>0.00%</c:formatCode>
                <c:ptCount val="970"/>
                <c:pt idx="0">
                  <c:v>0.32156782688578134</c:v>
                </c:pt>
                <c:pt idx="1">
                  <c:v>0.32198396930876205</c:v>
                </c:pt>
                <c:pt idx="2">
                  <c:v>0.32850839001695248</c:v>
                </c:pt>
                <c:pt idx="3">
                  <c:v>0.37607217961135397</c:v>
                </c:pt>
                <c:pt idx="4">
                  <c:v>0.40207274960323475</c:v>
                </c:pt>
                <c:pt idx="5">
                  <c:v>0.40477869827424301</c:v>
                </c:pt>
                <c:pt idx="6">
                  <c:v>0.36489568645621545</c:v>
                </c:pt>
                <c:pt idx="7">
                  <c:v>0.34652076955059152</c:v>
                </c:pt>
                <c:pt idx="8">
                  <c:v>0.3180700654441963</c:v>
                </c:pt>
                <c:pt idx="9">
                  <c:v>0.30077234143320342</c:v>
                </c:pt>
                <c:pt idx="10">
                  <c:v>0.3046113347311713</c:v>
                </c:pt>
                <c:pt idx="11">
                  <c:v>0.32456085928108885</c:v>
                </c:pt>
                <c:pt idx="12">
                  <c:v>0.34649133668474447</c:v>
                </c:pt>
                <c:pt idx="13">
                  <c:v>0.37802422146697739</c:v>
                </c:pt>
                <c:pt idx="14">
                  <c:v>0.33221958369629639</c:v>
                </c:pt>
                <c:pt idx="15">
                  <c:v>0.32306343468050919</c:v>
                </c:pt>
                <c:pt idx="16">
                  <c:v>0.28121710877556932</c:v>
                </c:pt>
                <c:pt idx="17">
                  <c:v>0.30715218522280457</c:v>
                </c:pt>
                <c:pt idx="18">
                  <c:v>0.30020336972333245</c:v>
                </c:pt>
                <c:pt idx="19">
                  <c:v>0.31298892138360251</c:v>
                </c:pt>
                <c:pt idx="20">
                  <c:v>0.33354703017624365</c:v>
                </c:pt>
                <c:pt idx="21">
                  <c:v>0.34949254474514424</c:v>
                </c:pt>
                <c:pt idx="22">
                  <c:v>0.34318395755483927</c:v>
                </c:pt>
                <c:pt idx="23">
                  <c:v>0.34779080215143698</c:v>
                </c:pt>
                <c:pt idx="24">
                  <c:v>0.37657110067370836</c:v>
                </c:pt>
                <c:pt idx="25">
                  <c:v>0.36616082801204564</c:v>
                </c:pt>
                <c:pt idx="26">
                  <c:v>0.34305847088875918</c:v>
                </c:pt>
                <c:pt idx="27">
                  <c:v>0.37879398307890527</c:v>
                </c:pt>
                <c:pt idx="28">
                  <c:v>0.35308992802713146</c:v>
                </c:pt>
                <c:pt idx="29">
                  <c:v>0.37358042464616642</c:v>
                </c:pt>
                <c:pt idx="30">
                  <c:v>0.35061110083519487</c:v>
                </c:pt>
                <c:pt idx="31">
                  <c:v>0.37321859402014124</c:v>
                </c:pt>
                <c:pt idx="32">
                  <c:v>0.38629021437344535</c:v>
                </c:pt>
                <c:pt idx="33">
                  <c:v>0.39728286212880926</c:v>
                </c:pt>
                <c:pt idx="34">
                  <c:v>0.38123016889694722</c:v>
                </c:pt>
                <c:pt idx="35">
                  <c:v>0.39914749127762089</c:v>
                </c:pt>
                <c:pt idx="36">
                  <c:v>0.45734749922588441</c:v>
                </c:pt>
                <c:pt idx="37">
                  <c:v>0.47277067882511792</c:v>
                </c:pt>
                <c:pt idx="38">
                  <c:v>0.44208947243346008</c:v>
                </c:pt>
                <c:pt idx="39">
                  <c:v>0.42745878309721286</c:v>
                </c:pt>
                <c:pt idx="40">
                  <c:v>0.46995196605442258</c:v>
                </c:pt>
                <c:pt idx="41">
                  <c:v>0.49358954929833598</c:v>
                </c:pt>
                <c:pt idx="42">
                  <c:v>0.51559307114338704</c:v>
                </c:pt>
                <c:pt idx="43">
                  <c:v>0.5261495090891416</c:v>
                </c:pt>
                <c:pt idx="44">
                  <c:v>0.54870034645207411</c:v>
                </c:pt>
                <c:pt idx="45">
                  <c:v>0.58898342141099158</c:v>
                </c:pt>
                <c:pt idx="46">
                  <c:v>0.53561044287332049</c:v>
                </c:pt>
                <c:pt idx="47">
                  <c:v>0.53237514217764448</c:v>
                </c:pt>
                <c:pt idx="48">
                  <c:v>0.52813916323910826</c:v>
                </c:pt>
                <c:pt idx="49">
                  <c:v>0.47424026935245117</c:v>
                </c:pt>
                <c:pt idx="50">
                  <c:v>0.42074899561024204</c:v>
                </c:pt>
                <c:pt idx="51">
                  <c:v>0.35888248731906142</c:v>
                </c:pt>
                <c:pt idx="52">
                  <c:v>0.39480344270689721</c:v>
                </c:pt>
                <c:pt idx="53">
                  <c:v>0.39065581159501944</c:v>
                </c:pt>
                <c:pt idx="54">
                  <c:v>0.42144471453026783</c:v>
                </c:pt>
                <c:pt idx="55">
                  <c:v>0.39376134518008982</c:v>
                </c:pt>
                <c:pt idx="56">
                  <c:v>0.39078557894644933</c:v>
                </c:pt>
                <c:pt idx="57">
                  <c:v>0.41169718480909512</c:v>
                </c:pt>
                <c:pt idx="58">
                  <c:v>0.46107871556963298</c:v>
                </c:pt>
                <c:pt idx="59">
                  <c:v>0.44130043045476852</c:v>
                </c:pt>
                <c:pt idx="60">
                  <c:v>0.45792210467684774</c:v>
                </c:pt>
                <c:pt idx="61">
                  <c:v>0.49585093866893892</c:v>
                </c:pt>
                <c:pt idx="62">
                  <c:v>0.45494806097228452</c:v>
                </c:pt>
                <c:pt idx="63">
                  <c:v>0.38944002965502861</c:v>
                </c:pt>
                <c:pt idx="64">
                  <c:v>0.37634245667203331</c:v>
                </c:pt>
                <c:pt idx="65">
                  <c:v>0.41978907533161086</c:v>
                </c:pt>
                <c:pt idx="66">
                  <c:v>0.38935334258958376</c:v>
                </c:pt>
                <c:pt idx="67">
                  <c:v>0.4135607791241856</c:v>
                </c:pt>
                <c:pt idx="68">
                  <c:v>0.47910421047921609</c:v>
                </c:pt>
                <c:pt idx="69">
                  <c:v>0.4463760841341165</c:v>
                </c:pt>
                <c:pt idx="70">
                  <c:v>0.42044884683901596</c:v>
                </c:pt>
                <c:pt idx="71">
                  <c:v>0.34635909232136142</c:v>
                </c:pt>
                <c:pt idx="72">
                  <c:v>0.29911374560916992</c:v>
                </c:pt>
                <c:pt idx="73">
                  <c:v>0.29043946854966085</c:v>
                </c:pt>
                <c:pt idx="74">
                  <c:v>0.32533944981516216</c:v>
                </c:pt>
                <c:pt idx="75">
                  <c:v>0.29482737411841892</c:v>
                </c:pt>
                <c:pt idx="76">
                  <c:v>0.35852178447826294</c:v>
                </c:pt>
                <c:pt idx="77">
                  <c:v>0.32447635441647416</c:v>
                </c:pt>
                <c:pt idx="78">
                  <c:v>0.32091706553926957</c:v>
                </c:pt>
                <c:pt idx="79">
                  <c:v>0.37906310689134315</c:v>
                </c:pt>
                <c:pt idx="80">
                  <c:v>0.38363125216110167</c:v>
                </c:pt>
                <c:pt idx="81">
                  <c:v>0.41366915004102073</c:v>
                </c:pt>
                <c:pt idx="82">
                  <c:v>0.39321107291742852</c:v>
                </c:pt>
                <c:pt idx="83">
                  <c:v>0.30423754856049939</c:v>
                </c:pt>
                <c:pt idx="84">
                  <c:v>0.30886747647755869</c:v>
                </c:pt>
                <c:pt idx="85">
                  <c:v>0.34495647214641573</c:v>
                </c:pt>
                <c:pt idx="86">
                  <c:v>0.30918819861133967</c:v>
                </c:pt>
                <c:pt idx="87">
                  <c:v>0.34669475433183006</c:v>
                </c:pt>
                <c:pt idx="88">
                  <c:v>0.31532198371576609</c:v>
                </c:pt>
                <c:pt idx="89">
                  <c:v>0.25999935935764928</c:v>
                </c:pt>
                <c:pt idx="90">
                  <c:v>0.24522711797452038</c:v>
                </c:pt>
                <c:pt idx="91">
                  <c:v>0.36220248210988526</c:v>
                </c:pt>
                <c:pt idx="92">
                  <c:v>0.29277134888414441</c:v>
                </c:pt>
                <c:pt idx="93">
                  <c:v>0.25580987228591107</c:v>
                </c:pt>
                <c:pt idx="94">
                  <c:v>0.2359908221302999</c:v>
                </c:pt>
                <c:pt idx="95">
                  <c:v>0.18694392675628743</c:v>
                </c:pt>
                <c:pt idx="96">
                  <c:v>0.17013007378900835</c:v>
                </c:pt>
                <c:pt idx="97">
                  <c:v>0.22217944578293303</c:v>
                </c:pt>
                <c:pt idx="98">
                  <c:v>0.15204898373792572</c:v>
                </c:pt>
                <c:pt idx="99">
                  <c:v>0.21436273024043884</c:v>
                </c:pt>
                <c:pt idx="100">
                  <c:v>0.19846115084210322</c:v>
                </c:pt>
                <c:pt idx="101">
                  <c:v>0.25418814900001452</c:v>
                </c:pt>
                <c:pt idx="102">
                  <c:v>0.29198448581362446</c:v>
                </c:pt>
                <c:pt idx="103">
                  <c:v>0.23874296884732218</c:v>
                </c:pt>
                <c:pt idx="104">
                  <c:v>0.1849410410188414</c:v>
                </c:pt>
                <c:pt idx="105">
                  <c:v>0.17000481853729676</c:v>
                </c:pt>
                <c:pt idx="106">
                  <c:v>0.16092136002934759</c:v>
                </c:pt>
                <c:pt idx="107">
                  <c:v>0.14945815773630344</c:v>
                </c:pt>
                <c:pt idx="108">
                  <c:v>0.20426955212344922</c:v>
                </c:pt>
                <c:pt idx="109">
                  <c:v>0.22096335561189215</c:v>
                </c:pt>
                <c:pt idx="110">
                  <c:v>0.29597045027496127</c:v>
                </c:pt>
                <c:pt idx="111">
                  <c:v>0.21488260665773415</c:v>
                </c:pt>
                <c:pt idx="112">
                  <c:v>0.2107859400373675</c:v>
                </c:pt>
                <c:pt idx="113">
                  <c:v>0.19400924399734915</c:v>
                </c:pt>
                <c:pt idx="114">
                  <c:v>0.17624525741954877</c:v>
                </c:pt>
                <c:pt idx="115">
                  <c:v>0.16820668574654907</c:v>
                </c:pt>
                <c:pt idx="116">
                  <c:v>0.18176310209027569</c:v>
                </c:pt>
                <c:pt idx="117">
                  <c:v>0.16721777582293296</c:v>
                </c:pt>
                <c:pt idx="118">
                  <c:v>0.17125573927495</c:v>
                </c:pt>
                <c:pt idx="119">
                  <c:v>0.17656425075190188</c:v>
                </c:pt>
                <c:pt idx="120">
                  <c:v>0.17625828161162391</c:v>
                </c:pt>
                <c:pt idx="121">
                  <c:v>0.20515403509335217</c:v>
                </c:pt>
                <c:pt idx="122">
                  <c:v>0.1989635373367416</c:v>
                </c:pt>
                <c:pt idx="123">
                  <c:v>0.25554700666813218</c:v>
                </c:pt>
                <c:pt idx="124">
                  <c:v>0.34970251249447526</c:v>
                </c:pt>
                <c:pt idx="125">
                  <c:v>0.3694955028111731</c:v>
                </c:pt>
                <c:pt idx="126">
                  <c:v>0.3879294494194559</c:v>
                </c:pt>
                <c:pt idx="127">
                  <c:v>0.38289562522722159</c:v>
                </c:pt>
                <c:pt idx="128">
                  <c:v>0.32717391304347826</c:v>
                </c:pt>
                <c:pt idx="129">
                  <c:v>0.35099864635061406</c:v>
                </c:pt>
                <c:pt idx="130">
                  <c:v>0.35874273881034496</c:v>
                </c:pt>
                <c:pt idx="131">
                  <c:v>0.39480555173835374</c:v>
                </c:pt>
                <c:pt idx="132">
                  <c:v>0.33097910292810684</c:v>
                </c:pt>
                <c:pt idx="133">
                  <c:v>0.29763654633481984</c:v>
                </c:pt>
                <c:pt idx="134">
                  <c:v>0.26688481448778545</c:v>
                </c:pt>
                <c:pt idx="135">
                  <c:v>0.23384521031294056</c:v>
                </c:pt>
                <c:pt idx="136">
                  <c:v>0.23595611490749391</c:v>
                </c:pt>
                <c:pt idx="137">
                  <c:v>0.28546656893113587</c:v>
                </c:pt>
                <c:pt idx="138">
                  <c:v>0.36884757222977871</c:v>
                </c:pt>
                <c:pt idx="139">
                  <c:v>0.38331880836507609</c:v>
                </c:pt>
                <c:pt idx="140">
                  <c:v>0.36936973360151748</c:v>
                </c:pt>
                <c:pt idx="141">
                  <c:v>0.3085402879974149</c:v>
                </c:pt>
                <c:pt idx="142">
                  <c:v>0.33657817805396983</c:v>
                </c:pt>
                <c:pt idx="143">
                  <c:v>0.32163505088719563</c:v>
                </c:pt>
                <c:pt idx="144">
                  <c:v>0.22728699173832184</c:v>
                </c:pt>
                <c:pt idx="145">
                  <c:v>0.20895467726738515</c:v>
                </c:pt>
                <c:pt idx="146">
                  <c:v>0.24507770442879717</c:v>
                </c:pt>
                <c:pt idx="147">
                  <c:v>0.22484722756134096</c:v>
                </c:pt>
                <c:pt idx="148">
                  <c:v>0.22359786780118551</c:v>
                </c:pt>
                <c:pt idx="149">
                  <c:v>0.21169733727088572</c:v>
                </c:pt>
                <c:pt idx="150">
                  <c:v>0.22886340056903171</c:v>
                </c:pt>
                <c:pt idx="151">
                  <c:v>0.29745302020921049</c:v>
                </c:pt>
                <c:pt idx="152">
                  <c:v>0.24160665554237709</c:v>
                </c:pt>
                <c:pt idx="153">
                  <c:v>0.20360625746135599</c:v>
                </c:pt>
                <c:pt idx="154">
                  <c:v>0.18402100328667392</c:v>
                </c:pt>
                <c:pt idx="155">
                  <c:v>0.18463081627485733</c:v>
                </c:pt>
                <c:pt idx="156">
                  <c:v>0.1788685022089393</c:v>
                </c:pt>
                <c:pt idx="157">
                  <c:v>0.21665141398778068</c:v>
                </c:pt>
                <c:pt idx="158">
                  <c:v>0.18536624587923134</c:v>
                </c:pt>
                <c:pt idx="159">
                  <c:v>0.18669935079618408</c:v>
                </c:pt>
                <c:pt idx="160">
                  <c:v>0.22091432879220291</c:v>
                </c:pt>
                <c:pt idx="161">
                  <c:v>0.20774367944029257</c:v>
                </c:pt>
                <c:pt idx="162">
                  <c:v>0.18452393581284168</c:v>
                </c:pt>
                <c:pt idx="163">
                  <c:v>0.20127106269894576</c:v>
                </c:pt>
                <c:pt idx="164">
                  <c:v>0.14870666871280713</c:v>
                </c:pt>
                <c:pt idx="165">
                  <c:v>7.9154994892619679E-2</c:v>
                </c:pt>
                <c:pt idx="166">
                  <c:v>8.217412369846025E-2</c:v>
                </c:pt>
                <c:pt idx="167">
                  <c:v>0.10213855669580962</c:v>
                </c:pt>
                <c:pt idx="168">
                  <c:v>9.3262377035961935E-2</c:v>
                </c:pt>
                <c:pt idx="169">
                  <c:v>9.7116577447923236E-2</c:v>
                </c:pt>
                <c:pt idx="170">
                  <c:v>8.8585092804748647E-2</c:v>
                </c:pt>
                <c:pt idx="171">
                  <c:v>9.1001435785237783E-2</c:v>
                </c:pt>
                <c:pt idx="172">
                  <c:v>0.11320743446459132</c:v>
                </c:pt>
                <c:pt idx="173">
                  <c:v>0.1011358195295501</c:v>
                </c:pt>
                <c:pt idx="174">
                  <c:v>0.11115654275852946</c:v>
                </c:pt>
                <c:pt idx="175">
                  <c:v>0.1442002735878086</c:v>
                </c:pt>
                <c:pt idx="176">
                  <c:v>0.13177457117251057</c:v>
                </c:pt>
                <c:pt idx="177">
                  <c:v>0.13278102753711163</c:v>
                </c:pt>
                <c:pt idx="178">
                  <c:v>0.14096727265115597</c:v>
                </c:pt>
                <c:pt idx="179">
                  <c:v>0.19692532693910175</c:v>
                </c:pt>
                <c:pt idx="180">
                  <c:v>0.19166147473352754</c:v>
                </c:pt>
                <c:pt idx="181">
                  <c:v>0.2250849204358232</c:v>
                </c:pt>
                <c:pt idx="182">
                  <c:v>0.24664910147277394</c:v>
                </c:pt>
                <c:pt idx="183">
                  <c:v>0.22340923187808182</c:v>
                </c:pt>
                <c:pt idx="184">
                  <c:v>0.22481245845598707</c:v>
                </c:pt>
                <c:pt idx="185">
                  <c:v>0.21704374356129646</c:v>
                </c:pt>
                <c:pt idx="186">
                  <c:v>0.2084441435517361</c:v>
                </c:pt>
                <c:pt idx="187">
                  <c:v>0.24832552284368023</c:v>
                </c:pt>
                <c:pt idx="188">
                  <c:v>0.26073436036223585</c:v>
                </c:pt>
                <c:pt idx="189">
                  <c:v>0.25659397001058182</c:v>
                </c:pt>
                <c:pt idx="190">
                  <c:v>0.26802758842035229</c:v>
                </c:pt>
                <c:pt idx="191">
                  <c:v>0.22859662453728555</c:v>
                </c:pt>
                <c:pt idx="192">
                  <c:v>0.23812064389627249</c:v>
                </c:pt>
                <c:pt idx="193">
                  <c:v>0.20687259920951911</c:v>
                </c:pt>
                <c:pt idx="194">
                  <c:v>0.22944680610074225</c:v>
                </c:pt>
                <c:pt idx="195">
                  <c:v>0.25539725004666208</c:v>
                </c:pt>
                <c:pt idx="196">
                  <c:v>0.28751546117265619</c:v>
                </c:pt>
                <c:pt idx="197">
                  <c:v>0.23104424468830259</c:v>
                </c:pt>
                <c:pt idx="198">
                  <c:v>0.21719040465851475</c:v>
                </c:pt>
                <c:pt idx="199">
                  <c:v>0.18289990735670425</c:v>
                </c:pt>
                <c:pt idx="200">
                  <c:v>0.17736524668745268</c:v>
                </c:pt>
                <c:pt idx="201">
                  <c:v>0.16785218812548761</c:v>
                </c:pt>
                <c:pt idx="202">
                  <c:v>0.14425302706552706</c:v>
                </c:pt>
                <c:pt idx="203">
                  <c:v>0.17541884151467166</c:v>
                </c:pt>
                <c:pt idx="204">
                  <c:v>0.1562964578088763</c:v>
                </c:pt>
                <c:pt idx="205">
                  <c:v>0.14738353864514434</c:v>
                </c:pt>
                <c:pt idx="206">
                  <c:v>0.17024133249119727</c:v>
                </c:pt>
                <c:pt idx="207">
                  <c:v>0.18923248821045366</c:v>
                </c:pt>
                <c:pt idx="208">
                  <c:v>0.17512494062130723</c:v>
                </c:pt>
                <c:pt idx="209">
                  <c:v>0.17665493962156509</c:v>
                </c:pt>
                <c:pt idx="210">
                  <c:v>0.15631576661415209</c:v>
                </c:pt>
                <c:pt idx="211">
                  <c:v>0.16490994595124181</c:v>
                </c:pt>
                <c:pt idx="212">
                  <c:v>0.14474851621528551</c:v>
                </c:pt>
                <c:pt idx="213">
                  <c:v>0.15591010574156397</c:v>
                </c:pt>
                <c:pt idx="214">
                  <c:v>0.1513732520328471</c:v>
                </c:pt>
                <c:pt idx="215">
                  <c:v>0.12523443465110934</c:v>
                </c:pt>
                <c:pt idx="216">
                  <c:v>0.11461175798271304</c:v>
                </c:pt>
                <c:pt idx="217">
                  <c:v>0.11298150244352111</c:v>
                </c:pt>
                <c:pt idx="218">
                  <c:v>0.15195024799593373</c:v>
                </c:pt>
                <c:pt idx="219">
                  <c:v>0.16315515092948146</c:v>
                </c:pt>
                <c:pt idx="220">
                  <c:v>0.15910026610433298</c:v>
                </c:pt>
                <c:pt idx="221">
                  <c:v>0.16014723808080877</c:v>
                </c:pt>
                <c:pt idx="222">
                  <c:v>0.17506543910271496</c:v>
                </c:pt>
                <c:pt idx="223">
                  <c:v>0.20670696157223931</c:v>
                </c:pt>
                <c:pt idx="224">
                  <c:v>0.17840938992592356</c:v>
                </c:pt>
                <c:pt idx="225">
                  <c:v>0.16377421728112482</c:v>
                </c:pt>
                <c:pt idx="226">
                  <c:v>0.14841627591522741</c:v>
                </c:pt>
                <c:pt idx="227">
                  <c:v>0.25284866207614548</c:v>
                </c:pt>
                <c:pt idx="228">
                  <c:v>0.2566652493661517</c:v>
                </c:pt>
                <c:pt idx="229">
                  <c:v>0.25208680455125043</c:v>
                </c:pt>
                <c:pt idx="230">
                  <c:v>0.24639189341219203</c:v>
                </c:pt>
                <c:pt idx="231">
                  <c:v>0.26376696244227649</c:v>
                </c:pt>
                <c:pt idx="232">
                  <c:v>0.27818937038476488</c:v>
                </c:pt>
                <c:pt idx="233">
                  <c:v>0.291903013213548</c:v>
                </c:pt>
                <c:pt idx="234">
                  <c:v>0.29581707961015624</c:v>
                </c:pt>
                <c:pt idx="235">
                  <c:v>0.27294329662618516</c:v>
                </c:pt>
                <c:pt idx="236">
                  <c:v>0.28669137973370085</c:v>
                </c:pt>
                <c:pt idx="237">
                  <c:v>0.26900516801045632</c:v>
                </c:pt>
                <c:pt idx="238">
                  <c:v>0.25092600395683595</c:v>
                </c:pt>
                <c:pt idx="239">
                  <c:v>0.26174592699197724</c:v>
                </c:pt>
                <c:pt idx="240">
                  <c:v>0.20247304358808393</c:v>
                </c:pt>
                <c:pt idx="241">
                  <c:v>0.21571056515677448</c:v>
                </c:pt>
                <c:pt idx="242">
                  <c:v>0.17974487211952392</c:v>
                </c:pt>
                <c:pt idx="243">
                  <c:v>0.1559244369515411</c:v>
                </c:pt>
                <c:pt idx="244">
                  <c:v>0.15331591789416793</c:v>
                </c:pt>
                <c:pt idx="245">
                  <c:v>0.13272367476592523</c:v>
                </c:pt>
                <c:pt idx="246">
                  <c:v>0.14038608134164388</c:v>
                </c:pt>
                <c:pt idx="247">
                  <c:v>0.20096559111407791</c:v>
                </c:pt>
                <c:pt idx="248">
                  <c:v>0.22910397123261939</c:v>
                </c:pt>
                <c:pt idx="249">
                  <c:v>0.24337332907523154</c:v>
                </c:pt>
                <c:pt idx="250">
                  <c:v>0.23756327391735438</c:v>
                </c:pt>
                <c:pt idx="251">
                  <c:v>0.29898298085925124</c:v>
                </c:pt>
                <c:pt idx="252">
                  <c:v>0.3265410916456844</c:v>
                </c:pt>
                <c:pt idx="253">
                  <c:v>0.32275430202781702</c:v>
                </c:pt>
                <c:pt idx="254">
                  <c:v>0.34890676921785641</c:v>
                </c:pt>
                <c:pt idx="255">
                  <c:v>0.32805569058759193</c:v>
                </c:pt>
                <c:pt idx="256">
                  <c:v>0.31369409836563122</c:v>
                </c:pt>
                <c:pt idx="257">
                  <c:v>0.28575356800501067</c:v>
                </c:pt>
                <c:pt idx="258">
                  <c:v>0.3502467435588455</c:v>
                </c:pt>
                <c:pt idx="259">
                  <c:v>0.3065186771085695</c:v>
                </c:pt>
                <c:pt idx="260">
                  <c:v>0.26891741444627593</c:v>
                </c:pt>
                <c:pt idx="261">
                  <c:v>0.2174132711588555</c:v>
                </c:pt>
                <c:pt idx="262">
                  <c:v>0.16873309380318516</c:v>
                </c:pt>
                <c:pt idx="263">
                  <c:v>0.15000810701256587</c:v>
                </c:pt>
                <c:pt idx="264">
                  <c:v>0.11852347125708235</c:v>
                </c:pt>
                <c:pt idx="265">
                  <c:v>9.9663573085846863E-2</c:v>
                </c:pt>
                <c:pt idx="266">
                  <c:v>0.10166373916990665</c:v>
                </c:pt>
                <c:pt idx="267">
                  <c:v>9.9802541372738487E-2</c:v>
                </c:pt>
                <c:pt idx="268">
                  <c:v>0.13544938269621584</c:v>
                </c:pt>
                <c:pt idx="269">
                  <c:v>0.19377888158296522</c:v>
                </c:pt>
                <c:pt idx="270">
                  <c:v>0.22245507820079946</c:v>
                </c:pt>
                <c:pt idx="271">
                  <c:v>0.22523331552443418</c:v>
                </c:pt>
                <c:pt idx="272">
                  <c:v>0.20041774457789063</c:v>
                </c:pt>
                <c:pt idx="273">
                  <c:v>0.15021916740252819</c:v>
                </c:pt>
                <c:pt idx="274">
                  <c:v>0.13826330532212885</c:v>
                </c:pt>
                <c:pt idx="275">
                  <c:v>0.1495967824258386</c:v>
                </c:pt>
                <c:pt idx="276">
                  <c:v>0.18815847703045785</c:v>
                </c:pt>
                <c:pt idx="277">
                  <c:v>0.21878951129679511</c:v>
                </c:pt>
                <c:pt idx="278">
                  <c:v>0.19081100695928976</c:v>
                </c:pt>
                <c:pt idx="279">
                  <c:v>0.14178391191313658</c:v>
                </c:pt>
                <c:pt idx="280">
                  <c:v>0.12438385705483672</c:v>
                </c:pt>
                <c:pt idx="281">
                  <c:v>0.12020028642807137</c:v>
                </c:pt>
                <c:pt idx="282">
                  <c:v>0.13004502302230719</c:v>
                </c:pt>
                <c:pt idx="283">
                  <c:v>0.14013397570564262</c:v>
                </c:pt>
                <c:pt idx="284">
                  <c:v>0.11598223208538272</c:v>
                </c:pt>
                <c:pt idx="285">
                  <c:v>9.1024885329647628E-2</c:v>
                </c:pt>
                <c:pt idx="286">
                  <c:v>9.2788442057413975E-2</c:v>
                </c:pt>
                <c:pt idx="287">
                  <c:v>9.5660478086856751E-2</c:v>
                </c:pt>
                <c:pt idx="288">
                  <c:v>9.6703579706412565E-2</c:v>
                </c:pt>
                <c:pt idx="289">
                  <c:v>8.2626669814118744E-2</c:v>
                </c:pt>
                <c:pt idx="290">
                  <c:v>8.2207724083666639E-2</c:v>
                </c:pt>
                <c:pt idx="291">
                  <c:v>8.608071201273966E-2</c:v>
                </c:pt>
                <c:pt idx="292">
                  <c:v>0.10886322215026792</c:v>
                </c:pt>
                <c:pt idx="293">
                  <c:v>0.11873296794994415</c:v>
                </c:pt>
                <c:pt idx="294">
                  <c:v>0.13587814744310808</c:v>
                </c:pt>
                <c:pt idx="295">
                  <c:v>0.1351918696804614</c:v>
                </c:pt>
                <c:pt idx="296">
                  <c:v>0.14119509429621555</c:v>
                </c:pt>
                <c:pt idx="297">
                  <c:v>0.15501033086617769</c:v>
                </c:pt>
                <c:pt idx="298">
                  <c:v>0.14888301966698048</c:v>
                </c:pt>
                <c:pt idx="299">
                  <c:v>0.12721070745697896</c:v>
                </c:pt>
                <c:pt idx="300">
                  <c:v>0.13732521425349573</c:v>
                </c:pt>
                <c:pt idx="301">
                  <c:v>0.13720277028371594</c:v>
                </c:pt>
                <c:pt idx="302">
                  <c:v>0.14200194630938456</c:v>
                </c:pt>
                <c:pt idx="303">
                  <c:v>0.13946159144736223</c:v>
                </c:pt>
                <c:pt idx="304">
                  <c:v>0.14684391064319038</c:v>
                </c:pt>
                <c:pt idx="305">
                  <c:v>0.17174820363166679</c:v>
                </c:pt>
                <c:pt idx="306">
                  <c:v>0.19139348713778698</c:v>
                </c:pt>
                <c:pt idx="307">
                  <c:v>0.14419218853166743</c:v>
                </c:pt>
                <c:pt idx="308">
                  <c:v>0.15905830467276838</c:v>
                </c:pt>
                <c:pt idx="309">
                  <c:v>0.14877513722124355</c:v>
                </c:pt>
                <c:pt idx="310">
                  <c:v>0.1232069992740381</c:v>
                </c:pt>
                <c:pt idx="311">
                  <c:v>0.12815692709943879</c:v>
                </c:pt>
                <c:pt idx="312">
                  <c:v>0.10756531672624092</c:v>
                </c:pt>
                <c:pt idx="313">
                  <c:v>0.10425761063361862</c:v>
                </c:pt>
                <c:pt idx="314">
                  <c:v>0.15222995468417647</c:v>
                </c:pt>
                <c:pt idx="315">
                  <c:v>0.18683777949418731</c:v>
                </c:pt>
                <c:pt idx="316">
                  <c:v>0.19203763321492007</c:v>
                </c:pt>
                <c:pt idx="317">
                  <c:v>0.1463498029020727</c:v>
                </c:pt>
                <c:pt idx="318">
                  <c:v>0.11501393139359613</c:v>
                </c:pt>
                <c:pt idx="319">
                  <c:v>8.6722853649701143E-2</c:v>
                </c:pt>
                <c:pt idx="320">
                  <c:v>6.1719270317246305E-2</c:v>
                </c:pt>
                <c:pt idx="321">
                  <c:v>6.6804427655737922E-2</c:v>
                </c:pt>
                <c:pt idx="322">
                  <c:v>6.2576389712594188E-2</c:v>
                </c:pt>
                <c:pt idx="323">
                  <c:v>7.4105081960799651E-2</c:v>
                </c:pt>
                <c:pt idx="324">
                  <c:v>0.10857854971447993</c:v>
                </c:pt>
                <c:pt idx="325">
                  <c:v>0.12311983955964242</c:v>
                </c:pt>
                <c:pt idx="326">
                  <c:v>0.11746260765843076</c:v>
                </c:pt>
                <c:pt idx="327">
                  <c:v>8.0893200118436537E-2</c:v>
                </c:pt>
                <c:pt idx="328">
                  <c:v>8.1746145942984946E-2</c:v>
                </c:pt>
                <c:pt idx="329">
                  <c:v>8.3409048671195821E-2</c:v>
                </c:pt>
                <c:pt idx="330">
                  <c:v>8.7836011992845464E-2</c:v>
                </c:pt>
                <c:pt idx="331">
                  <c:v>8.7108770979356431E-2</c:v>
                </c:pt>
                <c:pt idx="332">
                  <c:v>8.1036494247191393E-2</c:v>
                </c:pt>
                <c:pt idx="333">
                  <c:v>8.8291822650734736E-2</c:v>
                </c:pt>
                <c:pt idx="334">
                  <c:v>7.5983439992720878E-2</c:v>
                </c:pt>
                <c:pt idx="335">
                  <c:v>6.8799384299640845E-2</c:v>
                </c:pt>
                <c:pt idx="336">
                  <c:v>7.0627095401717507E-2</c:v>
                </c:pt>
                <c:pt idx="337">
                  <c:v>8.6590524534686977E-2</c:v>
                </c:pt>
                <c:pt idx="338">
                  <c:v>9.5027809959426043E-2</c:v>
                </c:pt>
                <c:pt idx="339">
                  <c:v>9.6825565346639775E-2</c:v>
                </c:pt>
                <c:pt idx="340">
                  <c:v>0.10405135796112756</c:v>
                </c:pt>
                <c:pt idx="341">
                  <c:v>0.11830989174352789</c:v>
                </c:pt>
                <c:pt idx="342">
                  <c:v>0.10854204498462755</c:v>
                </c:pt>
                <c:pt idx="343">
                  <c:v>0.10940258456323707</c:v>
                </c:pt>
                <c:pt idx="344">
                  <c:v>0.14124500665778961</c:v>
                </c:pt>
                <c:pt idx="345">
                  <c:v>0.1552205736144909</c:v>
                </c:pt>
                <c:pt idx="346">
                  <c:v>0.19720252591650683</c:v>
                </c:pt>
                <c:pt idx="347">
                  <c:v>0.1997306285742336</c:v>
                </c:pt>
                <c:pt idx="348">
                  <c:v>0.22771424984906721</c:v>
                </c:pt>
                <c:pt idx="349">
                  <c:v>0.2106363716012967</c:v>
                </c:pt>
                <c:pt idx="350">
                  <c:v>0.19796977816874917</c:v>
                </c:pt>
                <c:pt idx="351">
                  <c:v>0.21065312487886043</c:v>
                </c:pt>
                <c:pt idx="352">
                  <c:v>0.19132734850913755</c:v>
                </c:pt>
                <c:pt idx="353">
                  <c:v>0.21121130372997671</c:v>
                </c:pt>
                <c:pt idx="354">
                  <c:v>0.22249154515108924</c:v>
                </c:pt>
                <c:pt idx="355">
                  <c:v>0.19203858314755723</c:v>
                </c:pt>
                <c:pt idx="356">
                  <c:v>0.19497209685741226</c:v>
                </c:pt>
                <c:pt idx="357">
                  <c:v>0.22017538508907228</c:v>
                </c:pt>
                <c:pt idx="358">
                  <c:v>0.20140904657257352</c:v>
                </c:pt>
                <c:pt idx="359">
                  <c:v>0.21663036013387321</c:v>
                </c:pt>
                <c:pt idx="360">
                  <c:v>0.23855880361944864</c:v>
                </c:pt>
                <c:pt idx="361">
                  <c:v>0.19517318601186345</c:v>
                </c:pt>
                <c:pt idx="362">
                  <c:v>0.18640798904627823</c:v>
                </c:pt>
                <c:pt idx="363">
                  <c:v>0.1809267020831665</c:v>
                </c:pt>
                <c:pt idx="364">
                  <c:v>0.17975106486086667</c:v>
                </c:pt>
                <c:pt idx="365">
                  <c:v>0.19989074815907562</c:v>
                </c:pt>
                <c:pt idx="366">
                  <c:v>0.23242241357254334</c:v>
                </c:pt>
                <c:pt idx="367">
                  <c:v>0.24817335146660632</c:v>
                </c:pt>
                <c:pt idx="368">
                  <c:v>0.24500436343441956</c:v>
                </c:pt>
                <c:pt idx="369">
                  <c:v>0.26634433659333201</c:v>
                </c:pt>
                <c:pt idx="370">
                  <c:v>0.27409952307771357</c:v>
                </c:pt>
                <c:pt idx="371">
                  <c:v>0.25951480299660196</c:v>
                </c:pt>
                <c:pt idx="372">
                  <c:v>0.24551200702850448</c:v>
                </c:pt>
                <c:pt idx="373">
                  <c:v>0.27302966455512317</c:v>
                </c:pt>
                <c:pt idx="374">
                  <c:v>0.31169030754550792</c:v>
                </c:pt>
                <c:pt idx="375">
                  <c:v>0.31867515266424273</c:v>
                </c:pt>
                <c:pt idx="376">
                  <c:v>0.35092193664471188</c:v>
                </c:pt>
                <c:pt idx="377">
                  <c:v>0.35465944830297469</c:v>
                </c:pt>
                <c:pt idx="378">
                  <c:v>0.31488276988459518</c:v>
                </c:pt>
                <c:pt idx="379">
                  <c:v>0.26190418563510626</c:v>
                </c:pt>
                <c:pt idx="380">
                  <c:v>0.23295452001307487</c:v>
                </c:pt>
                <c:pt idx="381">
                  <c:v>0.19190277243064172</c:v>
                </c:pt>
                <c:pt idx="382">
                  <c:v>0.19430209988905439</c:v>
                </c:pt>
                <c:pt idx="383">
                  <c:v>0.17906569807518957</c:v>
                </c:pt>
                <c:pt idx="384">
                  <c:v>0.16148967604771</c:v>
                </c:pt>
                <c:pt idx="385">
                  <c:v>0.1763668065870197</c:v>
                </c:pt>
                <c:pt idx="386">
                  <c:v>0.1710234883056494</c:v>
                </c:pt>
                <c:pt idx="387">
                  <c:v>0.16448866910719481</c:v>
                </c:pt>
                <c:pt idx="388">
                  <c:v>0.17150258779626379</c:v>
                </c:pt>
                <c:pt idx="389">
                  <c:v>0.16420745069393719</c:v>
                </c:pt>
                <c:pt idx="390">
                  <c:v>0.17088768363726703</c:v>
                </c:pt>
                <c:pt idx="391">
                  <c:v>0.18645106382978724</c:v>
                </c:pt>
                <c:pt idx="392">
                  <c:v>0.26045741082817719</c:v>
                </c:pt>
                <c:pt idx="393">
                  <c:v>0.30025945435961948</c:v>
                </c:pt>
                <c:pt idx="394">
                  <c:v>0.34344605951920676</c:v>
                </c:pt>
                <c:pt idx="395">
                  <c:v>0.36193687268200325</c:v>
                </c:pt>
                <c:pt idx="396">
                  <c:v>0.34989386487186125</c:v>
                </c:pt>
                <c:pt idx="397">
                  <c:v>0.37550787990909135</c:v>
                </c:pt>
                <c:pt idx="398">
                  <c:v>0.39703145658193428</c:v>
                </c:pt>
                <c:pt idx="399">
                  <c:v>0.38880276740720066</c:v>
                </c:pt>
                <c:pt idx="400">
                  <c:v>0.35930509305603792</c:v>
                </c:pt>
                <c:pt idx="401">
                  <c:v>0.33217389509320233</c:v>
                </c:pt>
                <c:pt idx="402">
                  <c:v>0.30798957753901102</c:v>
                </c:pt>
                <c:pt idx="403">
                  <c:v>0.2815132886156636</c:v>
                </c:pt>
                <c:pt idx="404">
                  <c:v>0.2999398715486003</c:v>
                </c:pt>
                <c:pt idx="405">
                  <c:v>0.27364165681461705</c:v>
                </c:pt>
                <c:pt idx="406">
                  <c:v>0.2449990490361702</c:v>
                </c:pt>
                <c:pt idx="407">
                  <c:v>0.28576178562905402</c:v>
                </c:pt>
                <c:pt idx="408">
                  <c:v>0.32932057885700272</c:v>
                </c:pt>
                <c:pt idx="409">
                  <c:v>0.29191925787155393</c:v>
                </c:pt>
                <c:pt idx="410">
                  <c:v>0.33379781414212151</c:v>
                </c:pt>
                <c:pt idx="411">
                  <c:v>0.36984631263967271</c:v>
                </c:pt>
                <c:pt idx="412">
                  <c:v>0.39746370001975839</c:v>
                </c:pt>
                <c:pt idx="413">
                  <c:v>0.40629094125270182</c:v>
                </c:pt>
                <c:pt idx="414">
                  <c:v>0.41406479657615575</c:v>
                </c:pt>
                <c:pt idx="415">
                  <c:v>0.40774278398185715</c:v>
                </c:pt>
                <c:pt idx="416">
                  <c:v>0.42398347791788449</c:v>
                </c:pt>
                <c:pt idx="417">
                  <c:v>0.4087436616372217</c:v>
                </c:pt>
                <c:pt idx="418">
                  <c:v>0.44037533770744886</c:v>
                </c:pt>
                <c:pt idx="419">
                  <c:v>0.46075139094515211</c:v>
                </c:pt>
                <c:pt idx="420">
                  <c:v>0.43329636928263843</c:v>
                </c:pt>
                <c:pt idx="421">
                  <c:v>0.41608900113210834</c:v>
                </c:pt>
                <c:pt idx="422">
                  <c:v>0.43078128264048465</c:v>
                </c:pt>
                <c:pt idx="423">
                  <c:v>0.42264917727347512</c:v>
                </c:pt>
                <c:pt idx="424">
                  <c:v>0.4392654032913258</c:v>
                </c:pt>
                <c:pt idx="425">
                  <c:v>0.3861736849839032</c:v>
                </c:pt>
                <c:pt idx="426">
                  <c:v>0.35675352039700176</c:v>
                </c:pt>
                <c:pt idx="427">
                  <c:v>0.29768635392002507</c:v>
                </c:pt>
                <c:pt idx="428">
                  <c:v>0.25650076567765595</c:v>
                </c:pt>
                <c:pt idx="429">
                  <c:v>0.18919639714939293</c:v>
                </c:pt>
                <c:pt idx="430">
                  <c:v>0.21960870520993625</c:v>
                </c:pt>
                <c:pt idx="431">
                  <c:v>0.28102483177514442</c:v>
                </c:pt>
                <c:pt idx="432">
                  <c:v>0.23338108122446813</c:v>
                </c:pt>
                <c:pt idx="433">
                  <c:v>0.20305946278724288</c:v>
                </c:pt>
                <c:pt idx="434">
                  <c:v>0.19713927145478644</c:v>
                </c:pt>
                <c:pt idx="435">
                  <c:v>0.20260496895451788</c:v>
                </c:pt>
                <c:pt idx="436">
                  <c:v>0.24599042418172329</c:v>
                </c:pt>
                <c:pt idx="437">
                  <c:v>0.19722043263193526</c:v>
                </c:pt>
                <c:pt idx="438">
                  <c:v>0.20001308092829093</c:v>
                </c:pt>
                <c:pt idx="439">
                  <c:v>0.18770051890289102</c:v>
                </c:pt>
                <c:pt idx="440">
                  <c:v>0.24066638119783798</c:v>
                </c:pt>
                <c:pt idx="441">
                  <c:v>0.30157236790810094</c:v>
                </c:pt>
                <c:pt idx="442">
                  <c:v>0.26052379465301778</c:v>
                </c:pt>
                <c:pt idx="443">
                  <c:v>0.30879696101793869</c:v>
                </c:pt>
                <c:pt idx="444">
                  <c:v>0.32307299083506774</c:v>
                </c:pt>
                <c:pt idx="445">
                  <c:v>0.3128948751292539</c:v>
                </c:pt>
                <c:pt idx="446">
                  <c:v>0.3463013661498428</c:v>
                </c:pt>
                <c:pt idx="447">
                  <c:v>0.39569150888426713</c:v>
                </c:pt>
                <c:pt idx="448">
                  <c:v>0.43782306229900214</c:v>
                </c:pt>
                <c:pt idx="449">
                  <c:v>0.43049159417710442</c:v>
                </c:pt>
                <c:pt idx="450">
                  <c:v>0.36207021174215903</c:v>
                </c:pt>
                <c:pt idx="451">
                  <c:v>0.23884454020806439</c:v>
                </c:pt>
                <c:pt idx="452">
                  <c:v>0.25871608493682996</c:v>
                </c:pt>
                <c:pt idx="453">
                  <c:v>0.33309482021511183</c:v>
                </c:pt>
                <c:pt idx="454">
                  <c:v>0.29542600423086807</c:v>
                </c:pt>
                <c:pt idx="455">
                  <c:v>0.3579300314743431</c:v>
                </c:pt>
                <c:pt idx="456">
                  <c:v>0.33192091314809152</c:v>
                </c:pt>
                <c:pt idx="457">
                  <c:v>0.24156671359879756</c:v>
                </c:pt>
                <c:pt idx="458">
                  <c:v>0.19778352805875743</c:v>
                </c:pt>
                <c:pt idx="459">
                  <c:v>0.16065783261141789</c:v>
                </c:pt>
                <c:pt idx="460">
                  <c:v>0.1759770690445347</c:v>
                </c:pt>
                <c:pt idx="461">
                  <c:v>0.21368458973588053</c:v>
                </c:pt>
                <c:pt idx="462">
                  <c:v>0.35641572437154728</c:v>
                </c:pt>
                <c:pt idx="463">
                  <c:v>0.37459892669240286</c:v>
                </c:pt>
                <c:pt idx="464">
                  <c:v>0.34908910138316229</c:v>
                </c:pt>
                <c:pt idx="465">
                  <c:v>0.33592114950325508</c:v>
                </c:pt>
                <c:pt idx="466">
                  <c:v>0.23660860706923928</c:v>
                </c:pt>
                <c:pt idx="467">
                  <c:v>0.19985492902664806</c:v>
                </c:pt>
                <c:pt idx="468">
                  <c:v>0.16965131847022527</c:v>
                </c:pt>
                <c:pt idx="469">
                  <c:v>0.16751718719766501</c:v>
                </c:pt>
                <c:pt idx="470">
                  <c:v>0.17691456452883542</c:v>
                </c:pt>
                <c:pt idx="471">
                  <c:v>0.17564065515087673</c:v>
                </c:pt>
                <c:pt idx="472">
                  <c:v>0.12884245839520825</c:v>
                </c:pt>
                <c:pt idx="473">
                  <c:v>0.11322529285857383</c:v>
                </c:pt>
                <c:pt idx="474">
                  <c:v>0.11107256660698038</c:v>
                </c:pt>
                <c:pt idx="475">
                  <c:v>0.13894114099452909</c:v>
                </c:pt>
                <c:pt idx="476">
                  <c:v>0.10186107927649608</c:v>
                </c:pt>
                <c:pt idx="477">
                  <c:v>8.8385828370880076E-2</c:v>
                </c:pt>
                <c:pt idx="478">
                  <c:v>0.12367121743640425</c:v>
                </c:pt>
                <c:pt idx="479">
                  <c:v>0.12756249035481759</c:v>
                </c:pt>
                <c:pt idx="480">
                  <c:v>0.25149888631868839</c:v>
                </c:pt>
                <c:pt idx="481">
                  <c:v>0.26140585099966673</c:v>
                </c:pt>
                <c:pt idx="482">
                  <c:v>0.28093317912329507</c:v>
                </c:pt>
                <c:pt idx="483">
                  <c:v>0.25189891049330321</c:v>
                </c:pt>
                <c:pt idx="484">
                  <c:v>0.17878569324851754</c:v>
                </c:pt>
                <c:pt idx="485">
                  <c:v>0.16712056821356616</c:v>
                </c:pt>
                <c:pt idx="486">
                  <c:v>0.23476409069519538</c:v>
                </c:pt>
                <c:pt idx="487">
                  <c:v>0.31311181074195776</c:v>
                </c:pt>
                <c:pt idx="488">
                  <c:v>0.38016893086991332</c:v>
                </c:pt>
                <c:pt idx="489">
                  <c:v>0.37729201442424087</c:v>
                </c:pt>
                <c:pt idx="490">
                  <c:v>0.28504161191414806</c:v>
                </c:pt>
                <c:pt idx="491">
                  <c:v>0.2649629922938686</c:v>
                </c:pt>
                <c:pt idx="492">
                  <c:v>0.25695884491854826</c:v>
                </c:pt>
                <c:pt idx="493">
                  <c:v>0.31897534551278883</c:v>
                </c:pt>
                <c:pt idx="494">
                  <c:v>0.38680948049426123</c:v>
                </c:pt>
                <c:pt idx="495">
                  <c:v>0.39620438871227748</c:v>
                </c:pt>
                <c:pt idx="496">
                  <c:v>0.36962262613089902</c:v>
                </c:pt>
                <c:pt idx="497">
                  <c:v>0.32922027006774501</c:v>
                </c:pt>
                <c:pt idx="498">
                  <c:v>0.26604036326491382</c:v>
                </c:pt>
                <c:pt idx="499">
                  <c:v>0.21612999103543162</c:v>
                </c:pt>
                <c:pt idx="500">
                  <c:v>0.18468312655140831</c:v>
                </c:pt>
                <c:pt idx="501">
                  <c:v>0.19051307755399619</c:v>
                </c:pt>
                <c:pt idx="502">
                  <c:v>0.20558144213129487</c:v>
                </c:pt>
                <c:pt idx="503">
                  <c:v>0.21453835309239275</c:v>
                </c:pt>
                <c:pt idx="504">
                  <c:v>0.35932496614068821</c:v>
                </c:pt>
                <c:pt idx="505">
                  <c:v>0.32600755137994186</c:v>
                </c:pt>
                <c:pt idx="506">
                  <c:v>0.3350745214230359</c:v>
                </c:pt>
                <c:pt idx="507">
                  <c:v>0.27687785914745228</c:v>
                </c:pt>
                <c:pt idx="508">
                  <c:v>0.22008794856016931</c:v>
                </c:pt>
                <c:pt idx="509">
                  <c:v>0.23478113371569115</c:v>
                </c:pt>
                <c:pt idx="510">
                  <c:v>0.25350390056855743</c:v>
                </c:pt>
                <c:pt idx="511">
                  <c:v>0.28155767528763892</c:v>
                </c:pt>
                <c:pt idx="512">
                  <c:v>0.26603212860803332</c:v>
                </c:pt>
                <c:pt idx="513">
                  <c:v>0.20294407663051134</c:v>
                </c:pt>
                <c:pt idx="514">
                  <c:v>0.15355668728071695</c:v>
                </c:pt>
                <c:pt idx="515">
                  <c:v>0.12269836668416817</c:v>
                </c:pt>
                <c:pt idx="516">
                  <c:v>0.14662017279067346</c:v>
                </c:pt>
                <c:pt idx="517">
                  <c:v>9.099987260675349E-2</c:v>
                </c:pt>
                <c:pt idx="518">
                  <c:v>9.9058231342223302E-2</c:v>
                </c:pt>
                <c:pt idx="519">
                  <c:v>9.6786662146855287E-2</c:v>
                </c:pt>
                <c:pt idx="520">
                  <c:v>0.10188382479814649</c:v>
                </c:pt>
                <c:pt idx="521">
                  <c:v>8.3627232050891176E-2</c:v>
                </c:pt>
                <c:pt idx="522">
                  <c:v>8.0878361494782738E-2</c:v>
                </c:pt>
                <c:pt idx="523">
                  <c:v>6.198342087253024E-2</c:v>
                </c:pt>
                <c:pt idx="524">
                  <c:v>5.6490452924622563E-2</c:v>
                </c:pt>
                <c:pt idx="525">
                  <c:v>6.5908707460038421E-2</c:v>
                </c:pt>
                <c:pt idx="526">
                  <c:v>6.6087253509733782E-2</c:v>
                </c:pt>
                <c:pt idx="527">
                  <c:v>6.0766311298237181E-2</c:v>
                </c:pt>
                <c:pt idx="528">
                  <c:v>5.7738588393103724E-2</c:v>
                </c:pt>
                <c:pt idx="529">
                  <c:v>4.6271065975121789E-2</c:v>
                </c:pt>
                <c:pt idx="530">
                  <c:v>4.0958415351877005E-2</c:v>
                </c:pt>
                <c:pt idx="531">
                  <c:v>5.7566396533739871E-2</c:v>
                </c:pt>
                <c:pt idx="532">
                  <c:v>6.2046210061848364E-2</c:v>
                </c:pt>
                <c:pt idx="533">
                  <c:v>4.682458956469223E-2</c:v>
                </c:pt>
                <c:pt idx="534">
                  <c:v>5.7436665342419702E-2</c:v>
                </c:pt>
                <c:pt idx="535">
                  <c:v>6.9154074098328452E-2</c:v>
                </c:pt>
                <c:pt idx="536">
                  <c:v>6.9735896737110725E-2</c:v>
                </c:pt>
                <c:pt idx="537">
                  <c:v>5.9634815581256287E-2</c:v>
                </c:pt>
                <c:pt idx="538">
                  <c:v>6.377601341355163E-2</c:v>
                </c:pt>
                <c:pt idx="539">
                  <c:v>7.1850138428806692E-2</c:v>
                </c:pt>
                <c:pt idx="540">
                  <c:v>5.6029251423473828E-2</c:v>
                </c:pt>
                <c:pt idx="541">
                  <c:v>6.5964923577923842E-2</c:v>
                </c:pt>
                <c:pt idx="542">
                  <c:v>7.5677838008752787E-2</c:v>
                </c:pt>
                <c:pt idx="543">
                  <c:v>0.12485884860344247</c:v>
                </c:pt>
                <c:pt idx="544">
                  <c:v>0.13967847861560467</c:v>
                </c:pt>
                <c:pt idx="545">
                  <c:v>0.1481499427043082</c:v>
                </c:pt>
                <c:pt idx="546">
                  <c:v>0.13360709942514074</c:v>
                </c:pt>
                <c:pt idx="547">
                  <c:v>4.5924029636447747E-2</c:v>
                </c:pt>
                <c:pt idx="548">
                  <c:v>3.266368724779798E-2</c:v>
                </c:pt>
                <c:pt idx="549">
                  <c:v>3.7364724323998434E-2</c:v>
                </c:pt>
                <c:pt idx="550">
                  <c:v>3.3725830855364583E-2</c:v>
                </c:pt>
                <c:pt idx="551">
                  <c:v>3.8247761919778155E-2</c:v>
                </c:pt>
                <c:pt idx="552">
                  <c:v>4.2922669761049304E-2</c:v>
                </c:pt>
                <c:pt idx="553">
                  <c:v>4.0835599421753965E-2</c:v>
                </c:pt>
                <c:pt idx="554">
                  <c:v>5.6518816487233385E-2</c:v>
                </c:pt>
                <c:pt idx="555">
                  <c:v>8.3477758521086076E-2</c:v>
                </c:pt>
                <c:pt idx="556">
                  <c:v>5.0203279083724864E-2</c:v>
                </c:pt>
                <c:pt idx="557">
                  <c:v>4.6229803591807318E-2</c:v>
                </c:pt>
                <c:pt idx="558">
                  <c:v>6.2305053417247215E-2</c:v>
                </c:pt>
                <c:pt idx="559">
                  <c:v>6.8296820460244517E-2</c:v>
                </c:pt>
                <c:pt idx="560">
                  <c:v>6.4172198752766044E-2</c:v>
                </c:pt>
                <c:pt idx="561">
                  <c:v>7.6669878589323573E-2</c:v>
                </c:pt>
                <c:pt idx="562">
                  <c:v>0.10204399183369059</c:v>
                </c:pt>
                <c:pt idx="563">
                  <c:v>0.1577222078969458</c:v>
                </c:pt>
                <c:pt idx="564">
                  <c:v>0.20594280120188835</c:v>
                </c:pt>
                <c:pt idx="565">
                  <c:v>0.21214571899520321</c:v>
                </c:pt>
                <c:pt idx="566">
                  <c:v>0.27927589730755592</c:v>
                </c:pt>
                <c:pt idx="567">
                  <c:v>0.30851865546313362</c:v>
                </c:pt>
                <c:pt idx="568">
                  <c:v>0.30341099301476893</c:v>
                </c:pt>
                <c:pt idx="569">
                  <c:v>0.29700607508834481</c:v>
                </c:pt>
                <c:pt idx="570">
                  <c:v>0.33552048796537676</c:v>
                </c:pt>
                <c:pt idx="571">
                  <c:v>0.35181659328477394</c:v>
                </c:pt>
                <c:pt idx="572">
                  <c:v>0.39632414111847175</c:v>
                </c:pt>
                <c:pt idx="573">
                  <c:v>0.38006508998659172</c:v>
                </c:pt>
                <c:pt idx="574">
                  <c:v>0.38117750134615913</c:v>
                </c:pt>
                <c:pt idx="575">
                  <c:v>0.41350904186116594</c:v>
                </c:pt>
                <c:pt idx="576">
                  <c:v>0.3457881173303321</c:v>
                </c:pt>
                <c:pt idx="577">
                  <c:v>0.29373416741608938</c:v>
                </c:pt>
                <c:pt idx="578">
                  <c:v>0.24003397585142672</c:v>
                </c:pt>
                <c:pt idx="579">
                  <c:v>0.26132614325753006</c:v>
                </c:pt>
                <c:pt idx="580">
                  <c:v>0.27404545499729949</c:v>
                </c:pt>
                <c:pt idx="581">
                  <c:v>0.2623796981894681</c:v>
                </c:pt>
                <c:pt idx="582">
                  <c:v>0.25406036340418742</c:v>
                </c:pt>
                <c:pt idx="583">
                  <c:v>0.20982335626394708</c:v>
                </c:pt>
                <c:pt idx="584">
                  <c:v>0.19420987136744458</c:v>
                </c:pt>
                <c:pt idx="585">
                  <c:v>0.13978682878384946</c:v>
                </c:pt>
                <c:pt idx="586">
                  <c:v>0.11199900039809726</c:v>
                </c:pt>
                <c:pt idx="587">
                  <c:v>9.2387675555986731E-2</c:v>
                </c:pt>
                <c:pt idx="588">
                  <c:v>6.5610749185667755E-2</c:v>
                </c:pt>
                <c:pt idx="589">
                  <c:v>6.8049062267186364E-2</c:v>
                </c:pt>
                <c:pt idx="590">
                  <c:v>5.8895623614856743E-2</c:v>
                </c:pt>
                <c:pt idx="591">
                  <c:v>7.4092244655902098E-2</c:v>
                </c:pt>
                <c:pt idx="592">
                  <c:v>0.10682718342321376</c:v>
                </c:pt>
                <c:pt idx="593">
                  <c:v>0.11647118521203334</c:v>
                </c:pt>
                <c:pt idx="594">
                  <c:v>0.12338141753748297</c:v>
                </c:pt>
                <c:pt idx="595">
                  <c:v>0.17851268177854718</c:v>
                </c:pt>
                <c:pt idx="596">
                  <c:v>0.22319270061608049</c:v>
                </c:pt>
                <c:pt idx="597">
                  <c:v>0.30992278178227994</c:v>
                </c:pt>
                <c:pt idx="598">
                  <c:v>0.24106667390264666</c:v>
                </c:pt>
                <c:pt idx="599">
                  <c:v>0.2004125550537994</c:v>
                </c:pt>
                <c:pt idx="600">
                  <c:v>0.18594268389309579</c:v>
                </c:pt>
                <c:pt idx="601">
                  <c:v>0.17335744201922546</c:v>
                </c:pt>
                <c:pt idx="602">
                  <c:v>0.15418284415138661</c:v>
                </c:pt>
                <c:pt idx="603">
                  <c:v>0.23135360361714535</c:v>
                </c:pt>
                <c:pt idx="604">
                  <c:v>0.23360196339866196</c:v>
                </c:pt>
                <c:pt idx="605">
                  <c:v>0.24567582419146811</c:v>
                </c:pt>
                <c:pt idx="606">
                  <c:v>0.19557284205713227</c:v>
                </c:pt>
                <c:pt idx="607">
                  <c:v>0.15494743564858587</c:v>
                </c:pt>
                <c:pt idx="608">
                  <c:v>0.18536520385851254</c:v>
                </c:pt>
                <c:pt idx="609">
                  <c:v>0.20529431842049989</c:v>
                </c:pt>
                <c:pt idx="610">
                  <c:v>0.13711891297621479</c:v>
                </c:pt>
                <c:pt idx="611">
                  <c:v>0.12873614393934435</c:v>
                </c:pt>
                <c:pt idx="612">
                  <c:v>0.16854275187396772</c:v>
                </c:pt>
                <c:pt idx="613">
                  <c:v>0.26007373303205855</c:v>
                </c:pt>
                <c:pt idx="614">
                  <c:v>0.35014805643126878</c:v>
                </c:pt>
                <c:pt idx="615">
                  <c:v>0.36372264269186272</c:v>
                </c:pt>
                <c:pt idx="616">
                  <c:v>0.36132360048664236</c:v>
                </c:pt>
                <c:pt idx="617">
                  <c:v>0.33753443827349455</c:v>
                </c:pt>
                <c:pt idx="618">
                  <c:v>0.3101602094912605</c:v>
                </c:pt>
                <c:pt idx="619">
                  <c:v>0.21784204441530206</c:v>
                </c:pt>
                <c:pt idx="620">
                  <c:v>0.2609641073938907</c:v>
                </c:pt>
                <c:pt idx="621">
                  <c:v>0.12744836134768067</c:v>
                </c:pt>
                <c:pt idx="622">
                  <c:v>0.22724435416072827</c:v>
                </c:pt>
                <c:pt idx="623">
                  <c:v>0.10215218833876415</c:v>
                </c:pt>
                <c:pt idx="624">
                  <c:v>7.4885798486848579E-2</c:v>
                </c:pt>
                <c:pt idx="625">
                  <c:v>8.7777603125771902E-2</c:v>
                </c:pt>
                <c:pt idx="626">
                  <c:v>8.4498792637575773E-2</c:v>
                </c:pt>
                <c:pt idx="627">
                  <c:v>8.030426308917861E-2</c:v>
                </c:pt>
                <c:pt idx="628">
                  <c:v>0.14599791525418668</c:v>
                </c:pt>
                <c:pt idx="629">
                  <c:v>0.14167411659530418</c:v>
                </c:pt>
                <c:pt idx="630">
                  <c:v>0.24497331965256958</c:v>
                </c:pt>
                <c:pt idx="631">
                  <c:v>0.33024482129412047</c:v>
                </c:pt>
                <c:pt idx="632">
                  <c:v>0.34400217633293451</c:v>
                </c:pt>
                <c:pt idx="633">
                  <c:v>0.34580936068045737</c:v>
                </c:pt>
                <c:pt idx="634">
                  <c:v>0.27398425652251396</c:v>
                </c:pt>
                <c:pt idx="635">
                  <c:v>0.33724671070075479</c:v>
                </c:pt>
                <c:pt idx="636">
                  <c:v>0.30205838565602949</c:v>
                </c:pt>
                <c:pt idx="637">
                  <c:v>0.24336287493550282</c:v>
                </c:pt>
                <c:pt idx="638">
                  <c:v>0.24374817583973471</c:v>
                </c:pt>
                <c:pt idx="639">
                  <c:v>0.27365310235877321</c:v>
                </c:pt>
                <c:pt idx="640">
                  <c:v>0.25189938553742774</c:v>
                </c:pt>
                <c:pt idx="641">
                  <c:v>0.25357922222082069</c:v>
                </c:pt>
                <c:pt idx="642">
                  <c:v>0.19208124303232998</c:v>
                </c:pt>
                <c:pt idx="643">
                  <c:v>0.14648467862647296</c:v>
                </c:pt>
                <c:pt idx="644">
                  <c:v>0.13951876010627912</c:v>
                </c:pt>
                <c:pt idx="645">
                  <c:v>0.11644712590275642</c:v>
                </c:pt>
                <c:pt idx="646">
                  <c:v>9.395228657814815E-2</c:v>
                </c:pt>
                <c:pt idx="647">
                  <c:v>9.8274383708467306E-2</c:v>
                </c:pt>
                <c:pt idx="648">
                  <c:v>9.1503823455641078E-2</c:v>
                </c:pt>
                <c:pt idx="649">
                  <c:v>9.5833172364292937E-2</c:v>
                </c:pt>
                <c:pt idx="650">
                  <c:v>0.11528442641377902</c:v>
                </c:pt>
                <c:pt idx="651">
                  <c:v>0.11689406016438583</c:v>
                </c:pt>
                <c:pt idx="652">
                  <c:v>0.12164227159776095</c:v>
                </c:pt>
                <c:pt idx="653">
                  <c:v>0.12987204724409449</c:v>
                </c:pt>
                <c:pt idx="654">
                  <c:v>0.12940837356777402</c:v>
                </c:pt>
                <c:pt idx="655">
                  <c:v>0.12354451288477343</c:v>
                </c:pt>
                <c:pt idx="656">
                  <c:v>0.13682315240014536</c:v>
                </c:pt>
                <c:pt idx="657">
                  <c:v>0.13306993283287238</c:v>
                </c:pt>
                <c:pt idx="658">
                  <c:v>0.14783293326154981</c:v>
                </c:pt>
                <c:pt idx="659">
                  <c:v>0.15551445313778767</c:v>
                </c:pt>
                <c:pt idx="660">
                  <c:v>0.17501944290446628</c:v>
                </c:pt>
                <c:pt idx="661">
                  <c:v>0.18044723503108384</c:v>
                </c:pt>
                <c:pt idx="662">
                  <c:v>0.23980054487441382</c:v>
                </c:pt>
                <c:pt idx="663">
                  <c:v>0.21400714918435018</c:v>
                </c:pt>
                <c:pt idx="664">
                  <c:v>0.17819992035045798</c:v>
                </c:pt>
                <c:pt idx="665">
                  <c:v>0.19830829692580845</c:v>
                </c:pt>
                <c:pt idx="666">
                  <c:v>0.19311657357617576</c:v>
                </c:pt>
                <c:pt idx="667">
                  <c:v>0.18586934296260227</c:v>
                </c:pt>
                <c:pt idx="668">
                  <c:v>0.14889708559314804</c:v>
                </c:pt>
                <c:pt idx="669">
                  <c:v>0.19514487619596704</c:v>
                </c:pt>
                <c:pt idx="670">
                  <c:v>0.22367949048754854</c:v>
                </c:pt>
                <c:pt idx="671">
                  <c:v>0.16977474212809116</c:v>
                </c:pt>
                <c:pt idx="672">
                  <c:v>0.17934068848686041</c:v>
                </c:pt>
                <c:pt idx="673">
                  <c:v>0.1531623917255408</c:v>
                </c:pt>
                <c:pt idx="674">
                  <c:v>0.14299754921604441</c:v>
                </c:pt>
                <c:pt idx="675">
                  <c:v>0.14199752724879</c:v>
                </c:pt>
                <c:pt idx="676">
                  <c:v>0.12862039693540936</c:v>
                </c:pt>
                <c:pt idx="677">
                  <c:v>0.13217666790089105</c:v>
                </c:pt>
                <c:pt idx="678">
                  <c:v>0.13388323055807078</c:v>
                </c:pt>
                <c:pt idx="679">
                  <c:v>0.15827801313652617</c:v>
                </c:pt>
                <c:pt idx="680">
                  <c:v>0.14783710275380854</c:v>
                </c:pt>
                <c:pt idx="681">
                  <c:v>0.14480639517270799</c:v>
                </c:pt>
                <c:pt idx="682">
                  <c:v>0.15834513704156056</c:v>
                </c:pt>
                <c:pt idx="683">
                  <c:v>0.15458807662369106</c:v>
                </c:pt>
                <c:pt idx="684">
                  <c:v>0.13288542057894809</c:v>
                </c:pt>
                <c:pt idx="685">
                  <c:v>0.11359196375041294</c:v>
                </c:pt>
                <c:pt idx="686">
                  <c:v>0.12329659691711967</c:v>
                </c:pt>
                <c:pt idx="687">
                  <c:v>0.13425580182896757</c:v>
                </c:pt>
                <c:pt idx="688">
                  <c:v>0.11819794580584551</c:v>
                </c:pt>
                <c:pt idx="689">
                  <c:v>0.11638452045022027</c:v>
                </c:pt>
                <c:pt idx="690">
                  <c:v>0.11964608628261431</c:v>
                </c:pt>
                <c:pt idx="691">
                  <c:v>0.10082589756357975</c:v>
                </c:pt>
                <c:pt idx="692">
                  <c:v>0.10257074602740703</c:v>
                </c:pt>
                <c:pt idx="693">
                  <c:v>0.10764294115631887</c:v>
                </c:pt>
                <c:pt idx="694">
                  <c:v>0.12790987191605907</c:v>
                </c:pt>
                <c:pt idx="695">
                  <c:v>0.11706939081820018</c:v>
                </c:pt>
                <c:pt idx="696">
                  <c:v>0.11723681772545708</c:v>
                </c:pt>
                <c:pt idx="697">
                  <c:v>0.13199391659329224</c:v>
                </c:pt>
                <c:pt idx="698">
                  <c:v>0.12981088059750631</c:v>
                </c:pt>
                <c:pt idx="699">
                  <c:v>0.13570203567568534</c:v>
                </c:pt>
                <c:pt idx="700">
                  <c:v>0.123943159935492</c:v>
                </c:pt>
                <c:pt idx="701">
                  <c:v>9.8010013788983094E-2</c:v>
                </c:pt>
                <c:pt idx="702">
                  <c:v>7.8296215796794438E-2</c:v>
                </c:pt>
                <c:pt idx="703">
                  <c:v>0.10436449481041257</c:v>
                </c:pt>
                <c:pt idx="704">
                  <c:v>0.11474806834729287</c:v>
                </c:pt>
                <c:pt idx="705">
                  <c:v>0.12450020395135587</c:v>
                </c:pt>
                <c:pt idx="706">
                  <c:v>0.12722879878879362</c:v>
                </c:pt>
                <c:pt idx="707">
                  <c:v>0.15588859839697561</c:v>
                </c:pt>
                <c:pt idx="708">
                  <c:v>0.17640448914315554</c:v>
                </c:pt>
                <c:pt idx="709">
                  <c:v>0.1862733751892679</c:v>
                </c:pt>
                <c:pt idx="710">
                  <c:v>0.19286830938732971</c:v>
                </c:pt>
                <c:pt idx="711">
                  <c:v>0.18442003196644283</c:v>
                </c:pt>
                <c:pt idx="712">
                  <c:v>0.1980631013514533</c:v>
                </c:pt>
                <c:pt idx="713">
                  <c:v>0.20154831553861297</c:v>
                </c:pt>
                <c:pt idx="714">
                  <c:v>0.20441141393725598</c:v>
                </c:pt>
                <c:pt idx="715">
                  <c:v>0.17831863808838075</c:v>
                </c:pt>
                <c:pt idx="716">
                  <c:v>0.19626988128070538</c:v>
                </c:pt>
                <c:pt idx="717">
                  <c:v>0.19428725858108381</c:v>
                </c:pt>
                <c:pt idx="718">
                  <c:v>0.17526307677217762</c:v>
                </c:pt>
                <c:pt idx="719">
                  <c:v>0.16470607009816662</c:v>
                </c:pt>
                <c:pt idx="720">
                  <c:v>0.14435400151000377</c:v>
                </c:pt>
                <c:pt idx="721">
                  <c:v>0.13779183290190838</c:v>
                </c:pt>
                <c:pt idx="722">
                  <c:v>0.14860068656542735</c:v>
                </c:pt>
                <c:pt idx="723">
                  <c:v>0.13033625420848111</c:v>
                </c:pt>
                <c:pt idx="724">
                  <c:v>0.11596283807655673</c:v>
                </c:pt>
                <c:pt idx="725">
                  <c:v>0.13121670725472626</c:v>
                </c:pt>
                <c:pt idx="726">
                  <c:v>0.18350532217437232</c:v>
                </c:pt>
                <c:pt idx="727">
                  <c:v>0.19124218539128254</c:v>
                </c:pt>
                <c:pt idx="728">
                  <c:v>0.21058829315206226</c:v>
                </c:pt>
                <c:pt idx="729">
                  <c:v>0.20484252407790929</c:v>
                </c:pt>
                <c:pt idx="730">
                  <c:v>0.17839511775205374</c:v>
                </c:pt>
                <c:pt idx="731">
                  <c:v>0.17861245086670174</c:v>
                </c:pt>
                <c:pt idx="732">
                  <c:v>0.14148333370295624</c:v>
                </c:pt>
                <c:pt idx="733">
                  <c:v>0.1215101084645696</c:v>
                </c:pt>
                <c:pt idx="734">
                  <c:v>0.12712472796133517</c:v>
                </c:pt>
                <c:pt idx="735">
                  <c:v>0.12137071019985538</c:v>
                </c:pt>
                <c:pt idx="736">
                  <c:v>0.12968288247328938</c:v>
                </c:pt>
                <c:pt idx="737">
                  <c:v>0.11521352988507493</c:v>
                </c:pt>
                <c:pt idx="738">
                  <c:v>0.14044699592715121</c:v>
                </c:pt>
                <c:pt idx="739">
                  <c:v>0.1304600396351149</c:v>
                </c:pt>
                <c:pt idx="740">
                  <c:v>0.13158547031341677</c:v>
                </c:pt>
                <c:pt idx="741">
                  <c:v>0.13869332445889054</c:v>
                </c:pt>
                <c:pt idx="742">
                  <c:v>0.14748384073112147</c:v>
                </c:pt>
                <c:pt idx="743">
                  <c:v>0.14842179965909016</c:v>
                </c:pt>
                <c:pt idx="744">
                  <c:v>0.15161538487607984</c:v>
                </c:pt>
                <c:pt idx="745">
                  <c:v>0.1579886830427108</c:v>
                </c:pt>
                <c:pt idx="746">
                  <c:v>0.15825119489122028</c:v>
                </c:pt>
                <c:pt idx="747">
                  <c:v>0.12783439168589669</c:v>
                </c:pt>
                <c:pt idx="748">
                  <c:v>0.12358167918454936</c:v>
                </c:pt>
                <c:pt idx="749">
                  <c:v>0.13244254975490763</c:v>
                </c:pt>
                <c:pt idx="750">
                  <c:v>8.6180504146852535E-2</c:v>
                </c:pt>
                <c:pt idx="751">
                  <c:v>9.3939804644037991E-2</c:v>
                </c:pt>
                <c:pt idx="752">
                  <c:v>8.2341216821601365E-2</c:v>
                </c:pt>
                <c:pt idx="753">
                  <c:v>8.424039107890692E-2</c:v>
                </c:pt>
                <c:pt idx="754">
                  <c:v>0.10290415278590138</c:v>
                </c:pt>
                <c:pt idx="755">
                  <c:v>0.13158029173463931</c:v>
                </c:pt>
                <c:pt idx="756">
                  <c:v>0.11899545999223642</c:v>
                </c:pt>
                <c:pt idx="757">
                  <c:v>0.18051796546896873</c:v>
                </c:pt>
                <c:pt idx="758">
                  <c:v>0.15359390171842444</c:v>
                </c:pt>
                <c:pt idx="759">
                  <c:v>0.1419707089729173</c:v>
                </c:pt>
                <c:pt idx="760">
                  <c:v>0.15155756081937308</c:v>
                </c:pt>
                <c:pt idx="761">
                  <c:v>0.16913320806045715</c:v>
                </c:pt>
                <c:pt idx="762">
                  <c:v>0.21820854338419665</c:v>
                </c:pt>
                <c:pt idx="763">
                  <c:v>0.25105964943264603</c:v>
                </c:pt>
                <c:pt idx="764">
                  <c:v>0.17440608918511658</c:v>
                </c:pt>
                <c:pt idx="765">
                  <c:v>0.20923637996290009</c:v>
                </c:pt>
                <c:pt idx="766">
                  <c:v>0.21167439717889253</c:v>
                </c:pt>
                <c:pt idx="767">
                  <c:v>0.17848382957295778</c:v>
                </c:pt>
                <c:pt idx="768">
                  <c:v>0.16641871295854591</c:v>
                </c:pt>
                <c:pt idx="769">
                  <c:v>0.21303051423433975</c:v>
                </c:pt>
                <c:pt idx="770">
                  <c:v>0.15703010992237218</c:v>
                </c:pt>
                <c:pt idx="771">
                  <c:v>0.13505311077389984</c:v>
                </c:pt>
                <c:pt idx="772">
                  <c:v>0.19507601514945455</c:v>
                </c:pt>
                <c:pt idx="773">
                  <c:v>0.18115957062775151</c:v>
                </c:pt>
                <c:pt idx="774">
                  <c:v>0.16838334605672675</c:v>
                </c:pt>
                <c:pt idx="775">
                  <c:v>0.16064195364480516</c:v>
                </c:pt>
                <c:pt idx="776">
                  <c:v>0.17869329489552618</c:v>
                </c:pt>
                <c:pt idx="777">
                  <c:v>0.20050227325455974</c:v>
                </c:pt>
                <c:pt idx="778">
                  <c:v>0.19950991982460289</c:v>
                </c:pt>
                <c:pt idx="779">
                  <c:v>0.23559723267208632</c:v>
                </c:pt>
                <c:pt idx="780">
                  <c:v>0.23749550328668864</c:v>
                </c:pt>
                <c:pt idx="781">
                  <c:v>0.19127526968245412</c:v>
                </c:pt>
                <c:pt idx="782">
                  <c:v>0.16994375439418796</c:v>
                </c:pt>
                <c:pt idx="783">
                  <c:v>0.2377864065934896</c:v>
                </c:pt>
                <c:pt idx="784">
                  <c:v>0.24516464635318969</c:v>
                </c:pt>
                <c:pt idx="785">
                  <c:v>0.1712081751292891</c:v>
                </c:pt>
                <c:pt idx="786">
                  <c:v>0.14880644605308516</c:v>
                </c:pt>
                <c:pt idx="787">
                  <c:v>0.19082446286185631</c:v>
                </c:pt>
                <c:pt idx="788">
                  <c:v>0.22909275779661267</c:v>
                </c:pt>
                <c:pt idx="789">
                  <c:v>0.19981524723512356</c:v>
                </c:pt>
                <c:pt idx="790">
                  <c:v>0.24747543256767349</c:v>
                </c:pt>
                <c:pt idx="791">
                  <c:v>0.25018385371670104</c:v>
                </c:pt>
                <c:pt idx="792">
                  <c:v>0.22464009834750701</c:v>
                </c:pt>
                <c:pt idx="793">
                  <c:v>0.32488869813187454</c:v>
                </c:pt>
                <c:pt idx="794">
                  <c:v>0.41469854054955946</c:v>
                </c:pt>
                <c:pt idx="795">
                  <c:v>0.30471389200205801</c:v>
                </c:pt>
                <c:pt idx="796">
                  <c:v>0.14657829512071729</c:v>
                </c:pt>
                <c:pt idx="797">
                  <c:v>0.10270498375321771</c:v>
                </c:pt>
                <c:pt idx="798">
                  <c:v>0.1175963782134381</c:v>
                </c:pt>
                <c:pt idx="799">
                  <c:v>0.15990341561760085</c:v>
                </c:pt>
                <c:pt idx="800">
                  <c:v>0.23138363985345717</c:v>
                </c:pt>
                <c:pt idx="801">
                  <c:v>0.22872838205277468</c:v>
                </c:pt>
                <c:pt idx="802">
                  <c:v>0.27068805773638271</c:v>
                </c:pt>
                <c:pt idx="803">
                  <c:v>0.28071281438530388</c:v>
                </c:pt>
                <c:pt idx="804">
                  <c:v>0.36570056911181575</c:v>
                </c:pt>
                <c:pt idx="805">
                  <c:v>0.36967512495194155</c:v>
                </c:pt>
                <c:pt idx="806">
                  <c:v>0.39765884745918972</c:v>
                </c:pt>
                <c:pt idx="807">
                  <c:v>0.36066509929711371</c:v>
                </c:pt>
                <c:pt idx="808">
                  <c:v>0.41920927986756185</c:v>
                </c:pt>
                <c:pt idx="809">
                  <c:v>0.37553437208886847</c:v>
                </c:pt>
                <c:pt idx="810">
                  <c:v>0.31153245168229743</c:v>
                </c:pt>
                <c:pt idx="811">
                  <c:v>0.24934907322268351</c:v>
                </c:pt>
                <c:pt idx="812">
                  <c:v>0.20158631719815909</c:v>
                </c:pt>
                <c:pt idx="813">
                  <c:v>0.18422314146663576</c:v>
                </c:pt>
                <c:pt idx="814">
                  <c:v>0.16590588916615967</c:v>
                </c:pt>
                <c:pt idx="815">
                  <c:v>0.21491216561930127</c:v>
                </c:pt>
                <c:pt idx="816">
                  <c:v>0.25557468965470487</c:v>
                </c:pt>
                <c:pt idx="817">
                  <c:v>0.19196212406520685</c:v>
                </c:pt>
                <c:pt idx="818">
                  <c:v>0.11761306549163049</c:v>
                </c:pt>
                <c:pt idx="819">
                  <c:v>9.1868596620313978E-2</c:v>
                </c:pt>
                <c:pt idx="820">
                  <c:v>8.6980242162568056E-2</c:v>
                </c:pt>
                <c:pt idx="821">
                  <c:v>8.0596724411200402E-2</c:v>
                </c:pt>
                <c:pt idx="822">
                  <c:v>8.5628449740130175E-2</c:v>
                </c:pt>
                <c:pt idx="823">
                  <c:v>8.664232960266062E-2</c:v>
                </c:pt>
                <c:pt idx="824">
                  <c:v>0.14128607552020794</c:v>
                </c:pt>
                <c:pt idx="825">
                  <c:v>0.17315107606505759</c:v>
                </c:pt>
                <c:pt idx="826">
                  <c:v>0.27650019382773644</c:v>
                </c:pt>
                <c:pt idx="827">
                  <c:v>0.32865890639960349</c:v>
                </c:pt>
                <c:pt idx="828">
                  <c:v>0.3476022102830203</c:v>
                </c:pt>
                <c:pt idx="829">
                  <c:v>0.36563270291393618</c:v>
                </c:pt>
                <c:pt idx="830">
                  <c:v>0.38108715457030062</c:v>
                </c:pt>
                <c:pt idx="831">
                  <c:v>0.40757622602064103</c:v>
                </c:pt>
                <c:pt idx="832">
                  <c:v>0.43108582750442798</c:v>
                </c:pt>
                <c:pt idx="833">
                  <c:v>0.35451637623696397</c:v>
                </c:pt>
                <c:pt idx="834">
                  <c:v>0.32210565370205352</c:v>
                </c:pt>
                <c:pt idx="835">
                  <c:v>0.39966839003361321</c:v>
                </c:pt>
                <c:pt idx="836">
                  <c:v>0.35452067765380285</c:v>
                </c:pt>
                <c:pt idx="837">
                  <c:v>0.3870626918701594</c:v>
                </c:pt>
                <c:pt idx="838">
                  <c:v>0.29725499077447759</c:v>
                </c:pt>
                <c:pt idx="839">
                  <c:v>0.26231916622016349</c:v>
                </c:pt>
                <c:pt idx="840">
                  <c:v>0.35109256361212543</c:v>
                </c:pt>
                <c:pt idx="841">
                  <c:v>0.3075395148339109</c:v>
                </c:pt>
                <c:pt idx="842">
                  <c:v>0.26558866886521482</c:v>
                </c:pt>
                <c:pt idx="843">
                  <c:v>0.18916951607364163</c:v>
                </c:pt>
                <c:pt idx="844">
                  <c:v>0.14486804473501136</c:v>
                </c:pt>
                <c:pt idx="845">
                  <c:v>0.1632719815818939</c:v>
                </c:pt>
                <c:pt idx="846">
                  <c:v>0.11655593088894357</c:v>
                </c:pt>
                <c:pt idx="847">
                  <c:v>0.15418120223427639</c:v>
                </c:pt>
                <c:pt idx="848">
                  <c:v>0.1482636682147804</c:v>
                </c:pt>
                <c:pt idx="849">
                  <c:v>0.15346670577149882</c:v>
                </c:pt>
                <c:pt idx="850">
                  <c:v>0.23428471721644412</c:v>
                </c:pt>
                <c:pt idx="851">
                  <c:v>0.24481735852874958</c:v>
                </c:pt>
                <c:pt idx="852">
                  <c:v>0.26109941985266005</c:v>
                </c:pt>
                <c:pt idx="853">
                  <c:v>0.33181322270961594</c:v>
                </c:pt>
                <c:pt idx="854">
                  <c:v>0.2894141916523017</c:v>
                </c:pt>
                <c:pt idx="855">
                  <c:v>0.20064264351074593</c:v>
                </c:pt>
                <c:pt idx="856">
                  <c:v>0.1375602726819265</c:v>
                </c:pt>
                <c:pt idx="857">
                  <c:v>0.23500233426704015</c:v>
                </c:pt>
                <c:pt idx="858">
                  <c:v>0.1175552314147109</c:v>
                </c:pt>
                <c:pt idx="859">
                  <c:v>0.17186330574548941</c:v>
                </c:pt>
                <c:pt idx="860">
                  <c:v>0.12470261962042235</c:v>
                </c:pt>
                <c:pt idx="861">
                  <c:v>0.11371685080585049</c:v>
                </c:pt>
                <c:pt idx="862">
                  <c:v>0.10264492801610532</c:v>
                </c:pt>
                <c:pt idx="863">
                  <c:v>9.1037756032374545E-2</c:v>
                </c:pt>
                <c:pt idx="864">
                  <c:v>0.11395909741211022</c:v>
                </c:pt>
                <c:pt idx="865">
                  <c:v>0.10668235331275119</c:v>
                </c:pt>
                <c:pt idx="866">
                  <c:v>0.16811876163085773</c:v>
                </c:pt>
                <c:pt idx="867">
                  <c:v>0.10261394296324233</c:v>
                </c:pt>
                <c:pt idx="868">
                  <c:v>0.14600720848351006</c:v>
                </c:pt>
                <c:pt idx="869">
                  <c:v>0.1281401739777259</c:v>
                </c:pt>
                <c:pt idx="870">
                  <c:v>0.2725392690820112</c:v>
                </c:pt>
                <c:pt idx="871">
                  <c:v>0.32941976411786272</c:v>
                </c:pt>
                <c:pt idx="872">
                  <c:v>0.23176639988185441</c:v>
                </c:pt>
                <c:pt idx="873">
                  <c:v>0.19878135603490063</c:v>
                </c:pt>
                <c:pt idx="874">
                  <c:v>0.25045833773750642</c:v>
                </c:pt>
                <c:pt idx="875">
                  <c:v>0.240821379274886</c:v>
                </c:pt>
                <c:pt idx="876">
                  <c:v>0.23464207368939427</c:v>
                </c:pt>
                <c:pt idx="877">
                  <c:v>0.27024700261426127</c:v>
                </c:pt>
                <c:pt idx="878">
                  <c:v>0.3130343231872289</c:v>
                </c:pt>
                <c:pt idx="879">
                  <c:v>0.21786490698166566</c:v>
                </c:pt>
                <c:pt idx="880">
                  <c:v>0.25043597106720489</c:v>
                </c:pt>
                <c:pt idx="881">
                  <c:v>0.30682742751955822</c:v>
                </c:pt>
                <c:pt idx="882">
                  <c:v>0.29818112849691797</c:v>
                </c:pt>
                <c:pt idx="883">
                  <c:v>0.28677068670308975</c:v>
                </c:pt>
                <c:pt idx="884">
                  <c:v>0.30239160228316692</c:v>
                </c:pt>
                <c:pt idx="885">
                  <c:v>0.21430532817512871</c:v>
                </c:pt>
                <c:pt idx="886">
                  <c:v>0.19628023970777492</c:v>
                </c:pt>
                <c:pt idx="887">
                  <c:v>0.17076785378413964</c:v>
                </c:pt>
                <c:pt idx="888">
                  <c:v>0.12403112255022465</c:v>
                </c:pt>
                <c:pt idx="889">
                  <c:v>0.1575786037720534</c:v>
                </c:pt>
                <c:pt idx="890">
                  <c:v>0.11786562558877217</c:v>
                </c:pt>
                <c:pt idx="891">
                  <c:v>0.16935570187098845</c:v>
                </c:pt>
                <c:pt idx="892">
                  <c:v>0.22743638619103809</c:v>
                </c:pt>
                <c:pt idx="893">
                  <c:v>0.27593595025690054</c:v>
                </c:pt>
                <c:pt idx="894">
                  <c:v>0.30650513467090595</c:v>
                </c:pt>
                <c:pt idx="895">
                  <c:v>0.37980152474299239</c:v>
                </c:pt>
                <c:pt idx="896">
                  <c:v>0.29805318430264693</c:v>
                </c:pt>
                <c:pt idx="897">
                  <c:v>0.27072232341975794</c:v>
                </c:pt>
                <c:pt idx="898">
                  <c:v>0.32192391577078228</c:v>
                </c:pt>
                <c:pt idx="899">
                  <c:v>0.32743323524512796</c:v>
                </c:pt>
                <c:pt idx="900">
                  <c:v>0.31561014810532095</c:v>
                </c:pt>
                <c:pt idx="901">
                  <c:v>0.40764854734679123</c:v>
                </c:pt>
                <c:pt idx="902">
                  <c:v>0.35689496473992788</c:v>
                </c:pt>
                <c:pt idx="903">
                  <c:v>0.24538155560108391</c:v>
                </c:pt>
                <c:pt idx="904">
                  <c:v>0.23247630073705566</c:v>
                </c:pt>
                <c:pt idx="905">
                  <c:v>0.27712852442875913</c:v>
                </c:pt>
                <c:pt idx="906">
                  <c:v>0.27629604934155694</c:v>
                </c:pt>
                <c:pt idx="907">
                  <c:v>0.28677611291742744</c:v>
                </c:pt>
                <c:pt idx="908">
                  <c:v>0.29920684899223848</c:v>
                </c:pt>
                <c:pt idx="909">
                  <c:v>0.23202090011302365</c:v>
                </c:pt>
                <c:pt idx="910">
                  <c:v>0.19590772045123481</c:v>
                </c:pt>
                <c:pt idx="911">
                  <c:v>0.16395832102267133</c:v>
                </c:pt>
                <c:pt idx="912">
                  <c:v>0.1848062427050681</c:v>
                </c:pt>
                <c:pt idx="913">
                  <c:v>0.16936714516697021</c:v>
                </c:pt>
                <c:pt idx="914">
                  <c:v>0.20530422857697644</c:v>
                </c:pt>
                <c:pt idx="915">
                  <c:v>0.3045779971635072</c:v>
                </c:pt>
                <c:pt idx="916">
                  <c:v>0.30367442213686452</c:v>
                </c:pt>
                <c:pt idx="917">
                  <c:v>0.31077189723581278</c:v>
                </c:pt>
                <c:pt idx="918">
                  <c:v>0.33538419192798247</c:v>
                </c:pt>
                <c:pt idx="919">
                  <c:v>0.39783309567915431</c:v>
                </c:pt>
                <c:pt idx="920">
                  <c:v>0.44706131975387225</c:v>
                </c:pt>
                <c:pt idx="921">
                  <c:v>0.45393621678659229</c:v>
                </c:pt>
                <c:pt idx="922">
                  <c:v>0.44758016553026087</c:v>
                </c:pt>
                <c:pt idx="923">
                  <c:v>0.4800872799088976</c:v>
                </c:pt>
                <c:pt idx="924">
                  <c:v>0.42345438131570518</c:v>
                </c:pt>
                <c:pt idx="925">
                  <c:v>0.44069686723246076</c:v>
                </c:pt>
                <c:pt idx="926">
                  <c:v>0.46841837950082477</c:v>
                </c:pt>
                <c:pt idx="927">
                  <c:v>0.53447724986687173</c:v>
                </c:pt>
                <c:pt idx="928">
                  <c:v>0.53344144272578231</c:v>
                </c:pt>
                <c:pt idx="929">
                  <c:v>0.56482072958573448</c:v>
                </c:pt>
                <c:pt idx="930">
                  <c:v>0.51497829888324587</c:v>
                </c:pt>
                <c:pt idx="931">
                  <c:v>0.48573398876715257</c:v>
                </c:pt>
                <c:pt idx="932">
                  <c:v>0.52107095298749417</c:v>
                </c:pt>
                <c:pt idx="933">
                  <c:v>0.52261781936446627</c:v>
                </c:pt>
                <c:pt idx="934">
                  <c:v>0.56228668367587364</c:v>
                </c:pt>
                <c:pt idx="935">
                  <c:v>0.55878891586800228</c:v>
                </c:pt>
                <c:pt idx="936">
                  <c:v>0.48704756882979927</c:v>
                </c:pt>
                <c:pt idx="937">
                  <c:v>0.49987209270167871</c:v>
                </c:pt>
                <c:pt idx="938">
                  <c:v>0.47987613905304477</c:v>
                </c:pt>
                <c:pt idx="939">
                  <c:v>0.47155479266419731</c:v>
                </c:pt>
                <c:pt idx="940">
                  <c:v>0.45507922670632273</c:v>
                </c:pt>
                <c:pt idx="941">
                  <c:v>0.42094014253044726</c:v>
                </c:pt>
                <c:pt idx="942">
                  <c:v>0.41861142524245226</c:v>
                </c:pt>
                <c:pt idx="943">
                  <c:v>0.39948180707016712</c:v>
                </c:pt>
                <c:pt idx="944">
                  <c:v>0.37305682344380497</c:v>
                </c:pt>
                <c:pt idx="945">
                  <c:v>0.36997450287171263</c:v>
                </c:pt>
                <c:pt idx="946">
                  <c:v>0.39513289031082821</c:v>
                </c:pt>
                <c:pt idx="947">
                  <c:v>0.39394233721637018</c:v>
                </c:pt>
                <c:pt idx="948">
                  <c:v>0.38836377883343942</c:v>
                </c:pt>
                <c:pt idx="949">
                  <c:v>0.33999597045929819</c:v>
                </c:pt>
                <c:pt idx="950">
                  <c:v>0.32933217631537004</c:v>
                </c:pt>
                <c:pt idx="951">
                  <c:v>0.32396190220271553</c:v>
                </c:pt>
                <c:pt idx="952">
                  <c:v>0.37005028117060518</c:v>
                </c:pt>
                <c:pt idx="953">
                  <c:v>0.36653597254066667</c:v>
                </c:pt>
                <c:pt idx="954">
                  <c:v>0.33708081035602133</c:v>
                </c:pt>
                <c:pt idx="955">
                  <c:v>0.33450086985336758</c:v>
                </c:pt>
                <c:pt idx="956">
                  <c:v>0.36888031417406891</c:v>
                </c:pt>
                <c:pt idx="957">
                  <c:v>0.38229709462987044</c:v>
                </c:pt>
                <c:pt idx="958">
                  <c:v>0.37941384005326922</c:v>
                </c:pt>
                <c:pt idx="959">
                  <c:v>0.34503693465988872</c:v>
                </c:pt>
                <c:pt idx="960">
                  <c:v>0.3756000224132886</c:v>
                </c:pt>
                <c:pt idx="961">
                  <c:v>0.36914266930788991</c:v>
                </c:pt>
                <c:pt idx="962">
                  <c:v>0.35744534840672887</c:v>
                </c:pt>
                <c:pt idx="963">
                  <c:v>0.36018168186494165</c:v>
                </c:pt>
                <c:pt idx="964">
                  <c:v>0.37685961711055771</c:v>
                </c:pt>
                <c:pt idx="965">
                  <c:v>0.37530375552282769</c:v>
                </c:pt>
                <c:pt idx="966">
                  <c:v>0.40061455375017457</c:v>
                </c:pt>
                <c:pt idx="967">
                  <c:v>0.39682967757401416</c:v>
                </c:pt>
                <c:pt idx="968">
                  <c:v>0.39712630925620418</c:v>
                </c:pt>
                <c:pt idx="969">
                  <c:v>0.34245614035087718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A7-463B-8A53-ABB7D417A3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9788559"/>
        <c:axId val="539790479"/>
      </c:lineChart>
      <c:dateAx>
        <c:axId val="539788559"/>
        <c:scaling>
          <c:orientation val="minMax"/>
        </c:scaling>
        <c:delete val="0"/>
        <c:axPos val="b"/>
        <c:numFmt formatCode="[$-409]d\-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790479"/>
        <c:crosses val="autoZero"/>
        <c:auto val="1"/>
        <c:lblOffset val="100"/>
        <c:baseTimeUnit val="days"/>
      </c:dateAx>
      <c:valAx>
        <c:axId val="539790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788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Sheet1!$AP$3</c:f>
          <c:strCache>
            <c:ptCount val="1"/>
            <c:pt idx="0">
              <c:v>WTI - Manage Money Short (%) - Last Value: 35.1%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Sheet1!$B$9:$B$978</c:f>
              <c:numCache>
                <c:formatCode>m/d/yyyy</c:formatCode>
                <c:ptCount val="970"/>
                <c:pt idx="0">
                  <c:v>39448</c:v>
                </c:pt>
                <c:pt idx="1">
                  <c:v>39455</c:v>
                </c:pt>
                <c:pt idx="2">
                  <c:v>39462</c:v>
                </c:pt>
                <c:pt idx="3">
                  <c:v>39469</c:v>
                </c:pt>
                <c:pt idx="4">
                  <c:v>39476</c:v>
                </c:pt>
                <c:pt idx="5">
                  <c:v>39483</c:v>
                </c:pt>
                <c:pt idx="6">
                  <c:v>39490</c:v>
                </c:pt>
                <c:pt idx="7">
                  <c:v>39497</c:v>
                </c:pt>
                <c:pt idx="8">
                  <c:v>39504</c:v>
                </c:pt>
                <c:pt idx="9">
                  <c:v>39511</c:v>
                </c:pt>
                <c:pt idx="10">
                  <c:v>39518</c:v>
                </c:pt>
                <c:pt idx="11">
                  <c:v>39525</c:v>
                </c:pt>
                <c:pt idx="12">
                  <c:v>39532</c:v>
                </c:pt>
                <c:pt idx="13">
                  <c:v>39539</c:v>
                </c:pt>
                <c:pt idx="14">
                  <c:v>39546</c:v>
                </c:pt>
                <c:pt idx="15">
                  <c:v>39553</c:v>
                </c:pt>
                <c:pt idx="16">
                  <c:v>39560</c:v>
                </c:pt>
                <c:pt idx="17">
                  <c:v>39567</c:v>
                </c:pt>
                <c:pt idx="18">
                  <c:v>39574</c:v>
                </c:pt>
                <c:pt idx="19">
                  <c:v>39581</c:v>
                </c:pt>
                <c:pt idx="20">
                  <c:v>39588</c:v>
                </c:pt>
                <c:pt idx="21">
                  <c:v>39595</c:v>
                </c:pt>
                <c:pt idx="22">
                  <c:v>39602</c:v>
                </c:pt>
                <c:pt idx="23">
                  <c:v>39609</c:v>
                </c:pt>
                <c:pt idx="24">
                  <c:v>39616</c:v>
                </c:pt>
                <c:pt idx="25">
                  <c:v>39623</c:v>
                </c:pt>
                <c:pt idx="26">
                  <c:v>39630</c:v>
                </c:pt>
                <c:pt idx="27">
                  <c:v>39637</c:v>
                </c:pt>
                <c:pt idx="28">
                  <c:v>39644</c:v>
                </c:pt>
                <c:pt idx="29">
                  <c:v>39651</c:v>
                </c:pt>
                <c:pt idx="30">
                  <c:v>39658</c:v>
                </c:pt>
                <c:pt idx="31">
                  <c:v>39665</c:v>
                </c:pt>
                <c:pt idx="32">
                  <c:v>39672</c:v>
                </c:pt>
                <c:pt idx="33">
                  <c:v>39679</c:v>
                </c:pt>
                <c:pt idx="34">
                  <c:v>39686</c:v>
                </c:pt>
                <c:pt idx="35">
                  <c:v>39693</c:v>
                </c:pt>
                <c:pt idx="36">
                  <c:v>39700</c:v>
                </c:pt>
                <c:pt idx="37">
                  <c:v>39707</c:v>
                </c:pt>
                <c:pt idx="38">
                  <c:v>39714</c:v>
                </c:pt>
                <c:pt idx="39">
                  <c:v>39721</c:v>
                </c:pt>
                <c:pt idx="40">
                  <c:v>39728</c:v>
                </c:pt>
                <c:pt idx="41">
                  <c:v>39735</c:v>
                </c:pt>
                <c:pt idx="42">
                  <c:v>39742</c:v>
                </c:pt>
                <c:pt idx="43">
                  <c:v>39749</c:v>
                </c:pt>
                <c:pt idx="44">
                  <c:v>39756</c:v>
                </c:pt>
                <c:pt idx="45">
                  <c:v>39763</c:v>
                </c:pt>
                <c:pt idx="46">
                  <c:v>39770</c:v>
                </c:pt>
                <c:pt idx="47">
                  <c:v>39777</c:v>
                </c:pt>
                <c:pt idx="48">
                  <c:v>39784</c:v>
                </c:pt>
                <c:pt idx="49">
                  <c:v>39791</c:v>
                </c:pt>
                <c:pt idx="50">
                  <c:v>39798</c:v>
                </c:pt>
                <c:pt idx="51">
                  <c:v>39805</c:v>
                </c:pt>
                <c:pt idx="52">
                  <c:v>39812</c:v>
                </c:pt>
                <c:pt idx="53">
                  <c:v>39819</c:v>
                </c:pt>
                <c:pt idx="54">
                  <c:v>39826</c:v>
                </c:pt>
                <c:pt idx="55">
                  <c:v>39833</c:v>
                </c:pt>
                <c:pt idx="56">
                  <c:v>39840</c:v>
                </c:pt>
                <c:pt idx="57">
                  <c:v>39847</c:v>
                </c:pt>
                <c:pt idx="58">
                  <c:v>39854</c:v>
                </c:pt>
                <c:pt idx="59">
                  <c:v>39861</c:v>
                </c:pt>
                <c:pt idx="60">
                  <c:v>39868</c:v>
                </c:pt>
                <c:pt idx="61">
                  <c:v>39875</c:v>
                </c:pt>
                <c:pt idx="62">
                  <c:v>39882</c:v>
                </c:pt>
                <c:pt idx="63">
                  <c:v>39889</c:v>
                </c:pt>
                <c:pt idx="64">
                  <c:v>39896</c:v>
                </c:pt>
                <c:pt idx="65">
                  <c:v>39903</c:v>
                </c:pt>
                <c:pt idx="66">
                  <c:v>39910</c:v>
                </c:pt>
                <c:pt idx="67">
                  <c:v>39917</c:v>
                </c:pt>
                <c:pt idx="68">
                  <c:v>39924</c:v>
                </c:pt>
                <c:pt idx="69">
                  <c:v>39931</c:v>
                </c:pt>
                <c:pt idx="70">
                  <c:v>39938</c:v>
                </c:pt>
                <c:pt idx="71">
                  <c:v>39945</c:v>
                </c:pt>
                <c:pt idx="72">
                  <c:v>39952</c:v>
                </c:pt>
                <c:pt idx="73">
                  <c:v>39959</c:v>
                </c:pt>
                <c:pt idx="74">
                  <c:v>39966</c:v>
                </c:pt>
                <c:pt idx="75">
                  <c:v>39973</c:v>
                </c:pt>
                <c:pt idx="76">
                  <c:v>39980</c:v>
                </c:pt>
                <c:pt idx="77">
                  <c:v>39987</c:v>
                </c:pt>
                <c:pt idx="78">
                  <c:v>39994</c:v>
                </c:pt>
                <c:pt idx="79">
                  <c:v>40001</c:v>
                </c:pt>
                <c:pt idx="80">
                  <c:v>40008</c:v>
                </c:pt>
                <c:pt idx="81">
                  <c:v>40015</c:v>
                </c:pt>
                <c:pt idx="82">
                  <c:v>40022</c:v>
                </c:pt>
                <c:pt idx="83">
                  <c:v>40029</c:v>
                </c:pt>
                <c:pt idx="84">
                  <c:v>40036</c:v>
                </c:pt>
                <c:pt idx="85">
                  <c:v>40043</c:v>
                </c:pt>
                <c:pt idx="86">
                  <c:v>40050</c:v>
                </c:pt>
                <c:pt idx="87">
                  <c:v>40057</c:v>
                </c:pt>
                <c:pt idx="88">
                  <c:v>40064</c:v>
                </c:pt>
                <c:pt idx="89">
                  <c:v>40071</c:v>
                </c:pt>
                <c:pt idx="90">
                  <c:v>40078</c:v>
                </c:pt>
                <c:pt idx="91">
                  <c:v>40085</c:v>
                </c:pt>
                <c:pt idx="92">
                  <c:v>40092</c:v>
                </c:pt>
                <c:pt idx="93">
                  <c:v>40099</c:v>
                </c:pt>
                <c:pt idx="94">
                  <c:v>40106</c:v>
                </c:pt>
                <c:pt idx="95">
                  <c:v>40113</c:v>
                </c:pt>
                <c:pt idx="96">
                  <c:v>40120</c:v>
                </c:pt>
                <c:pt idx="97">
                  <c:v>40127</c:v>
                </c:pt>
                <c:pt idx="98">
                  <c:v>40134</c:v>
                </c:pt>
                <c:pt idx="99">
                  <c:v>40141</c:v>
                </c:pt>
                <c:pt idx="100">
                  <c:v>40148</c:v>
                </c:pt>
                <c:pt idx="101">
                  <c:v>40155</c:v>
                </c:pt>
                <c:pt idx="102">
                  <c:v>40162</c:v>
                </c:pt>
                <c:pt idx="103">
                  <c:v>40169</c:v>
                </c:pt>
                <c:pt idx="104">
                  <c:v>40176</c:v>
                </c:pt>
                <c:pt idx="105">
                  <c:v>40183</c:v>
                </c:pt>
                <c:pt idx="106">
                  <c:v>40190</c:v>
                </c:pt>
                <c:pt idx="107">
                  <c:v>40197</c:v>
                </c:pt>
                <c:pt idx="108">
                  <c:v>40204</c:v>
                </c:pt>
                <c:pt idx="109">
                  <c:v>40211</c:v>
                </c:pt>
                <c:pt idx="110">
                  <c:v>40218</c:v>
                </c:pt>
                <c:pt idx="111">
                  <c:v>40225</c:v>
                </c:pt>
                <c:pt idx="112">
                  <c:v>40232</c:v>
                </c:pt>
                <c:pt idx="113">
                  <c:v>40239</c:v>
                </c:pt>
                <c:pt idx="114">
                  <c:v>40246</c:v>
                </c:pt>
                <c:pt idx="115">
                  <c:v>40253</c:v>
                </c:pt>
                <c:pt idx="116">
                  <c:v>40260</c:v>
                </c:pt>
                <c:pt idx="117">
                  <c:v>40267</c:v>
                </c:pt>
                <c:pt idx="118">
                  <c:v>40274</c:v>
                </c:pt>
                <c:pt idx="119">
                  <c:v>40281</c:v>
                </c:pt>
                <c:pt idx="120">
                  <c:v>40288</c:v>
                </c:pt>
                <c:pt idx="121">
                  <c:v>40295</c:v>
                </c:pt>
                <c:pt idx="122">
                  <c:v>40302</c:v>
                </c:pt>
                <c:pt idx="123">
                  <c:v>40309</c:v>
                </c:pt>
                <c:pt idx="124">
                  <c:v>40316</c:v>
                </c:pt>
                <c:pt idx="125">
                  <c:v>40323</c:v>
                </c:pt>
                <c:pt idx="126">
                  <c:v>40330</c:v>
                </c:pt>
                <c:pt idx="127">
                  <c:v>40337</c:v>
                </c:pt>
                <c:pt idx="128">
                  <c:v>40344</c:v>
                </c:pt>
                <c:pt idx="129">
                  <c:v>40351</c:v>
                </c:pt>
                <c:pt idx="130">
                  <c:v>40358</c:v>
                </c:pt>
                <c:pt idx="131">
                  <c:v>40365</c:v>
                </c:pt>
                <c:pt idx="132">
                  <c:v>40372</c:v>
                </c:pt>
                <c:pt idx="133">
                  <c:v>40379</c:v>
                </c:pt>
                <c:pt idx="134">
                  <c:v>40386</c:v>
                </c:pt>
                <c:pt idx="135">
                  <c:v>40393</c:v>
                </c:pt>
                <c:pt idx="136">
                  <c:v>40400</c:v>
                </c:pt>
                <c:pt idx="137">
                  <c:v>40407</c:v>
                </c:pt>
                <c:pt idx="138">
                  <c:v>40414</c:v>
                </c:pt>
                <c:pt idx="139">
                  <c:v>40421</c:v>
                </c:pt>
                <c:pt idx="140">
                  <c:v>40428</c:v>
                </c:pt>
                <c:pt idx="141">
                  <c:v>40435</c:v>
                </c:pt>
                <c:pt idx="142">
                  <c:v>40442</c:v>
                </c:pt>
                <c:pt idx="143">
                  <c:v>40449</c:v>
                </c:pt>
                <c:pt idx="144">
                  <c:v>40456</c:v>
                </c:pt>
                <c:pt idx="145">
                  <c:v>40463</c:v>
                </c:pt>
                <c:pt idx="146">
                  <c:v>40470</c:v>
                </c:pt>
                <c:pt idx="147">
                  <c:v>40477</c:v>
                </c:pt>
                <c:pt idx="148">
                  <c:v>40484</c:v>
                </c:pt>
                <c:pt idx="149">
                  <c:v>40491</c:v>
                </c:pt>
                <c:pt idx="150">
                  <c:v>40498</c:v>
                </c:pt>
                <c:pt idx="151">
                  <c:v>40505</c:v>
                </c:pt>
                <c:pt idx="152">
                  <c:v>40512</c:v>
                </c:pt>
                <c:pt idx="153">
                  <c:v>40519</c:v>
                </c:pt>
                <c:pt idx="154">
                  <c:v>40526</c:v>
                </c:pt>
                <c:pt idx="155">
                  <c:v>40533</c:v>
                </c:pt>
                <c:pt idx="156">
                  <c:v>40540</c:v>
                </c:pt>
                <c:pt idx="157">
                  <c:v>40547</c:v>
                </c:pt>
                <c:pt idx="158">
                  <c:v>40554</c:v>
                </c:pt>
                <c:pt idx="159">
                  <c:v>40561</c:v>
                </c:pt>
                <c:pt idx="160">
                  <c:v>40568</c:v>
                </c:pt>
                <c:pt idx="161">
                  <c:v>40575</c:v>
                </c:pt>
                <c:pt idx="162">
                  <c:v>40582</c:v>
                </c:pt>
                <c:pt idx="163">
                  <c:v>40589</c:v>
                </c:pt>
                <c:pt idx="164">
                  <c:v>40596</c:v>
                </c:pt>
                <c:pt idx="165">
                  <c:v>40603</c:v>
                </c:pt>
                <c:pt idx="166">
                  <c:v>40610</c:v>
                </c:pt>
                <c:pt idx="167">
                  <c:v>40617</c:v>
                </c:pt>
                <c:pt idx="168">
                  <c:v>40624</c:v>
                </c:pt>
                <c:pt idx="169">
                  <c:v>40631</c:v>
                </c:pt>
                <c:pt idx="170">
                  <c:v>40638</c:v>
                </c:pt>
                <c:pt idx="171">
                  <c:v>40645</c:v>
                </c:pt>
                <c:pt idx="172">
                  <c:v>40652</c:v>
                </c:pt>
                <c:pt idx="173">
                  <c:v>40659</c:v>
                </c:pt>
                <c:pt idx="174">
                  <c:v>40666</c:v>
                </c:pt>
                <c:pt idx="175">
                  <c:v>40673</c:v>
                </c:pt>
                <c:pt idx="176">
                  <c:v>40680</c:v>
                </c:pt>
                <c:pt idx="177">
                  <c:v>40687</c:v>
                </c:pt>
                <c:pt idx="178">
                  <c:v>40694</c:v>
                </c:pt>
                <c:pt idx="179">
                  <c:v>40701</c:v>
                </c:pt>
                <c:pt idx="180">
                  <c:v>40708</c:v>
                </c:pt>
                <c:pt idx="181">
                  <c:v>40715</c:v>
                </c:pt>
                <c:pt idx="182">
                  <c:v>40722</c:v>
                </c:pt>
                <c:pt idx="183">
                  <c:v>40729</c:v>
                </c:pt>
                <c:pt idx="184">
                  <c:v>40736</c:v>
                </c:pt>
                <c:pt idx="185">
                  <c:v>40743</c:v>
                </c:pt>
                <c:pt idx="186">
                  <c:v>40750</c:v>
                </c:pt>
                <c:pt idx="187">
                  <c:v>40757</c:v>
                </c:pt>
                <c:pt idx="188">
                  <c:v>40764</c:v>
                </c:pt>
                <c:pt idx="189">
                  <c:v>40771</c:v>
                </c:pt>
                <c:pt idx="190">
                  <c:v>40778</c:v>
                </c:pt>
                <c:pt idx="191">
                  <c:v>40785</c:v>
                </c:pt>
                <c:pt idx="192">
                  <c:v>40792</c:v>
                </c:pt>
                <c:pt idx="193">
                  <c:v>40799</c:v>
                </c:pt>
                <c:pt idx="194">
                  <c:v>40806</c:v>
                </c:pt>
                <c:pt idx="195">
                  <c:v>40813</c:v>
                </c:pt>
                <c:pt idx="196">
                  <c:v>40820</c:v>
                </c:pt>
                <c:pt idx="197">
                  <c:v>40827</c:v>
                </c:pt>
                <c:pt idx="198">
                  <c:v>40834</c:v>
                </c:pt>
                <c:pt idx="199">
                  <c:v>40841</c:v>
                </c:pt>
                <c:pt idx="200">
                  <c:v>40848</c:v>
                </c:pt>
                <c:pt idx="201">
                  <c:v>40855</c:v>
                </c:pt>
                <c:pt idx="202">
                  <c:v>40862</c:v>
                </c:pt>
                <c:pt idx="203">
                  <c:v>40869</c:v>
                </c:pt>
                <c:pt idx="204">
                  <c:v>40876</c:v>
                </c:pt>
                <c:pt idx="205">
                  <c:v>40883</c:v>
                </c:pt>
                <c:pt idx="206">
                  <c:v>40890</c:v>
                </c:pt>
                <c:pt idx="207">
                  <c:v>40897</c:v>
                </c:pt>
                <c:pt idx="208">
                  <c:v>40904</c:v>
                </c:pt>
                <c:pt idx="209">
                  <c:v>40911</c:v>
                </c:pt>
                <c:pt idx="210">
                  <c:v>40918</c:v>
                </c:pt>
                <c:pt idx="211">
                  <c:v>40925</c:v>
                </c:pt>
                <c:pt idx="212">
                  <c:v>40932</c:v>
                </c:pt>
                <c:pt idx="213">
                  <c:v>40939</c:v>
                </c:pt>
                <c:pt idx="214">
                  <c:v>40946</c:v>
                </c:pt>
                <c:pt idx="215">
                  <c:v>40953</c:v>
                </c:pt>
                <c:pt idx="216">
                  <c:v>40960</c:v>
                </c:pt>
                <c:pt idx="217">
                  <c:v>40967</c:v>
                </c:pt>
                <c:pt idx="218">
                  <c:v>40974</c:v>
                </c:pt>
                <c:pt idx="219">
                  <c:v>40981</c:v>
                </c:pt>
                <c:pt idx="220">
                  <c:v>40988</c:v>
                </c:pt>
                <c:pt idx="221">
                  <c:v>40995</c:v>
                </c:pt>
                <c:pt idx="222">
                  <c:v>41002</c:v>
                </c:pt>
                <c:pt idx="223">
                  <c:v>41009</c:v>
                </c:pt>
                <c:pt idx="224">
                  <c:v>41016</c:v>
                </c:pt>
                <c:pt idx="225">
                  <c:v>41023</c:v>
                </c:pt>
                <c:pt idx="226">
                  <c:v>41030</c:v>
                </c:pt>
                <c:pt idx="227">
                  <c:v>41037</c:v>
                </c:pt>
                <c:pt idx="228">
                  <c:v>41044</c:v>
                </c:pt>
                <c:pt idx="229">
                  <c:v>41051</c:v>
                </c:pt>
                <c:pt idx="230">
                  <c:v>41058</c:v>
                </c:pt>
                <c:pt idx="231">
                  <c:v>41065</c:v>
                </c:pt>
                <c:pt idx="232">
                  <c:v>41072</c:v>
                </c:pt>
                <c:pt idx="233">
                  <c:v>41079</c:v>
                </c:pt>
                <c:pt idx="234">
                  <c:v>41086</c:v>
                </c:pt>
                <c:pt idx="235">
                  <c:v>41093</c:v>
                </c:pt>
                <c:pt idx="236">
                  <c:v>41100</c:v>
                </c:pt>
                <c:pt idx="237">
                  <c:v>41107</c:v>
                </c:pt>
                <c:pt idx="238">
                  <c:v>41114</c:v>
                </c:pt>
                <c:pt idx="239">
                  <c:v>41121</c:v>
                </c:pt>
                <c:pt idx="240">
                  <c:v>41128</c:v>
                </c:pt>
                <c:pt idx="241">
                  <c:v>41135</c:v>
                </c:pt>
                <c:pt idx="242">
                  <c:v>41142</c:v>
                </c:pt>
                <c:pt idx="243">
                  <c:v>41149</c:v>
                </c:pt>
                <c:pt idx="244">
                  <c:v>41156</c:v>
                </c:pt>
                <c:pt idx="245">
                  <c:v>41163</c:v>
                </c:pt>
                <c:pt idx="246">
                  <c:v>41170</c:v>
                </c:pt>
                <c:pt idx="247">
                  <c:v>41177</c:v>
                </c:pt>
                <c:pt idx="248">
                  <c:v>41184</c:v>
                </c:pt>
                <c:pt idx="249">
                  <c:v>41191</c:v>
                </c:pt>
                <c:pt idx="250">
                  <c:v>41198</c:v>
                </c:pt>
                <c:pt idx="251">
                  <c:v>41205</c:v>
                </c:pt>
                <c:pt idx="252">
                  <c:v>41212</c:v>
                </c:pt>
                <c:pt idx="253">
                  <c:v>41219</c:v>
                </c:pt>
                <c:pt idx="254">
                  <c:v>41226</c:v>
                </c:pt>
                <c:pt idx="255">
                  <c:v>41233</c:v>
                </c:pt>
                <c:pt idx="256">
                  <c:v>41240</c:v>
                </c:pt>
                <c:pt idx="257">
                  <c:v>41247</c:v>
                </c:pt>
                <c:pt idx="258">
                  <c:v>41254</c:v>
                </c:pt>
                <c:pt idx="259">
                  <c:v>41261</c:v>
                </c:pt>
                <c:pt idx="260">
                  <c:v>41268</c:v>
                </c:pt>
                <c:pt idx="261">
                  <c:v>41275</c:v>
                </c:pt>
                <c:pt idx="262">
                  <c:v>41282</c:v>
                </c:pt>
                <c:pt idx="263">
                  <c:v>41289</c:v>
                </c:pt>
                <c:pt idx="264">
                  <c:v>41296</c:v>
                </c:pt>
                <c:pt idx="265">
                  <c:v>41303</c:v>
                </c:pt>
                <c:pt idx="266">
                  <c:v>41310</c:v>
                </c:pt>
                <c:pt idx="267">
                  <c:v>41317</c:v>
                </c:pt>
                <c:pt idx="268">
                  <c:v>41324</c:v>
                </c:pt>
                <c:pt idx="269">
                  <c:v>41331</c:v>
                </c:pt>
                <c:pt idx="270">
                  <c:v>41338</c:v>
                </c:pt>
                <c:pt idx="271">
                  <c:v>41345</c:v>
                </c:pt>
                <c:pt idx="272">
                  <c:v>41352</c:v>
                </c:pt>
                <c:pt idx="273">
                  <c:v>41359</c:v>
                </c:pt>
                <c:pt idx="274">
                  <c:v>41366</c:v>
                </c:pt>
                <c:pt idx="275">
                  <c:v>41373</c:v>
                </c:pt>
                <c:pt idx="276">
                  <c:v>41380</c:v>
                </c:pt>
                <c:pt idx="277">
                  <c:v>41387</c:v>
                </c:pt>
                <c:pt idx="278">
                  <c:v>41394</c:v>
                </c:pt>
                <c:pt idx="279">
                  <c:v>41401</c:v>
                </c:pt>
                <c:pt idx="280">
                  <c:v>41408</c:v>
                </c:pt>
                <c:pt idx="281">
                  <c:v>41415</c:v>
                </c:pt>
                <c:pt idx="282">
                  <c:v>41422</c:v>
                </c:pt>
                <c:pt idx="283">
                  <c:v>41429</c:v>
                </c:pt>
                <c:pt idx="284">
                  <c:v>41436</c:v>
                </c:pt>
                <c:pt idx="285">
                  <c:v>41443</c:v>
                </c:pt>
                <c:pt idx="286">
                  <c:v>41450</c:v>
                </c:pt>
                <c:pt idx="287">
                  <c:v>41457</c:v>
                </c:pt>
                <c:pt idx="288">
                  <c:v>41464</c:v>
                </c:pt>
                <c:pt idx="289">
                  <c:v>41471</c:v>
                </c:pt>
                <c:pt idx="290">
                  <c:v>41478</c:v>
                </c:pt>
                <c:pt idx="291">
                  <c:v>41485</c:v>
                </c:pt>
                <c:pt idx="292">
                  <c:v>41492</c:v>
                </c:pt>
                <c:pt idx="293">
                  <c:v>41499</c:v>
                </c:pt>
                <c:pt idx="294">
                  <c:v>41506</c:v>
                </c:pt>
                <c:pt idx="295">
                  <c:v>41513</c:v>
                </c:pt>
                <c:pt idx="296">
                  <c:v>41520</c:v>
                </c:pt>
                <c:pt idx="297">
                  <c:v>41527</c:v>
                </c:pt>
                <c:pt idx="298">
                  <c:v>41534</c:v>
                </c:pt>
                <c:pt idx="299">
                  <c:v>41541</c:v>
                </c:pt>
                <c:pt idx="300">
                  <c:v>41548</c:v>
                </c:pt>
                <c:pt idx="301">
                  <c:v>41555</c:v>
                </c:pt>
                <c:pt idx="302">
                  <c:v>41562</c:v>
                </c:pt>
                <c:pt idx="303">
                  <c:v>41569</c:v>
                </c:pt>
                <c:pt idx="304">
                  <c:v>41576</c:v>
                </c:pt>
                <c:pt idx="305">
                  <c:v>41583</c:v>
                </c:pt>
                <c:pt idx="306">
                  <c:v>41590</c:v>
                </c:pt>
                <c:pt idx="307">
                  <c:v>41597</c:v>
                </c:pt>
                <c:pt idx="308">
                  <c:v>41604</c:v>
                </c:pt>
                <c:pt idx="309">
                  <c:v>41611</c:v>
                </c:pt>
                <c:pt idx="310">
                  <c:v>41618</c:v>
                </c:pt>
                <c:pt idx="311">
                  <c:v>41625</c:v>
                </c:pt>
                <c:pt idx="312">
                  <c:v>41632</c:v>
                </c:pt>
                <c:pt idx="313">
                  <c:v>41639</c:v>
                </c:pt>
                <c:pt idx="314">
                  <c:v>41646</c:v>
                </c:pt>
                <c:pt idx="315">
                  <c:v>41653</c:v>
                </c:pt>
                <c:pt idx="316">
                  <c:v>41660</c:v>
                </c:pt>
                <c:pt idx="317">
                  <c:v>41667</c:v>
                </c:pt>
                <c:pt idx="318">
                  <c:v>41674</c:v>
                </c:pt>
                <c:pt idx="319">
                  <c:v>41681</c:v>
                </c:pt>
                <c:pt idx="320">
                  <c:v>41688</c:v>
                </c:pt>
                <c:pt idx="321">
                  <c:v>41695</c:v>
                </c:pt>
                <c:pt idx="322">
                  <c:v>41702</c:v>
                </c:pt>
                <c:pt idx="323">
                  <c:v>41709</c:v>
                </c:pt>
                <c:pt idx="324">
                  <c:v>41716</c:v>
                </c:pt>
                <c:pt idx="325">
                  <c:v>41723</c:v>
                </c:pt>
                <c:pt idx="326">
                  <c:v>41730</c:v>
                </c:pt>
                <c:pt idx="327">
                  <c:v>41737</c:v>
                </c:pt>
                <c:pt idx="328">
                  <c:v>41744</c:v>
                </c:pt>
                <c:pt idx="329">
                  <c:v>41751</c:v>
                </c:pt>
                <c:pt idx="330">
                  <c:v>41758</c:v>
                </c:pt>
                <c:pt idx="331">
                  <c:v>41765</c:v>
                </c:pt>
                <c:pt idx="332">
                  <c:v>41772</c:v>
                </c:pt>
                <c:pt idx="333">
                  <c:v>41779</c:v>
                </c:pt>
                <c:pt idx="334">
                  <c:v>41786</c:v>
                </c:pt>
                <c:pt idx="335">
                  <c:v>41793</c:v>
                </c:pt>
                <c:pt idx="336">
                  <c:v>41800</c:v>
                </c:pt>
                <c:pt idx="337">
                  <c:v>41807</c:v>
                </c:pt>
                <c:pt idx="338">
                  <c:v>41814</c:v>
                </c:pt>
                <c:pt idx="339">
                  <c:v>41821</c:v>
                </c:pt>
                <c:pt idx="340">
                  <c:v>41828</c:v>
                </c:pt>
                <c:pt idx="341">
                  <c:v>41835</c:v>
                </c:pt>
                <c:pt idx="342">
                  <c:v>41842</c:v>
                </c:pt>
                <c:pt idx="343">
                  <c:v>41849</c:v>
                </c:pt>
                <c:pt idx="344">
                  <c:v>41856</c:v>
                </c:pt>
                <c:pt idx="345">
                  <c:v>41863</c:v>
                </c:pt>
                <c:pt idx="346">
                  <c:v>41870</c:v>
                </c:pt>
                <c:pt idx="347">
                  <c:v>41877</c:v>
                </c:pt>
                <c:pt idx="348">
                  <c:v>41884</c:v>
                </c:pt>
                <c:pt idx="349">
                  <c:v>41891</c:v>
                </c:pt>
                <c:pt idx="350">
                  <c:v>41898</c:v>
                </c:pt>
                <c:pt idx="351">
                  <c:v>41905</c:v>
                </c:pt>
                <c:pt idx="352">
                  <c:v>41912</c:v>
                </c:pt>
                <c:pt idx="353">
                  <c:v>41919</c:v>
                </c:pt>
                <c:pt idx="354">
                  <c:v>41926</c:v>
                </c:pt>
                <c:pt idx="355">
                  <c:v>41933</c:v>
                </c:pt>
                <c:pt idx="356">
                  <c:v>41940</c:v>
                </c:pt>
                <c:pt idx="357">
                  <c:v>41947</c:v>
                </c:pt>
                <c:pt idx="358">
                  <c:v>41954</c:v>
                </c:pt>
                <c:pt idx="359">
                  <c:v>41961</c:v>
                </c:pt>
                <c:pt idx="360">
                  <c:v>41968</c:v>
                </c:pt>
                <c:pt idx="361">
                  <c:v>41975</c:v>
                </c:pt>
                <c:pt idx="362">
                  <c:v>41982</c:v>
                </c:pt>
                <c:pt idx="363">
                  <c:v>41989</c:v>
                </c:pt>
                <c:pt idx="364">
                  <c:v>41996</c:v>
                </c:pt>
                <c:pt idx="365">
                  <c:v>42003</c:v>
                </c:pt>
                <c:pt idx="366">
                  <c:v>42010</c:v>
                </c:pt>
                <c:pt idx="367">
                  <c:v>42017</c:v>
                </c:pt>
                <c:pt idx="368">
                  <c:v>42024</c:v>
                </c:pt>
                <c:pt idx="369">
                  <c:v>42031</c:v>
                </c:pt>
                <c:pt idx="370">
                  <c:v>42038</c:v>
                </c:pt>
                <c:pt idx="371">
                  <c:v>42045</c:v>
                </c:pt>
                <c:pt idx="372">
                  <c:v>42052</c:v>
                </c:pt>
                <c:pt idx="373">
                  <c:v>42059</c:v>
                </c:pt>
                <c:pt idx="374">
                  <c:v>42066</c:v>
                </c:pt>
                <c:pt idx="375">
                  <c:v>42073</c:v>
                </c:pt>
                <c:pt idx="376">
                  <c:v>42080</c:v>
                </c:pt>
                <c:pt idx="377">
                  <c:v>42087</c:v>
                </c:pt>
                <c:pt idx="378">
                  <c:v>42094</c:v>
                </c:pt>
                <c:pt idx="379">
                  <c:v>42101</c:v>
                </c:pt>
                <c:pt idx="380">
                  <c:v>42108</c:v>
                </c:pt>
                <c:pt idx="381">
                  <c:v>42115</c:v>
                </c:pt>
                <c:pt idx="382">
                  <c:v>42122</c:v>
                </c:pt>
                <c:pt idx="383">
                  <c:v>42129</c:v>
                </c:pt>
                <c:pt idx="384">
                  <c:v>42136</c:v>
                </c:pt>
                <c:pt idx="385">
                  <c:v>42143</c:v>
                </c:pt>
                <c:pt idx="386">
                  <c:v>42150</c:v>
                </c:pt>
                <c:pt idx="387">
                  <c:v>42157</c:v>
                </c:pt>
                <c:pt idx="388">
                  <c:v>42164</c:v>
                </c:pt>
                <c:pt idx="389">
                  <c:v>42171</c:v>
                </c:pt>
                <c:pt idx="390">
                  <c:v>42178</c:v>
                </c:pt>
                <c:pt idx="391">
                  <c:v>42185</c:v>
                </c:pt>
                <c:pt idx="392">
                  <c:v>42192</c:v>
                </c:pt>
                <c:pt idx="393">
                  <c:v>42199</c:v>
                </c:pt>
                <c:pt idx="394">
                  <c:v>42206</c:v>
                </c:pt>
                <c:pt idx="395">
                  <c:v>42213</c:v>
                </c:pt>
                <c:pt idx="396">
                  <c:v>42220</c:v>
                </c:pt>
                <c:pt idx="397">
                  <c:v>42227</c:v>
                </c:pt>
                <c:pt idx="398">
                  <c:v>42234</c:v>
                </c:pt>
                <c:pt idx="399">
                  <c:v>42241</c:v>
                </c:pt>
                <c:pt idx="400">
                  <c:v>42248</c:v>
                </c:pt>
                <c:pt idx="401">
                  <c:v>42255</c:v>
                </c:pt>
                <c:pt idx="402">
                  <c:v>42262</c:v>
                </c:pt>
                <c:pt idx="403">
                  <c:v>42269</c:v>
                </c:pt>
                <c:pt idx="404">
                  <c:v>42276</c:v>
                </c:pt>
                <c:pt idx="405">
                  <c:v>42283</c:v>
                </c:pt>
                <c:pt idx="406">
                  <c:v>42290</c:v>
                </c:pt>
                <c:pt idx="407">
                  <c:v>42297</c:v>
                </c:pt>
                <c:pt idx="408">
                  <c:v>42304</c:v>
                </c:pt>
                <c:pt idx="409">
                  <c:v>42311</c:v>
                </c:pt>
                <c:pt idx="410">
                  <c:v>42318</c:v>
                </c:pt>
                <c:pt idx="411">
                  <c:v>42325</c:v>
                </c:pt>
                <c:pt idx="412">
                  <c:v>42332</c:v>
                </c:pt>
                <c:pt idx="413">
                  <c:v>42339</c:v>
                </c:pt>
                <c:pt idx="414">
                  <c:v>42346</c:v>
                </c:pt>
                <c:pt idx="415">
                  <c:v>42353</c:v>
                </c:pt>
                <c:pt idx="416">
                  <c:v>42360</c:v>
                </c:pt>
                <c:pt idx="417">
                  <c:v>42367</c:v>
                </c:pt>
                <c:pt idx="418">
                  <c:v>42374</c:v>
                </c:pt>
                <c:pt idx="419">
                  <c:v>42381</c:v>
                </c:pt>
                <c:pt idx="420">
                  <c:v>42388</c:v>
                </c:pt>
                <c:pt idx="421">
                  <c:v>42395</c:v>
                </c:pt>
                <c:pt idx="422">
                  <c:v>42402</c:v>
                </c:pt>
                <c:pt idx="423">
                  <c:v>42409</c:v>
                </c:pt>
                <c:pt idx="424">
                  <c:v>42416</c:v>
                </c:pt>
                <c:pt idx="425">
                  <c:v>42423</c:v>
                </c:pt>
                <c:pt idx="426">
                  <c:v>42430</c:v>
                </c:pt>
                <c:pt idx="427">
                  <c:v>42437</c:v>
                </c:pt>
                <c:pt idx="428">
                  <c:v>42444</c:v>
                </c:pt>
                <c:pt idx="429">
                  <c:v>42451</c:v>
                </c:pt>
                <c:pt idx="430">
                  <c:v>42458</c:v>
                </c:pt>
                <c:pt idx="431">
                  <c:v>42465</c:v>
                </c:pt>
                <c:pt idx="432">
                  <c:v>42472</c:v>
                </c:pt>
                <c:pt idx="433">
                  <c:v>42479</c:v>
                </c:pt>
                <c:pt idx="434">
                  <c:v>42486</c:v>
                </c:pt>
                <c:pt idx="435">
                  <c:v>42493</c:v>
                </c:pt>
                <c:pt idx="436">
                  <c:v>42500</c:v>
                </c:pt>
                <c:pt idx="437">
                  <c:v>42507</c:v>
                </c:pt>
                <c:pt idx="438">
                  <c:v>42514</c:v>
                </c:pt>
                <c:pt idx="439">
                  <c:v>42521</c:v>
                </c:pt>
                <c:pt idx="440">
                  <c:v>42528</c:v>
                </c:pt>
                <c:pt idx="441">
                  <c:v>42535</c:v>
                </c:pt>
                <c:pt idx="442">
                  <c:v>42542</c:v>
                </c:pt>
                <c:pt idx="443">
                  <c:v>42549</c:v>
                </c:pt>
                <c:pt idx="444">
                  <c:v>42556</c:v>
                </c:pt>
                <c:pt idx="445">
                  <c:v>42563</c:v>
                </c:pt>
                <c:pt idx="446">
                  <c:v>42570</c:v>
                </c:pt>
                <c:pt idx="447">
                  <c:v>42577</c:v>
                </c:pt>
                <c:pt idx="448">
                  <c:v>42584</c:v>
                </c:pt>
                <c:pt idx="449">
                  <c:v>42591</c:v>
                </c:pt>
                <c:pt idx="450">
                  <c:v>42598</c:v>
                </c:pt>
                <c:pt idx="451">
                  <c:v>42605</c:v>
                </c:pt>
                <c:pt idx="452">
                  <c:v>42612</c:v>
                </c:pt>
                <c:pt idx="453">
                  <c:v>42619</c:v>
                </c:pt>
                <c:pt idx="454">
                  <c:v>42626</c:v>
                </c:pt>
                <c:pt idx="455">
                  <c:v>42633</c:v>
                </c:pt>
                <c:pt idx="456">
                  <c:v>42640</c:v>
                </c:pt>
                <c:pt idx="457">
                  <c:v>42647</c:v>
                </c:pt>
                <c:pt idx="458">
                  <c:v>42654</c:v>
                </c:pt>
                <c:pt idx="459">
                  <c:v>42661</c:v>
                </c:pt>
                <c:pt idx="460">
                  <c:v>42668</c:v>
                </c:pt>
                <c:pt idx="461">
                  <c:v>42675</c:v>
                </c:pt>
                <c:pt idx="462">
                  <c:v>42682</c:v>
                </c:pt>
                <c:pt idx="463">
                  <c:v>42689</c:v>
                </c:pt>
                <c:pt idx="464">
                  <c:v>42696</c:v>
                </c:pt>
                <c:pt idx="465">
                  <c:v>42703</c:v>
                </c:pt>
                <c:pt idx="466">
                  <c:v>42710</c:v>
                </c:pt>
                <c:pt idx="467">
                  <c:v>42717</c:v>
                </c:pt>
                <c:pt idx="468">
                  <c:v>42724</c:v>
                </c:pt>
                <c:pt idx="469">
                  <c:v>42731</c:v>
                </c:pt>
                <c:pt idx="470">
                  <c:v>42738</c:v>
                </c:pt>
                <c:pt idx="471">
                  <c:v>42745</c:v>
                </c:pt>
                <c:pt idx="472">
                  <c:v>42752</c:v>
                </c:pt>
                <c:pt idx="473">
                  <c:v>42759</c:v>
                </c:pt>
                <c:pt idx="474">
                  <c:v>42766</c:v>
                </c:pt>
                <c:pt idx="475">
                  <c:v>42773</c:v>
                </c:pt>
                <c:pt idx="476">
                  <c:v>42780</c:v>
                </c:pt>
                <c:pt idx="477">
                  <c:v>42787</c:v>
                </c:pt>
                <c:pt idx="478">
                  <c:v>42794</c:v>
                </c:pt>
                <c:pt idx="479">
                  <c:v>42801</c:v>
                </c:pt>
                <c:pt idx="480">
                  <c:v>42808</c:v>
                </c:pt>
                <c:pt idx="481">
                  <c:v>42815</c:v>
                </c:pt>
                <c:pt idx="482">
                  <c:v>42822</c:v>
                </c:pt>
                <c:pt idx="483">
                  <c:v>42829</c:v>
                </c:pt>
                <c:pt idx="484">
                  <c:v>42836</c:v>
                </c:pt>
                <c:pt idx="485">
                  <c:v>42843</c:v>
                </c:pt>
                <c:pt idx="486">
                  <c:v>42850</c:v>
                </c:pt>
                <c:pt idx="487">
                  <c:v>42857</c:v>
                </c:pt>
                <c:pt idx="488">
                  <c:v>42864</c:v>
                </c:pt>
                <c:pt idx="489">
                  <c:v>42871</c:v>
                </c:pt>
                <c:pt idx="490">
                  <c:v>42878</c:v>
                </c:pt>
                <c:pt idx="491">
                  <c:v>42885</c:v>
                </c:pt>
                <c:pt idx="492">
                  <c:v>42892</c:v>
                </c:pt>
                <c:pt idx="493">
                  <c:v>42899</c:v>
                </c:pt>
                <c:pt idx="494">
                  <c:v>42906</c:v>
                </c:pt>
                <c:pt idx="495">
                  <c:v>42913</c:v>
                </c:pt>
                <c:pt idx="496">
                  <c:v>42920</c:v>
                </c:pt>
                <c:pt idx="497">
                  <c:v>42927</c:v>
                </c:pt>
                <c:pt idx="498">
                  <c:v>42934</c:v>
                </c:pt>
                <c:pt idx="499">
                  <c:v>42941</c:v>
                </c:pt>
                <c:pt idx="500">
                  <c:v>42948</c:v>
                </c:pt>
                <c:pt idx="501">
                  <c:v>42955</c:v>
                </c:pt>
                <c:pt idx="502">
                  <c:v>42962</c:v>
                </c:pt>
                <c:pt idx="503">
                  <c:v>42969</c:v>
                </c:pt>
                <c:pt idx="504">
                  <c:v>42976</c:v>
                </c:pt>
                <c:pt idx="505">
                  <c:v>42983</c:v>
                </c:pt>
                <c:pt idx="506">
                  <c:v>42990</c:v>
                </c:pt>
                <c:pt idx="507">
                  <c:v>42997</c:v>
                </c:pt>
                <c:pt idx="508">
                  <c:v>43004</c:v>
                </c:pt>
                <c:pt idx="509">
                  <c:v>43011</c:v>
                </c:pt>
                <c:pt idx="510">
                  <c:v>43018</c:v>
                </c:pt>
                <c:pt idx="511">
                  <c:v>43025</c:v>
                </c:pt>
                <c:pt idx="512">
                  <c:v>43032</c:v>
                </c:pt>
                <c:pt idx="513">
                  <c:v>43039</c:v>
                </c:pt>
                <c:pt idx="514">
                  <c:v>43046</c:v>
                </c:pt>
                <c:pt idx="515">
                  <c:v>43053</c:v>
                </c:pt>
                <c:pt idx="516">
                  <c:v>43060</c:v>
                </c:pt>
                <c:pt idx="517">
                  <c:v>43067</c:v>
                </c:pt>
                <c:pt idx="518">
                  <c:v>43074</c:v>
                </c:pt>
                <c:pt idx="519">
                  <c:v>43081</c:v>
                </c:pt>
                <c:pt idx="520">
                  <c:v>43088</c:v>
                </c:pt>
                <c:pt idx="521">
                  <c:v>43095</c:v>
                </c:pt>
                <c:pt idx="522">
                  <c:v>43102</c:v>
                </c:pt>
                <c:pt idx="523">
                  <c:v>43109</c:v>
                </c:pt>
                <c:pt idx="524">
                  <c:v>43116</c:v>
                </c:pt>
                <c:pt idx="525">
                  <c:v>43123</c:v>
                </c:pt>
                <c:pt idx="526">
                  <c:v>43130</c:v>
                </c:pt>
                <c:pt idx="527">
                  <c:v>43137</c:v>
                </c:pt>
                <c:pt idx="528">
                  <c:v>43144</c:v>
                </c:pt>
                <c:pt idx="529">
                  <c:v>43151</c:v>
                </c:pt>
                <c:pt idx="530">
                  <c:v>43158</c:v>
                </c:pt>
                <c:pt idx="531">
                  <c:v>43165</c:v>
                </c:pt>
                <c:pt idx="532">
                  <c:v>43172</c:v>
                </c:pt>
                <c:pt idx="533">
                  <c:v>43179</c:v>
                </c:pt>
                <c:pt idx="534">
                  <c:v>43186</c:v>
                </c:pt>
                <c:pt idx="535">
                  <c:v>43193</c:v>
                </c:pt>
                <c:pt idx="536">
                  <c:v>43200</c:v>
                </c:pt>
                <c:pt idx="537">
                  <c:v>43207</c:v>
                </c:pt>
                <c:pt idx="538">
                  <c:v>43214</c:v>
                </c:pt>
                <c:pt idx="539">
                  <c:v>43221</c:v>
                </c:pt>
                <c:pt idx="540">
                  <c:v>43228</c:v>
                </c:pt>
                <c:pt idx="541">
                  <c:v>43235</c:v>
                </c:pt>
                <c:pt idx="542">
                  <c:v>43242</c:v>
                </c:pt>
                <c:pt idx="543">
                  <c:v>43249</c:v>
                </c:pt>
                <c:pt idx="544">
                  <c:v>43256</c:v>
                </c:pt>
                <c:pt idx="545">
                  <c:v>43263</c:v>
                </c:pt>
                <c:pt idx="546">
                  <c:v>43270</c:v>
                </c:pt>
                <c:pt idx="547">
                  <c:v>43277</c:v>
                </c:pt>
                <c:pt idx="548">
                  <c:v>43284</c:v>
                </c:pt>
                <c:pt idx="549">
                  <c:v>43291</c:v>
                </c:pt>
                <c:pt idx="550">
                  <c:v>43298</c:v>
                </c:pt>
                <c:pt idx="551">
                  <c:v>43305</c:v>
                </c:pt>
                <c:pt idx="552">
                  <c:v>43312</c:v>
                </c:pt>
                <c:pt idx="553">
                  <c:v>43319</c:v>
                </c:pt>
                <c:pt idx="554">
                  <c:v>43326</c:v>
                </c:pt>
                <c:pt idx="555">
                  <c:v>43333</c:v>
                </c:pt>
                <c:pt idx="556">
                  <c:v>43340</c:v>
                </c:pt>
                <c:pt idx="557">
                  <c:v>43347</c:v>
                </c:pt>
                <c:pt idx="558">
                  <c:v>43354</c:v>
                </c:pt>
                <c:pt idx="559">
                  <c:v>43361</c:v>
                </c:pt>
                <c:pt idx="560">
                  <c:v>43368</c:v>
                </c:pt>
                <c:pt idx="561">
                  <c:v>43375</c:v>
                </c:pt>
                <c:pt idx="562">
                  <c:v>43382</c:v>
                </c:pt>
                <c:pt idx="563">
                  <c:v>43389</c:v>
                </c:pt>
                <c:pt idx="564">
                  <c:v>43396</c:v>
                </c:pt>
                <c:pt idx="565">
                  <c:v>43403</c:v>
                </c:pt>
                <c:pt idx="566">
                  <c:v>43410</c:v>
                </c:pt>
                <c:pt idx="567">
                  <c:v>43417</c:v>
                </c:pt>
                <c:pt idx="568">
                  <c:v>43424</c:v>
                </c:pt>
                <c:pt idx="569">
                  <c:v>43431</c:v>
                </c:pt>
                <c:pt idx="570">
                  <c:v>43438</c:v>
                </c:pt>
                <c:pt idx="571">
                  <c:v>43445</c:v>
                </c:pt>
                <c:pt idx="572">
                  <c:v>43452</c:v>
                </c:pt>
                <c:pt idx="573">
                  <c:v>43459</c:v>
                </c:pt>
                <c:pt idx="574">
                  <c:v>43466</c:v>
                </c:pt>
                <c:pt idx="575">
                  <c:v>43473</c:v>
                </c:pt>
                <c:pt idx="576">
                  <c:v>43480</c:v>
                </c:pt>
                <c:pt idx="577">
                  <c:v>43487</c:v>
                </c:pt>
                <c:pt idx="578">
                  <c:v>43494</c:v>
                </c:pt>
                <c:pt idx="579">
                  <c:v>43501</c:v>
                </c:pt>
                <c:pt idx="580">
                  <c:v>43508</c:v>
                </c:pt>
                <c:pt idx="581">
                  <c:v>43515</c:v>
                </c:pt>
                <c:pt idx="582">
                  <c:v>43522</c:v>
                </c:pt>
                <c:pt idx="583">
                  <c:v>43529</c:v>
                </c:pt>
                <c:pt idx="584">
                  <c:v>43536</c:v>
                </c:pt>
                <c:pt idx="585">
                  <c:v>43543</c:v>
                </c:pt>
                <c:pt idx="586">
                  <c:v>43550</c:v>
                </c:pt>
                <c:pt idx="587">
                  <c:v>43557</c:v>
                </c:pt>
                <c:pt idx="588">
                  <c:v>43564</c:v>
                </c:pt>
                <c:pt idx="589">
                  <c:v>43571</c:v>
                </c:pt>
                <c:pt idx="590">
                  <c:v>43578</c:v>
                </c:pt>
                <c:pt idx="591">
                  <c:v>43585</c:v>
                </c:pt>
                <c:pt idx="592">
                  <c:v>43592</c:v>
                </c:pt>
                <c:pt idx="593">
                  <c:v>43599</c:v>
                </c:pt>
                <c:pt idx="594">
                  <c:v>43606</c:v>
                </c:pt>
                <c:pt idx="595">
                  <c:v>43613</c:v>
                </c:pt>
                <c:pt idx="596">
                  <c:v>43620</c:v>
                </c:pt>
                <c:pt idx="597">
                  <c:v>43627</c:v>
                </c:pt>
                <c:pt idx="598">
                  <c:v>43634</c:v>
                </c:pt>
                <c:pt idx="599">
                  <c:v>43641</c:v>
                </c:pt>
                <c:pt idx="600">
                  <c:v>43648</c:v>
                </c:pt>
                <c:pt idx="601">
                  <c:v>43655</c:v>
                </c:pt>
                <c:pt idx="602">
                  <c:v>43662</c:v>
                </c:pt>
                <c:pt idx="603">
                  <c:v>43669</c:v>
                </c:pt>
                <c:pt idx="604">
                  <c:v>43676</c:v>
                </c:pt>
                <c:pt idx="605">
                  <c:v>43683</c:v>
                </c:pt>
                <c:pt idx="606">
                  <c:v>43690</c:v>
                </c:pt>
                <c:pt idx="607">
                  <c:v>43697</c:v>
                </c:pt>
                <c:pt idx="608">
                  <c:v>43704</c:v>
                </c:pt>
                <c:pt idx="609">
                  <c:v>43711</c:v>
                </c:pt>
                <c:pt idx="610">
                  <c:v>43718</c:v>
                </c:pt>
                <c:pt idx="611">
                  <c:v>43725</c:v>
                </c:pt>
                <c:pt idx="612">
                  <c:v>43732</c:v>
                </c:pt>
                <c:pt idx="613">
                  <c:v>43739</c:v>
                </c:pt>
                <c:pt idx="614">
                  <c:v>43746</c:v>
                </c:pt>
                <c:pt idx="615">
                  <c:v>43753</c:v>
                </c:pt>
                <c:pt idx="616">
                  <c:v>43760</c:v>
                </c:pt>
                <c:pt idx="617">
                  <c:v>43767</c:v>
                </c:pt>
                <c:pt idx="618">
                  <c:v>43774</c:v>
                </c:pt>
                <c:pt idx="619">
                  <c:v>43781</c:v>
                </c:pt>
                <c:pt idx="620">
                  <c:v>43788</c:v>
                </c:pt>
                <c:pt idx="621">
                  <c:v>43795</c:v>
                </c:pt>
                <c:pt idx="622">
                  <c:v>43802</c:v>
                </c:pt>
                <c:pt idx="623">
                  <c:v>43809</c:v>
                </c:pt>
                <c:pt idx="624">
                  <c:v>43816</c:v>
                </c:pt>
                <c:pt idx="625">
                  <c:v>43823</c:v>
                </c:pt>
                <c:pt idx="626">
                  <c:v>43830</c:v>
                </c:pt>
                <c:pt idx="627">
                  <c:v>43837</c:v>
                </c:pt>
                <c:pt idx="628">
                  <c:v>43844</c:v>
                </c:pt>
                <c:pt idx="629">
                  <c:v>43851</c:v>
                </c:pt>
                <c:pt idx="630">
                  <c:v>43858</c:v>
                </c:pt>
                <c:pt idx="631">
                  <c:v>43865</c:v>
                </c:pt>
                <c:pt idx="632">
                  <c:v>43872</c:v>
                </c:pt>
                <c:pt idx="633">
                  <c:v>43879</c:v>
                </c:pt>
                <c:pt idx="634">
                  <c:v>43886</c:v>
                </c:pt>
                <c:pt idx="635">
                  <c:v>43893</c:v>
                </c:pt>
                <c:pt idx="636">
                  <c:v>43900</c:v>
                </c:pt>
                <c:pt idx="637">
                  <c:v>43907</c:v>
                </c:pt>
                <c:pt idx="638">
                  <c:v>43914</c:v>
                </c:pt>
                <c:pt idx="639">
                  <c:v>43921</c:v>
                </c:pt>
                <c:pt idx="640">
                  <c:v>43928</c:v>
                </c:pt>
                <c:pt idx="641">
                  <c:v>43935</c:v>
                </c:pt>
                <c:pt idx="642">
                  <c:v>43942</c:v>
                </c:pt>
                <c:pt idx="643">
                  <c:v>43949</c:v>
                </c:pt>
                <c:pt idx="644">
                  <c:v>43956</c:v>
                </c:pt>
                <c:pt idx="645">
                  <c:v>43963</c:v>
                </c:pt>
                <c:pt idx="646">
                  <c:v>43970</c:v>
                </c:pt>
                <c:pt idx="647">
                  <c:v>43977</c:v>
                </c:pt>
                <c:pt idx="648">
                  <c:v>43984</c:v>
                </c:pt>
                <c:pt idx="649">
                  <c:v>43991</c:v>
                </c:pt>
                <c:pt idx="650">
                  <c:v>43998</c:v>
                </c:pt>
                <c:pt idx="651">
                  <c:v>44005</c:v>
                </c:pt>
                <c:pt idx="652">
                  <c:v>44012</c:v>
                </c:pt>
                <c:pt idx="653">
                  <c:v>44019</c:v>
                </c:pt>
                <c:pt idx="654">
                  <c:v>44026</c:v>
                </c:pt>
                <c:pt idx="655">
                  <c:v>44033</c:v>
                </c:pt>
                <c:pt idx="656">
                  <c:v>44040</c:v>
                </c:pt>
                <c:pt idx="657">
                  <c:v>44047</c:v>
                </c:pt>
                <c:pt idx="658">
                  <c:v>44054</c:v>
                </c:pt>
                <c:pt idx="659">
                  <c:v>44061</c:v>
                </c:pt>
                <c:pt idx="660">
                  <c:v>44068</c:v>
                </c:pt>
                <c:pt idx="661">
                  <c:v>44075</c:v>
                </c:pt>
                <c:pt idx="662">
                  <c:v>44082</c:v>
                </c:pt>
                <c:pt idx="663">
                  <c:v>44089</c:v>
                </c:pt>
                <c:pt idx="664">
                  <c:v>44096</c:v>
                </c:pt>
                <c:pt idx="665">
                  <c:v>44103</c:v>
                </c:pt>
                <c:pt idx="666">
                  <c:v>44110</c:v>
                </c:pt>
                <c:pt idx="667">
                  <c:v>44117</c:v>
                </c:pt>
                <c:pt idx="668">
                  <c:v>44124</c:v>
                </c:pt>
                <c:pt idx="669">
                  <c:v>44131</c:v>
                </c:pt>
                <c:pt idx="670">
                  <c:v>44138</c:v>
                </c:pt>
                <c:pt idx="671">
                  <c:v>44145</c:v>
                </c:pt>
                <c:pt idx="672">
                  <c:v>44152</c:v>
                </c:pt>
                <c:pt idx="673">
                  <c:v>44159</c:v>
                </c:pt>
                <c:pt idx="674">
                  <c:v>44166</c:v>
                </c:pt>
                <c:pt idx="675">
                  <c:v>44173</c:v>
                </c:pt>
                <c:pt idx="676">
                  <c:v>44180</c:v>
                </c:pt>
                <c:pt idx="677">
                  <c:v>44187</c:v>
                </c:pt>
                <c:pt idx="678">
                  <c:v>44194</c:v>
                </c:pt>
                <c:pt idx="679">
                  <c:v>44201</c:v>
                </c:pt>
                <c:pt idx="680">
                  <c:v>44208</c:v>
                </c:pt>
                <c:pt idx="681">
                  <c:v>44215</c:v>
                </c:pt>
                <c:pt idx="682">
                  <c:v>44222</c:v>
                </c:pt>
                <c:pt idx="683">
                  <c:v>44229</c:v>
                </c:pt>
                <c:pt idx="684">
                  <c:v>44236</c:v>
                </c:pt>
                <c:pt idx="685">
                  <c:v>44243</c:v>
                </c:pt>
                <c:pt idx="686">
                  <c:v>44250</c:v>
                </c:pt>
                <c:pt idx="687">
                  <c:v>44257</c:v>
                </c:pt>
                <c:pt idx="688">
                  <c:v>44264</c:v>
                </c:pt>
                <c:pt idx="689">
                  <c:v>44271</c:v>
                </c:pt>
                <c:pt idx="690">
                  <c:v>44278</c:v>
                </c:pt>
                <c:pt idx="691">
                  <c:v>44285</c:v>
                </c:pt>
                <c:pt idx="692">
                  <c:v>44292</c:v>
                </c:pt>
                <c:pt idx="693">
                  <c:v>44299</c:v>
                </c:pt>
                <c:pt idx="694">
                  <c:v>44306</c:v>
                </c:pt>
                <c:pt idx="695">
                  <c:v>44313</c:v>
                </c:pt>
                <c:pt idx="696">
                  <c:v>44320</c:v>
                </c:pt>
                <c:pt idx="697">
                  <c:v>44327</c:v>
                </c:pt>
                <c:pt idx="698">
                  <c:v>44334</c:v>
                </c:pt>
                <c:pt idx="699">
                  <c:v>44341</c:v>
                </c:pt>
                <c:pt idx="700">
                  <c:v>44348</c:v>
                </c:pt>
                <c:pt idx="701">
                  <c:v>44355</c:v>
                </c:pt>
                <c:pt idx="702">
                  <c:v>44362</c:v>
                </c:pt>
                <c:pt idx="703">
                  <c:v>44369</c:v>
                </c:pt>
                <c:pt idx="704">
                  <c:v>44376</c:v>
                </c:pt>
                <c:pt idx="705">
                  <c:v>44383</c:v>
                </c:pt>
                <c:pt idx="706">
                  <c:v>44390</c:v>
                </c:pt>
                <c:pt idx="707">
                  <c:v>44397</c:v>
                </c:pt>
                <c:pt idx="708">
                  <c:v>44404</c:v>
                </c:pt>
                <c:pt idx="709">
                  <c:v>44411</c:v>
                </c:pt>
                <c:pt idx="710">
                  <c:v>44418</c:v>
                </c:pt>
                <c:pt idx="711">
                  <c:v>44425</c:v>
                </c:pt>
                <c:pt idx="712">
                  <c:v>44432</c:v>
                </c:pt>
                <c:pt idx="713">
                  <c:v>44439</c:v>
                </c:pt>
                <c:pt idx="714">
                  <c:v>44446</c:v>
                </c:pt>
                <c:pt idx="715">
                  <c:v>44453</c:v>
                </c:pt>
                <c:pt idx="716">
                  <c:v>44460</c:v>
                </c:pt>
                <c:pt idx="717">
                  <c:v>44467</c:v>
                </c:pt>
                <c:pt idx="718">
                  <c:v>44474</c:v>
                </c:pt>
                <c:pt idx="719">
                  <c:v>44481</c:v>
                </c:pt>
                <c:pt idx="720">
                  <c:v>44488</c:v>
                </c:pt>
                <c:pt idx="721">
                  <c:v>44495</c:v>
                </c:pt>
                <c:pt idx="722">
                  <c:v>44502</c:v>
                </c:pt>
                <c:pt idx="723">
                  <c:v>44509</c:v>
                </c:pt>
                <c:pt idx="724">
                  <c:v>44516</c:v>
                </c:pt>
                <c:pt idx="725">
                  <c:v>44523</c:v>
                </c:pt>
                <c:pt idx="726">
                  <c:v>44530</c:v>
                </c:pt>
                <c:pt idx="727">
                  <c:v>44537</c:v>
                </c:pt>
                <c:pt idx="728">
                  <c:v>44544</c:v>
                </c:pt>
                <c:pt idx="729">
                  <c:v>44551</c:v>
                </c:pt>
                <c:pt idx="730">
                  <c:v>44558</c:v>
                </c:pt>
                <c:pt idx="731">
                  <c:v>44565</c:v>
                </c:pt>
                <c:pt idx="732">
                  <c:v>44572</c:v>
                </c:pt>
                <c:pt idx="733">
                  <c:v>44579</c:v>
                </c:pt>
                <c:pt idx="734">
                  <c:v>44586</c:v>
                </c:pt>
                <c:pt idx="735">
                  <c:v>44593</c:v>
                </c:pt>
                <c:pt idx="736">
                  <c:v>44600</c:v>
                </c:pt>
                <c:pt idx="737">
                  <c:v>44607</c:v>
                </c:pt>
                <c:pt idx="738">
                  <c:v>44614</c:v>
                </c:pt>
                <c:pt idx="739">
                  <c:v>44621</c:v>
                </c:pt>
                <c:pt idx="740">
                  <c:v>44628</c:v>
                </c:pt>
                <c:pt idx="741">
                  <c:v>44635</c:v>
                </c:pt>
                <c:pt idx="742">
                  <c:v>44642</c:v>
                </c:pt>
                <c:pt idx="743">
                  <c:v>44649</c:v>
                </c:pt>
                <c:pt idx="744">
                  <c:v>44656</c:v>
                </c:pt>
                <c:pt idx="745">
                  <c:v>44663</c:v>
                </c:pt>
                <c:pt idx="746">
                  <c:v>44670</c:v>
                </c:pt>
                <c:pt idx="747">
                  <c:v>44677</c:v>
                </c:pt>
                <c:pt idx="748">
                  <c:v>44684</c:v>
                </c:pt>
                <c:pt idx="749">
                  <c:v>44691</c:v>
                </c:pt>
                <c:pt idx="750">
                  <c:v>44698</c:v>
                </c:pt>
                <c:pt idx="751">
                  <c:v>44705</c:v>
                </c:pt>
                <c:pt idx="752">
                  <c:v>44712</c:v>
                </c:pt>
                <c:pt idx="753">
                  <c:v>44719</c:v>
                </c:pt>
                <c:pt idx="754">
                  <c:v>44726</c:v>
                </c:pt>
                <c:pt idx="755">
                  <c:v>44733</c:v>
                </c:pt>
                <c:pt idx="756">
                  <c:v>44740</c:v>
                </c:pt>
                <c:pt idx="757">
                  <c:v>44747</c:v>
                </c:pt>
                <c:pt idx="758">
                  <c:v>44754</c:v>
                </c:pt>
                <c:pt idx="759">
                  <c:v>44761</c:v>
                </c:pt>
                <c:pt idx="760">
                  <c:v>44768</c:v>
                </c:pt>
                <c:pt idx="761">
                  <c:v>44775</c:v>
                </c:pt>
                <c:pt idx="762">
                  <c:v>44782</c:v>
                </c:pt>
                <c:pt idx="763">
                  <c:v>44789</c:v>
                </c:pt>
                <c:pt idx="764">
                  <c:v>44796</c:v>
                </c:pt>
                <c:pt idx="765">
                  <c:v>44803</c:v>
                </c:pt>
                <c:pt idx="766">
                  <c:v>44810</c:v>
                </c:pt>
                <c:pt idx="767">
                  <c:v>44817</c:v>
                </c:pt>
                <c:pt idx="768">
                  <c:v>44824</c:v>
                </c:pt>
                <c:pt idx="769">
                  <c:v>44831</c:v>
                </c:pt>
                <c:pt idx="770">
                  <c:v>44838</c:v>
                </c:pt>
                <c:pt idx="771">
                  <c:v>44845</c:v>
                </c:pt>
                <c:pt idx="772">
                  <c:v>44852</c:v>
                </c:pt>
                <c:pt idx="773">
                  <c:v>44859</c:v>
                </c:pt>
                <c:pt idx="774">
                  <c:v>44866</c:v>
                </c:pt>
                <c:pt idx="775">
                  <c:v>44873</c:v>
                </c:pt>
                <c:pt idx="776">
                  <c:v>44880</c:v>
                </c:pt>
                <c:pt idx="777">
                  <c:v>44887</c:v>
                </c:pt>
                <c:pt idx="778">
                  <c:v>44894</c:v>
                </c:pt>
                <c:pt idx="779">
                  <c:v>44901</c:v>
                </c:pt>
                <c:pt idx="780">
                  <c:v>44908</c:v>
                </c:pt>
                <c:pt idx="781">
                  <c:v>44915</c:v>
                </c:pt>
                <c:pt idx="782">
                  <c:v>44922</c:v>
                </c:pt>
                <c:pt idx="783">
                  <c:v>44929</c:v>
                </c:pt>
                <c:pt idx="784">
                  <c:v>44936</c:v>
                </c:pt>
                <c:pt idx="785">
                  <c:v>44943</c:v>
                </c:pt>
                <c:pt idx="786">
                  <c:v>44950</c:v>
                </c:pt>
                <c:pt idx="787">
                  <c:v>44957</c:v>
                </c:pt>
                <c:pt idx="788">
                  <c:v>44964</c:v>
                </c:pt>
                <c:pt idx="789">
                  <c:v>44971</c:v>
                </c:pt>
                <c:pt idx="790">
                  <c:v>44978</c:v>
                </c:pt>
                <c:pt idx="791">
                  <c:v>44985</c:v>
                </c:pt>
                <c:pt idx="792">
                  <c:v>44992</c:v>
                </c:pt>
                <c:pt idx="793">
                  <c:v>44999</c:v>
                </c:pt>
                <c:pt idx="794">
                  <c:v>45006</c:v>
                </c:pt>
                <c:pt idx="795">
                  <c:v>45013</c:v>
                </c:pt>
                <c:pt idx="796">
                  <c:v>45020</c:v>
                </c:pt>
                <c:pt idx="797">
                  <c:v>45027</c:v>
                </c:pt>
                <c:pt idx="798">
                  <c:v>45034</c:v>
                </c:pt>
                <c:pt idx="799">
                  <c:v>45041</c:v>
                </c:pt>
                <c:pt idx="800">
                  <c:v>45048</c:v>
                </c:pt>
                <c:pt idx="801">
                  <c:v>45055</c:v>
                </c:pt>
                <c:pt idx="802">
                  <c:v>45062</c:v>
                </c:pt>
                <c:pt idx="803">
                  <c:v>45069</c:v>
                </c:pt>
                <c:pt idx="804">
                  <c:v>45076</c:v>
                </c:pt>
                <c:pt idx="805">
                  <c:v>45083</c:v>
                </c:pt>
                <c:pt idx="806">
                  <c:v>45090</c:v>
                </c:pt>
                <c:pt idx="807">
                  <c:v>45097</c:v>
                </c:pt>
                <c:pt idx="808">
                  <c:v>45104</c:v>
                </c:pt>
                <c:pt idx="809">
                  <c:v>45111</c:v>
                </c:pt>
                <c:pt idx="810">
                  <c:v>45118</c:v>
                </c:pt>
                <c:pt idx="811">
                  <c:v>45125</c:v>
                </c:pt>
                <c:pt idx="812">
                  <c:v>45132</c:v>
                </c:pt>
                <c:pt idx="813">
                  <c:v>45139</c:v>
                </c:pt>
                <c:pt idx="814">
                  <c:v>45146</c:v>
                </c:pt>
                <c:pt idx="815">
                  <c:v>45153</c:v>
                </c:pt>
                <c:pt idx="816">
                  <c:v>45160</c:v>
                </c:pt>
                <c:pt idx="817">
                  <c:v>45167</c:v>
                </c:pt>
                <c:pt idx="818">
                  <c:v>45174</c:v>
                </c:pt>
                <c:pt idx="819">
                  <c:v>45181</c:v>
                </c:pt>
                <c:pt idx="820">
                  <c:v>45188</c:v>
                </c:pt>
                <c:pt idx="821">
                  <c:v>45195</c:v>
                </c:pt>
                <c:pt idx="822">
                  <c:v>45202</c:v>
                </c:pt>
                <c:pt idx="823">
                  <c:v>45209</c:v>
                </c:pt>
                <c:pt idx="824">
                  <c:v>45216</c:v>
                </c:pt>
                <c:pt idx="825">
                  <c:v>45223</c:v>
                </c:pt>
                <c:pt idx="826">
                  <c:v>45230</c:v>
                </c:pt>
                <c:pt idx="827">
                  <c:v>45237</c:v>
                </c:pt>
                <c:pt idx="828">
                  <c:v>45244</c:v>
                </c:pt>
                <c:pt idx="829">
                  <c:v>45251</c:v>
                </c:pt>
                <c:pt idx="830">
                  <c:v>45258</c:v>
                </c:pt>
                <c:pt idx="831">
                  <c:v>45265</c:v>
                </c:pt>
                <c:pt idx="832">
                  <c:v>45272</c:v>
                </c:pt>
                <c:pt idx="833">
                  <c:v>45279</c:v>
                </c:pt>
                <c:pt idx="834">
                  <c:v>45286</c:v>
                </c:pt>
                <c:pt idx="835">
                  <c:v>45293</c:v>
                </c:pt>
                <c:pt idx="836">
                  <c:v>45300</c:v>
                </c:pt>
                <c:pt idx="837">
                  <c:v>45307</c:v>
                </c:pt>
                <c:pt idx="838">
                  <c:v>45314</c:v>
                </c:pt>
                <c:pt idx="839">
                  <c:v>45321</c:v>
                </c:pt>
                <c:pt idx="840">
                  <c:v>45328</c:v>
                </c:pt>
                <c:pt idx="841">
                  <c:v>45335</c:v>
                </c:pt>
                <c:pt idx="842">
                  <c:v>45342</c:v>
                </c:pt>
                <c:pt idx="843">
                  <c:v>45349</c:v>
                </c:pt>
                <c:pt idx="844">
                  <c:v>45356</c:v>
                </c:pt>
                <c:pt idx="845">
                  <c:v>45363</c:v>
                </c:pt>
                <c:pt idx="846">
                  <c:v>45370</c:v>
                </c:pt>
                <c:pt idx="847">
                  <c:v>45377</c:v>
                </c:pt>
                <c:pt idx="848">
                  <c:v>45384</c:v>
                </c:pt>
                <c:pt idx="849">
                  <c:v>45391</c:v>
                </c:pt>
                <c:pt idx="850">
                  <c:v>45398</c:v>
                </c:pt>
                <c:pt idx="851">
                  <c:v>45405</c:v>
                </c:pt>
                <c:pt idx="852">
                  <c:v>45412</c:v>
                </c:pt>
                <c:pt idx="853">
                  <c:v>45419</c:v>
                </c:pt>
                <c:pt idx="854">
                  <c:v>45426</c:v>
                </c:pt>
                <c:pt idx="855">
                  <c:v>45433</c:v>
                </c:pt>
                <c:pt idx="856">
                  <c:v>45440</c:v>
                </c:pt>
                <c:pt idx="857">
                  <c:v>45447</c:v>
                </c:pt>
                <c:pt idx="858">
                  <c:v>45454</c:v>
                </c:pt>
                <c:pt idx="859">
                  <c:v>45461</c:v>
                </c:pt>
                <c:pt idx="860">
                  <c:v>45468</c:v>
                </c:pt>
                <c:pt idx="861">
                  <c:v>45475</c:v>
                </c:pt>
                <c:pt idx="862">
                  <c:v>45482</c:v>
                </c:pt>
                <c:pt idx="863">
                  <c:v>45489</c:v>
                </c:pt>
                <c:pt idx="864">
                  <c:v>45496</c:v>
                </c:pt>
                <c:pt idx="865">
                  <c:v>45503</c:v>
                </c:pt>
                <c:pt idx="866">
                  <c:v>45510</c:v>
                </c:pt>
                <c:pt idx="867">
                  <c:v>45517</c:v>
                </c:pt>
                <c:pt idx="868">
                  <c:v>45524</c:v>
                </c:pt>
                <c:pt idx="869">
                  <c:v>45531</c:v>
                </c:pt>
                <c:pt idx="870">
                  <c:v>45538</c:v>
                </c:pt>
                <c:pt idx="871">
                  <c:v>45545</c:v>
                </c:pt>
                <c:pt idx="872">
                  <c:v>45552</c:v>
                </c:pt>
                <c:pt idx="873">
                  <c:v>45559</c:v>
                </c:pt>
                <c:pt idx="874">
                  <c:v>45566</c:v>
                </c:pt>
                <c:pt idx="875">
                  <c:v>45573</c:v>
                </c:pt>
                <c:pt idx="876">
                  <c:v>45580</c:v>
                </c:pt>
                <c:pt idx="877">
                  <c:v>45587</c:v>
                </c:pt>
                <c:pt idx="878">
                  <c:v>45594</c:v>
                </c:pt>
                <c:pt idx="879">
                  <c:v>45601</c:v>
                </c:pt>
                <c:pt idx="880">
                  <c:v>45608</c:v>
                </c:pt>
                <c:pt idx="881">
                  <c:v>45615</c:v>
                </c:pt>
                <c:pt idx="882">
                  <c:v>45622</c:v>
                </c:pt>
                <c:pt idx="883">
                  <c:v>45629</c:v>
                </c:pt>
                <c:pt idx="884">
                  <c:v>45636</c:v>
                </c:pt>
                <c:pt idx="885">
                  <c:v>45643</c:v>
                </c:pt>
                <c:pt idx="886">
                  <c:v>45650</c:v>
                </c:pt>
                <c:pt idx="887">
                  <c:v>45657</c:v>
                </c:pt>
                <c:pt idx="888">
                  <c:v>45664</c:v>
                </c:pt>
                <c:pt idx="889">
                  <c:v>45671</c:v>
                </c:pt>
                <c:pt idx="890">
                  <c:v>45678</c:v>
                </c:pt>
                <c:pt idx="891">
                  <c:v>45685</c:v>
                </c:pt>
                <c:pt idx="892">
                  <c:v>45692</c:v>
                </c:pt>
                <c:pt idx="893">
                  <c:v>45699</c:v>
                </c:pt>
                <c:pt idx="894">
                  <c:v>45706</c:v>
                </c:pt>
                <c:pt idx="895">
                  <c:v>45713</c:v>
                </c:pt>
                <c:pt idx="896">
                  <c:v>45720</c:v>
                </c:pt>
                <c:pt idx="897">
                  <c:v>45727</c:v>
                </c:pt>
                <c:pt idx="898">
                  <c:v>45734</c:v>
                </c:pt>
                <c:pt idx="899">
                  <c:v>45741</c:v>
                </c:pt>
                <c:pt idx="900">
                  <c:v>45748</c:v>
                </c:pt>
                <c:pt idx="901">
                  <c:v>45755</c:v>
                </c:pt>
                <c:pt idx="902">
                  <c:v>45762</c:v>
                </c:pt>
                <c:pt idx="903">
                  <c:v>45769</c:v>
                </c:pt>
                <c:pt idx="904">
                  <c:v>45776</c:v>
                </c:pt>
                <c:pt idx="905">
                  <c:v>45783</c:v>
                </c:pt>
                <c:pt idx="906">
                  <c:v>45790</c:v>
                </c:pt>
                <c:pt idx="907">
                  <c:v>45797</c:v>
                </c:pt>
                <c:pt idx="908">
                  <c:v>45804</c:v>
                </c:pt>
                <c:pt idx="909">
                  <c:v>45811</c:v>
                </c:pt>
                <c:pt idx="910">
                  <c:v>45818</c:v>
                </c:pt>
                <c:pt idx="911">
                  <c:v>45825</c:v>
                </c:pt>
                <c:pt idx="912">
                  <c:v>45832</c:v>
                </c:pt>
                <c:pt idx="913">
                  <c:v>45839</c:v>
                </c:pt>
                <c:pt idx="914">
                  <c:v>45846</c:v>
                </c:pt>
                <c:pt idx="915">
                  <c:v>45853</c:v>
                </c:pt>
                <c:pt idx="916">
                  <c:v>45860</c:v>
                </c:pt>
                <c:pt idx="917">
                  <c:v>45867</c:v>
                </c:pt>
                <c:pt idx="918">
                  <c:v>45874</c:v>
                </c:pt>
                <c:pt idx="919">
                  <c:v>45881</c:v>
                </c:pt>
                <c:pt idx="920">
                  <c:v>45888</c:v>
                </c:pt>
                <c:pt idx="921">
                  <c:v>45895</c:v>
                </c:pt>
                <c:pt idx="922">
                  <c:v>45902</c:v>
                </c:pt>
                <c:pt idx="923">
                  <c:v>45909</c:v>
                </c:pt>
                <c:pt idx="924">
                  <c:v>45916</c:v>
                </c:pt>
                <c:pt idx="925">
                  <c:v>45923</c:v>
                </c:pt>
                <c:pt idx="926">
                  <c:v>45930</c:v>
                </c:pt>
                <c:pt idx="927">
                  <c:v>45937</c:v>
                </c:pt>
                <c:pt idx="928">
                  <c:v>45944</c:v>
                </c:pt>
                <c:pt idx="929">
                  <c:v>45951</c:v>
                </c:pt>
                <c:pt idx="930">
                  <c:v>45958</c:v>
                </c:pt>
                <c:pt idx="931">
                  <c:v>45965</c:v>
                </c:pt>
                <c:pt idx="932">
                  <c:v>45972</c:v>
                </c:pt>
                <c:pt idx="933">
                  <c:v>45979</c:v>
                </c:pt>
                <c:pt idx="934">
                  <c:v>45986</c:v>
                </c:pt>
                <c:pt idx="935">
                  <c:v>45993</c:v>
                </c:pt>
                <c:pt idx="936">
                  <c:v>46000</c:v>
                </c:pt>
                <c:pt idx="937">
                  <c:v>46007</c:v>
                </c:pt>
                <c:pt idx="938">
                  <c:v>46014</c:v>
                </c:pt>
                <c:pt idx="939">
                  <c:v>46021</c:v>
                </c:pt>
                <c:pt idx="940">
                  <c:v>46028</c:v>
                </c:pt>
                <c:pt idx="941">
                  <c:v>46035</c:v>
                </c:pt>
                <c:pt idx="942">
                  <c:v>46042</c:v>
                </c:pt>
                <c:pt idx="943">
                  <c:v>46049</c:v>
                </c:pt>
                <c:pt idx="944">
                  <c:v>46056</c:v>
                </c:pt>
                <c:pt idx="945">
                  <c:v>46063</c:v>
                </c:pt>
                <c:pt idx="946">
                  <c:v>46070</c:v>
                </c:pt>
                <c:pt idx="947">
                  <c:v>46077</c:v>
                </c:pt>
                <c:pt idx="948">
                  <c:v>46084</c:v>
                </c:pt>
                <c:pt idx="949">
                  <c:v>46091</c:v>
                </c:pt>
                <c:pt idx="950">
                  <c:v>46098</c:v>
                </c:pt>
                <c:pt idx="951">
                  <c:v>46105</c:v>
                </c:pt>
                <c:pt idx="952">
                  <c:v>46112</c:v>
                </c:pt>
                <c:pt idx="953">
                  <c:v>46119</c:v>
                </c:pt>
                <c:pt idx="954">
                  <c:v>46126</c:v>
                </c:pt>
                <c:pt idx="955">
                  <c:v>46133</c:v>
                </c:pt>
                <c:pt idx="956">
                  <c:v>46140</c:v>
                </c:pt>
                <c:pt idx="957">
                  <c:v>46147</c:v>
                </c:pt>
                <c:pt idx="958">
                  <c:v>46154</c:v>
                </c:pt>
                <c:pt idx="959">
                  <c:v>46161</c:v>
                </c:pt>
                <c:pt idx="960">
                  <c:v>46168</c:v>
                </c:pt>
                <c:pt idx="961">
                  <c:v>46175</c:v>
                </c:pt>
                <c:pt idx="962">
                  <c:v>46182</c:v>
                </c:pt>
                <c:pt idx="963">
                  <c:v>46189</c:v>
                </c:pt>
                <c:pt idx="964">
                  <c:v>46196</c:v>
                </c:pt>
                <c:pt idx="965">
                  <c:v>46203</c:v>
                </c:pt>
                <c:pt idx="966">
                  <c:v>46210</c:v>
                </c:pt>
                <c:pt idx="967">
                  <c:v>46217</c:v>
                </c:pt>
                <c:pt idx="968">
                  <c:v>46224</c:v>
                </c:pt>
                <c:pt idx="969">
                  <c:v>46231</c:v>
                </c:pt>
              </c:numCache>
            </c:numRef>
          </c:cat>
          <c:val>
            <c:numRef>
              <c:f>Sheet1!$L$9:$L$978</c:f>
              <c:numCache>
                <c:formatCode>0.00%</c:formatCode>
                <c:ptCount val="970"/>
                <c:pt idx="0">
                  <c:v>0.28808787927413787</c:v>
                </c:pt>
                <c:pt idx="1">
                  <c:v>0.2890121218830432</c:v>
                </c:pt>
                <c:pt idx="2">
                  <c:v>0.30313606640481117</c:v>
                </c:pt>
                <c:pt idx="3">
                  <c:v>0.34023556934193089</c:v>
                </c:pt>
                <c:pt idx="4">
                  <c:v>0.35300440007652306</c:v>
                </c:pt>
                <c:pt idx="5">
                  <c:v>0.3724907063197026</c:v>
                </c:pt>
                <c:pt idx="6">
                  <c:v>0.32259152166583227</c:v>
                </c:pt>
                <c:pt idx="7">
                  <c:v>0.29252040486322578</c:v>
                </c:pt>
                <c:pt idx="8">
                  <c:v>0.27705613596363876</c:v>
                </c:pt>
                <c:pt idx="9">
                  <c:v>0.27477380271030172</c:v>
                </c:pt>
                <c:pt idx="10">
                  <c:v>0.2614945464762829</c:v>
                </c:pt>
                <c:pt idx="11">
                  <c:v>0.27739605764452541</c:v>
                </c:pt>
                <c:pt idx="12">
                  <c:v>0.30173027201059582</c:v>
                </c:pt>
                <c:pt idx="13">
                  <c:v>0.3327611749680715</c:v>
                </c:pt>
                <c:pt idx="14">
                  <c:v>0.29011789065891863</c:v>
                </c:pt>
                <c:pt idx="15">
                  <c:v>0.281594439689826</c:v>
                </c:pt>
                <c:pt idx="16">
                  <c:v>0.25725455700532668</c:v>
                </c:pt>
                <c:pt idx="17">
                  <c:v>0.28878786615841834</c:v>
                </c:pt>
                <c:pt idx="18">
                  <c:v>0.28057121087513909</c:v>
                </c:pt>
                <c:pt idx="19">
                  <c:v>0.26557151985625804</c:v>
                </c:pt>
                <c:pt idx="20">
                  <c:v>0.30840412432681186</c:v>
                </c:pt>
                <c:pt idx="21">
                  <c:v>0.32281023207796783</c:v>
                </c:pt>
                <c:pt idx="22">
                  <c:v>0.32905935554462917</c:v>
                </c:pt>
                <c:pt idx="23">
                  <c:v>0.31980889978952004</c:v>
                </c:pt>
                <c:pt idx="24">
                  <c:v>0.32995671250625752</c:v>
                </c:pt>
                <c:pt idx="25">
                  <c:v>0.32854144577263289</c:v>
                </c:pt>
                <c:pt idx="26">
                  <c:v>0.33349774776408464</c:v>
                </c:pt>
                <c:pt idx="27">
                  <c:v>0.36780150518401211</c:v>
                </c:pt>
                <c:pt idx="28">
                  <c:v>0.34359855773721676</c:v>
                </c:pt>
                <c:pt idx="29">
                  <c:v>0.35778423508226243</c:v>
                </c:pt>
                <c:pt idx="30">
                  <c:v>0.32998020824369678</c:v>
                </c:pt>
                <c:pt idx="31">
                  <c:v>0.34655056214879648</c:v>
                </c:pt>
                <c:pt idx="32">
                  <c:v>0.3697680035362258</c:v>
                </c:pt>
                <c:pt idx="33">
                  <c:v>0.36905026714643985</c:v>
                </c:pt>
                <c:pt idx="34">
                  <c:v>0.35375565248709434</c:v>
                </c:pt>
                <c:pt idx="35">
                  <c:v>0.36939266754283079</c:v>
                </c:pt>
                <c:pt idx="36">
                  <c:v>0.39723053892215571</c:v>
                </c:pt>
                <c:pt idx="37">
                  <c:v>0.3858062561539044</c:v>
                </c:pt>
                <c:pt idx="38">
                  <c:v>0.40144178885419513</c:v>
                </c:pt>
                <c:pt idx="39">
                  <c:v>0.38157285395528984</c:v>
                </c:pt>
                <c:pt idx="40">
                  <c:v>0.42278683338605749</c:v>
                </c:pt>
                <c:pt idx="41">
                  <c:v>0.39831169291478125</c:v>
                </c:pt>
                <c:pt idx="42">
                  <c:v>0.38726101106274402</c:v>
                </c:pt>
                <c:pt idx="43">
                  <c:v>0.36601413370156771</c:v>
                </c:pt>
                <c:pt idx="44">
                  <c:v>0.37334332851144075</c:v>
                </c:pt>
                <c:pt idx="45">
                  <c:v>0.3352378884578246</c:v>
                </c:pt>
                <c:pt idx="46">
                  <c:v>0.34260690047346493</c:v>
                </c:pt>
                <c:pt idx="47">
                  <c:v>0.34620756109312012</c:v>
                </c:pt>
                <c:pt idx="48">
                  <c:v>0.33528538338183761</c:v>
                </c:pt>
                <c:pt idx="49">
                  <c:v>0.28914655008553508</c:v>
                </c:pt>
                <c:pt idx="50">
                  <c:v>0.27659080352995818</c:v>
                </c:pt>
                <c:pt idx="51">
                  <c:v>0.28431357828195619</c:v>
                </c:pt>
                <c:pt idx="52">
                  <c:v>0.2935914599597868</c:v>
                </c:pt>
                <c:pt idx="53">
                  <c:v>0.28221869754692863</c:v>
                </c:pt>
                <c:pt idx="54">
                  <c:v>0.33052461557134455</c:v>
                </c:pt>
                <c:pt idx="55">
                  <c:v>0.31374607906386953</c:v>
                </c:pt>
                <c:pt idx="56">
                  <c:v>0.28818321930681906</c:v>
                </c:pt>
                <c:pt idx="57">
                  <c:v>0.30124772649224779</c:v>
                </c:pt>
                <c:pt idx="58">
                  <c:v>0.34552483265173251</c:v>
                </c:pt>
                <c:pt idx="59">
                  <c:v>0.36871225601470237</c:v>
                </c:pt>
                <c:pt idx="60">
                  <c:v>0.38288581748610445</c:v>
                </c:pt>
                <c:pt idx="61">
                  <c:v>0.42511806745517616</c:v>
                </c:pt>
                <c:pt idx="62">
                  <c:v>0.37859737888269646</c:v>
                </c:pt>
                <c:pt idx="63">
                  <c:v>0.32815185676081998</c:v>
                </c:pt>
                <c:pt idx="64">
                  <c:v>0.30221378007108379</c:v>
                </c:pt>
                <c:pt idx="65">
                  <c:v>0.3420856986711438</c:v>
                </c:pt>
                <c:pt idx="66">
                  <c:v>0.30262857258912113</c:v>
                </c:pt>
                <c:pt idx="67">
                  <c:v>0.32321702650158601</c:v>
                </c:pt>
                <c:pt idx="68">
                  <c:v>0.39198683551548974</c:v>
                </c:pt>
                <c:pt idx="69">
                  <c:v>0.37394478783743879</c:v>
                </c:pt>
                <c:pt idx="70">
                  <c:v>0.35400679966254273</c:v>
                </c:pt>
                <c:pt idx="71">
                  <c:v>0.31764010313736868</c:v>
                </c:pt>
                <c:pt idx="72">
                  <c:v>0.27392454886089462</c:v>
                </c:pt>
                <c:pt idx="73">
                  <c:v>0.26619649007708707</c:v>
                </c:pt>
                <c:pt idx="74">
                  <c:v>0.28723732474032432</c:v>
                </c:pt>
                <c:pt idx="75">
                  <c:v>0.26884210729895952</c:v>
                </c:pt>
                <c:pt idx="76">
                  <c:v>0.31738999441884358</c:v>
                </c:pt>
                <c:pt idx="77">
                  <c:v>0.28309991521354949</c:v>
                </c:pt>
                <c:pt idx="78">
                  <c:v>0.27478527845789125</c:v>
                </c:pt>
                <c:pt idx="79">
                  <c:v>0.32896261663569704</c:v>
                </c:pt>
                <c:pt idx="80">
                  <c:v>0.33724620442846975</c:v>
                </c:pt>
                <c:pt idx="81">
                  <c:v>0.36401934054500951</c:v>
                </c:pt>
                <c:pt idx="82">
                  <c:v>0.3504192199632768</c:v>
                </c:pt>
                <c:pt idx="83">
                  <c:v>0.25649030999157391</c:v>
                </c:pt>
                <c:pt idx="84">
                  <c:v>0.26457792927989715</c:v>
                </c:pt>
                <c:pt idx="85">
                  <c:v>0.27420978736768209</c:v>
                </c:pt>
                <c:pt idx="86">
                  <c:v>0.25277742306218876</c:v>
                </c:pt>
                <c:pt idx="87">
                  <c:v>0.30688845545890681</c:v>
                </c:pt>
                <c:pt idx="88">
                  <c:v>0.27155159787925831</c:v>
                </c:pt>
                <c:pt idx="89">
                  <c:v>0.22617698440585363</c:v>
                </c:pt>
                <c:pt idx="90">
                  <c:v>0.2112</c:v>
                </c:pt>
                <c:pt idx="91">
                  <c:v>0.32063326606885922</c:v>
                </c:pt>
                <c:pt idx="92">
                  <c:v>0.25443937882251882</c:v>
                </c:pt>
                <c:pt idx="93">
                  <c:v>0.21870531544711416</c:v>
                </c:pt>
                <c:pt idx="94">
                  <c:v>0.19113780181775217</c:v>
                </c:pt>
                <c:pt idx="95">
                  <c:v>0.17205141724695916</c:v>
                </c:pt>
                <c:pt idx="96">
                  <c:v>0.16238220207562926</c:v>
                </c:pt>
                <c:pt idx="97">
                  <c:v>0.17536296701203402</c:v>
                </c:pt>
                <c:pt idx="98">
                  <c:v>0.17678904252091371</c:v>
                </c:pt>
                <c:pt idx="99">
                  <c:v>0.22933689685732447</c:v>
                </c:pt>
                <c:pt idx="100">
                  <c:v>0.21874194379994844</c:v>
                </c:pt>
                <c:pt idx="101">
                  <c:v>0.26861181370448695</c:v>
                </c:pt>
                <c:pt idx="102">
                  <c:v>0.30549390514562774</c:v>
                </c:pt>
                <c:pt idx="103">
                  <c:v>0.25755996761771005</c:v>
                </c:pt>
                <c:pt idx="104">
                  <c:v>0.20958986207136157</c:v>
                </c:pt>
                <c:pt idx="105">
                  <c:v>0.19306856941231818</c:v>
                </c:pt>
                <c:pt idx="106">
                  <c:v>0.18032160657765489</c:v>
                </c:pt>
                <c:pt idx="107">
                  <c:v>0.17727477552966062</c:v>
                </c:pt>
                <c:pt idx="108">
                  <c:v>0.23911222085808143</c:v>
                </c:pt>
                <c:pt idx="109">
                  <c:v>0.25229355843513906</c:v>
                </c:pt>
                <c:pt idx="110">
                  <c:v>0.318906457578994</c:v>
                </c:pt>
                <c:pt idx="111">
                  <c:v>0.24705375550016923</c:v>
                </c:pt>
                <c:pt idx="112">
                  <c:v>0.23130195059384007</c:v>
                </c:pt>
                <c:pt idx="113">
                  <c:v>0.20977810142201186</c:v>
                </c:pt>
                <c:pt idx="114">
                  <c:v>0.19279055075904053</c:v>
                </c:pt>
                <c:pt idx="115">
                  <c:v>0.18034562407211616</c:v>
                </c:pt>
                <c:pt idx="116">
                  <c:v>0.19749574649085497</c:v>
                </c:pt>
                <c:pt idx="117">
                  <c:v>0.17424102897564753</c:v>
                </c:pt>
                <c:pt idx="118">
                  <c:v>0.1806310050201137</c:v>
                </c:pt>
                <c:pt idx="119">
                  <c:v>0.18474562695668223</c:v>
                </c:pt>
                <c:pt idx="120">
                  <c:v>0.18114446460180242</c:v>
                </c:pt>
                <c:pt idx="121">
                  <c:v>0.21225654903987959</c:v>
                </c:pt>
                <c:pt idx="122">
                  <c:v>0.2146981457756916</c:v>
                </c:pt>
                <c:pt idx="123">
                  <c:v>0.26494848323729325</c:v>
                </c:pt>
                <c:pt idx="124">
                  <c:v>0.34777304065406389</c:v>
                </c:pt>
                <c:pt idx="125">
                  <c:v>0.36902518719257016</c:v>
                </c:pt>
                <c:pt idx="126">
                  <c:v>0.3813157722162972</c:v>
                </c:pt>
                <c:pt idx="127">
                  <c:v>0.36839219514955995</c:v>
                </c:pt>
                <c:pt idx="128">
                  <c:v>0.31933978792070078</c:v>
                </c:pt>
                <c:pt idx="129">
                  <c:v>0.33834192300308635</c:v>
                </c:pt>
                <c:pt idx="130">
                  <c:v>0.36455923547106778</c:v>
                </c:pt>
                <c:pt idx="131">
                  <c:v>0.40436160905348234</c:v>
                </c:pt>
                <c:pt idx="132">
                  <c:v>0.33750841750841754</c:v>
                </c:pt>
                <c:pt idx="133">
                  <c:v>0.3060521022579808</c:v>
                </c:pt>
                <c:pt idx="134">
                  <c:v>0.26733134550875887</c:v>
                </c:pt>
                <c:pt idx="135">
                  <c:v>0.24550622215394069</c:v>
                </c:pt>
                <c:pt idx="136">
                  <c:v>0.24136295921633402</c:v>
                </c:pt>
                <c:pt idx="137">
                  <c:v>0.27475252396040384</c:v>
                </c:pt>
                <c:pt idx="138">
                  <c:v>0.3520789450904579</c:v>
                </c:pt>
                <c:pt idx="139">
                  <c:v>0.36991314869855291</c:v>
                </c:pt>
                <c:pt idx="140">
                  <c:v>0.35597139669956701</c:v>
                </c:pt>
                <c:pt idx="141">
                  <c:v>0.29144227661637379</c:v>
                </c:pt>
                <c:pt idx="142">
                  <c:v>0.31973225094353058</c:v>
                </c:pt>
                <c:pt idx="143">
                  <c:v>0.30401735421919424</c:v>
                </c:pt>
                <c:pt idx="144">
                  <c:v>0.22901620050292948</c:v>
                </c:pt>
                <c:pt idx="145">
                  <c:v>0.20900003256162286</c:v>
                </c:pt>
                <c:pt idx="146">
                  <c:v>0.2233242145627555</c:v>
                </c:pt>
                <c:pt idx="147">
                  <c:v>0.19984490711211672</c:v>
                </c:pt>
                <c:pt idx="148">
                  <c:v>0.1950473150440476</c:v>
                </c:pt>
                <c:pt idx="149">
                  <c:v>0.17767889928073094</c:v>
                </c:pt>
                <c:pt idx="150">
                  <c:v>0.19669762080444489</c:v>
                </c:pt>
                <c:pt idx="151">
                  <c:v>0.26003935723386645</c:v>
                </c:pt>
                <c:pt idx="152">
                  <c:v>0.19710541655291489</c:v>
                </c:pt>
                <c:pt idx="153">
                  <c:v>0.15905501426051405</c:v>
                </c:pt>
                <c:pt idx="154">
                  <c:v>0.14582573573428931</c:v>
                </c:pt>
                <c:pt idx="155">
                  <c:v>0.14832594280135064</c:v>
                </c:pt>
                <c:pt idx="156">
                  <c:v>0.14284962054643946</c:v>
                </c:pt>
                <c:pt idx="157">
                  <c:v>0.19322437861763705</c:v>
                </c:pt>
                <c:pt idx="158">
                  <c:v>0.16123343464456552</c:v>
                </c:pt>
                <c:pt idx="159">
                  <c:v>0.15233730038173485</c:v>
                </c:pt>
                <c:pt idx="160">
                  <c:v>0.18723203083804571</c:v>
                </c:pt>
                <c:pt idx="161">
                  <c:v>0.16519164259873928</c:v>
                </c:pt>
                <c:pt idx="162">
                  <c:v>0.1397122440478098</c:v>
                </c:pt>
                <c:pt idx="163">
                  <c:v>0.16185716059028413</c:v>
                </c:pt>
                <c:pt idx="164">
                  <c:v>0.11653521719448358</c:v>
                </c:pt>
                <c:pt idx="165">
                  <c:v>5.4219188799430162E-2</c:v>
                </c:pt>
                <c:pt idx="166">
                  <c:v>5.6945684502652937E-2</c:v>
                </c:pt>
                <c:pt idx="167">
                  <c:v>7.1896684656900536E-2</c:v>
                </c:pt>
                <c:pt idx="168">
                  <c:v>6.1674735915492961E-2</c:v>
                </c:pt>
                <c:pt idx="169">
                  <c:v>6.950356700666234E-2</c:v>
                </c:pt>
                <c:pt idx="170">
                  <c:v>5.9108619489525657E-2</c:v>
                </c:pt>
                <c:pt idx="171">
                  <c:v>6.8338254276314778E-2</c:v>
                </c:pt>
                <c:pt idx="172">
                  <c:v>6.7998807927283564E-2</c:v>
                </c:pt>
                <c:pt idx="173">
                  <c:v>5.4627690414492447E-2</c:v>
                </c:pt>
                <c:pt idx="174">
                  <c:v>6.2201812443938506E-2</c:v>
                </c:pt>
                <c:pt idx="175">
                  <c:v>9.9252456550016452E-2</c:v>
                </c:pt>
                <c:pt idx="176">
                  <c:v>0.10662557124646245</c:v>
                </c:pt>
                <c:pt idx="177">
                  <c:v>0.10943238182265004</c:v>
                </c:pt>
                <c:pt idx="178">
                  <c:v>0.11520486083727373</c:v>
                </c:pt>
                <c:pt idx="179">
                  <c:v>0.17292699969857234</c:v>
                </c:pt>
                <c:pt idx="180">
                  <c:v>0.17735231430146009</c:v>
                </c:pt>
                <c:pt idx="181">
                  <c:v>0.21141386013041261</c:v>
                </c:pt>
                <c:pt idx="182">
                  <c:v>0.24026159043729564</c:v>
                </c:pt>
                <c:pt idx="183">
                  <c:v>0.21621000572755364</c:v>
                </c:pt>
                <c:pt idx="184">
                  <c:v>0.21290908410731837</c:v>
                </c:pt>
                <c:pt idx="185">
                  <c:v>0.20011910676506683</c:v>
                </c:pt>
                <c:pt idx="186">
                  <c:v>0.19112070662574587</c:v>
                </c:pt>
                <c:pt idx="187">
                  <c:v>0.24198093005432456</c:v>
                </c:pt>
                <c:pt idx="188">
                  <c:v>0.25727967396841567</c:v>
                </c:pt>
                <c:pt idx="189">
                  <c:v>0.2558009859024839</c:v>
                </c:pt>
                <c:pt idx="190">
                  <c:v>0.25741584644835591</c:v>
                </c:pt>
                <c:pt idx="191">
                  <c:v>0.21188286846055385</c:v>
                </c:pt>
                <c:pt idx="192">
                  <c:v>0.22822382900652596</c:v>
                </c:pt>
                <c:pt idx="193">
                  <c:v>0.17920048026929386</c:v>
                </c:pt>
                <c:pt idx="194">
                  <c:v>0.1984770273536276</c:v>
                </c:pt>
                <c:pt idx="195">
                  <c:v>0.22316652841737936</c:v>
                </c:pt>
                <c:pt idx="196">
                  <c:v>0.24223919830301835</c:v>
                </c:pt>
                <c:pt idx="197">
                  <c:v>0.20532494179115077</c:v>
                </c:pt>
                <c:pt idx="198">
                  <c:v>0.19097918439767467</c:v>
                </c:pt>
                <c:pt idx="199">
                  <c:v>0.16310785057070842</c:v>
                </c:pt>
                <c:pt idx="200">
                  <c:v>0.15924301703999885</c:v>
                </c:pt>
                <c:pt idx="201">
                  <c:v>0.14711815611818727</c:v>
                </c:pt>
                <c:pt idx="202">
                  <c:v>0.13136066004483554</c:v>
                </c:pt>
                <c:pt idx="203">
                  <c:v>0.1463182702992967</c:v>
                </c:pt>
                <c:pt idx="204">
                  <c:v>0.13030301879483663</c:v>
                </c:pt>
                <c:pt idx="205">
                  <c:v>0.11205725329608297</c:v>
                </c:pt>
                <c:pt idx="206">
                  <c:v>0.12917712177121771</c:v>
                </c:pt>
                <c:pt idx="207">
                  <c:v>0.15159612800186978</c:v>
                </c:pt>
                <c:pt idx="208">
                  <c:v>0.14501718973632569</c:v>
                </c:pt>
                <c:pt idx="209">
                  <c:v>0.13946196573658423</c:v>
                </c:pt>
                <c:pt idx="210">
                  <c:v>0.1221247892074199</c:v>
                </c:pt>
                <c:pt idx="211">
                  <c:v>0.12143863662090583</c:v>
                </c:pt>
                <c:pt idx="212">
                  <c:v>0.10549252530877087</c:v>
                </c:pt>
                <c:pt idx="213">
                  <c:v>0.11149030796017403</c:v>
                </c:pt>
                <c:pt idx="214">
                  <c:v>0.10353201478643317</c:v>
                </c:pt>
                <c:pt idx="215">
                  <c:v>7.6347907360916387E-2</c:v>
                </c:pt>
                <c:pt idx="216">
                  <c:v>5.6189934720214815E-2</c:v>
                </c:pt>
                <c:pt idx="217">
                  <c:v>4.2907839552640069E-2</c:v>
                </c:pt>
                <c:pt idx="218">
                  <c:v>8.1008166601324996E-2</c:v>
                </c:pt>
                <c:pt idx="219">
                  <c:v>8.9286736049742202E-2</c:v>
                </c:pt>
                <c:pt idx="220">
                  <c:v>8.6451849750529816E-2</c:v>
                </c:pt>
                <c:pt idx="221">
                  <c:v>8.451048505651361E-2</c:v>
                </c:pt>
                <c:pt idx="222">
                  <c:v>0.1021449109316647</c:v>
                </c:pt>
                <c:pt idx="223">
                  <c:v>0.13684397847874569</c:v>
                </c:pt>
                <c:pt idx="224">
                  <c:v>9.9688273291127033E-2</c:v>
                </c:pt>
                <c:pt idx="225">
                  <c:v>9.2899481865284975E-2</c:v>
                </c:pt>
                <c:pt idx="226">
                  <c:v>8.1245118396738619E-2</c:v>
                </c:pt>
                <c:pt idx="227">
                  <c:v>0.20056167953511711</c:v>
                </c:pt>
                <c:pt idx="228">
                  <c:v>0.20400159927862327</c:v>
                </c:pt>
                <c:pt idx="229">
                  <c:v>0.20435412387849963</c:v>
                </c:pt>
                <c:pt idx="230">
                  <c:v>0.20376603884893335</c:v>
                </c:pt>
                <c:pt idx="231">
                  <c:v>0.21800300968610245</c:v>
                </c:pt>
                <c:pt idx="232">
                  <c:v>0.22097696971770159</c:v>
                </c:pt>
                <c:pt idx="233">
                  <c:v>0.23993867706784908</c:v>
                </c:pt>
                <c:pt idx="234">
                  <c:v>0.24057517477397572</c:v>
                </c:pt>
                <c:pt idx="235">
                  <c:v>0.22626949917482048</c:v>
                </c:pt>
                <c:pt idx="236">
                  <c:v>0.23423352393914998</c:v>
                </c:pt>
                <c:pt idx="237">
                  <c:v>0.22975578275745903</c:v>
                </c:pt>
                <c:pt idx="238">
                  <c:v>0.20701321644639256</c:v>
                </c:pt>
                <c:pt idx="239">
                  <c:v>0.21504441708810221</c:v>
                </c:pt>
                <c:pt idx="240">
                  <c:v>0.17111501528242401</c:v>
                </c:pt>
                <c:pt idx="241">
                  <c:v>0.17481713777899305</c:v>
                </c:pt>
                <c:pt idx="242">
                  <c:v>0.14200194627018059</c:v>
                </c:pt>
                <c:pt idx="243">
                  <c:v>0.11416440476142746</c:v>
                </c:pt>
                <c:pt idx="244">
                  <c:v>0.11191062222899245</c:v>
                </c:pt>
                <c:pt idx="245">
                  <c:v>9.9557260688372978E-2</c:v>
                </c:pt>
                <c:pt idx="246">
                  <c:v>9.8368753718859808E-2</c:v>
                </c:pt>
                <c:pt idx="247">
                  <c:v>0.15126653797259759</c:v>
                </c:pt>
                <c:pt idx="248">
                  <c:v>0.17875563528947797</c:v>
                </c:pt>
                <c:pt idx="249">
                  <c:v>0.19693250609884649</c:v>
                </c:pt>
                <c:pt idx="250">
                  <c:v>0.19312569669498969</c:v>
                </c:pt>
                <c:pt idx="251">
                  <c:v>0.25093260741188839</c:v>
                </c:pt>
                <c:pt idx="252">
                  <c:v>0.27712736045857744</c:v>
                </c:pt>
                <c:pt idx="253">
                  <c:v>0.27829479003904478</c:v>
                </c:pt>
                <c:pt idx="254">
                  <c:v>0.31120062517224328</c:v>
                </c:pt>
                <c:pt idx="255">
                  <c:v>0.29366462800727305</c:v>
                </c:pt>
                <c:pt idx="256">
                  <c:v>0.28195313615157502</c:v>
                </c:pt>
                <c:pt idx="257">
                  <c:v>0.25386316821598776</c:v>
                </c:pt>
                <c:pt idx="258">
                  <c:v>0.31943336630188557</c:v>
                </c:pt>
                <c:pt idx="259">
                  <c:v>0.27642519679222216</c:v>
                </c:pt>
                <c:pt idx="260">
                  <c:v>0.23913867822318527</c:v>
                </c:pt>
                <c:pt idx="261">
                  <c:v>0.1921242569763095</c:v>
                </c:pt>
                <c:pt idx="262">
                  <c:v>0.15608450450597933</c:v>
                </c:pt>
                <c:pt idx="263">
                  <c:v>0.1370287422191083</c:v>
                </c:pt>
                <c:pt idx="264">
                  <c:v>0.10893454734690931</c:v>
                </c:pt>
                <c:pt idx="265">
                  <c:v>8.5317550648759385E-2</c:v>
                </c:pt>
                <c:pt idx="266">
                  <c:v>9.0107385661310255E-2</c:v>
                </c:pt>
                <c:pt idx="267">
                  <c:v>7.5195207633423841E-2</c:v>
                </c:pt>
                <c:pt idx="268">
                  <c:v>9.4604761032349605E-2</c:v>
                </c:pt>
                <c:pt idx="269">
                  <c:v>0.14454042693045846</c:v>
                </c:pt>
                <c:pt idx="270">
                  <c:v>0.17399901906593279</c:v>
                </c:pt>
                <c:pt idx="271">
                  <c:v>0.18744570589821166</c:v>
                </c:pt>
                <c:pt idx="272">
                  <c:v>0.16689097209331105</c:v>
                </c:pt>
                <c:pt idx="273">
                  <c:v>0.12545377256636836</c:v>
                </c:pt>
                <c:pt idx="274">
                  <c:v>0.116248309258166</c:v>
                </c:pt>
                <c:pt idx="275">
                  <c:v>0.12484044301427032</c:v>
                </c:pt>
                <c:pt idx="276">
                  <c:v>0.1572280402115451</c:v>
                </c:pt>
                <c:pt idx="277">
                  <c:v>0.19680327650860349</c:v>
                </c:pt>
                <c:pt idx="278">
                  <c:v>0.17383144880841075</c:v>
                </c:pt>
                <c:pt idx="279">
                  <c:v>0.14252307046979865</c:v>
                </c:pt>
                <c:pt idx="280">
                  <c:v>0.13730808127240968</c:v>
                </c:pt>
                <c:pt idx="281">
                  <c:v>0.1169529953795205</c:v>
                </c:pt>
                <c:pt idx="282">
                  <c:v>0.13104199246245646</c:v>
                </c:pt>
                <c:pt idx="283">
                  <c:v>0.14052485841430803</c:v>
                </c:pt>
                <c:pt idx="284">
                  <c:v>0.10960552632905861</c:v>
                </c:pt>
                <c:pt idx="285">
                  <c:v>8.4081674083989685E-2</c:v>
                </c:pt>
                <c:pt idx="286">
                  <c:v>9.72937160934053E-2</c:v>
                </c:pt>
                <c:pt idx="287">
                  <c:v>8.7631268593451356E-2</c:v>
                </c:pt>
                <c:pt idx="288">
                  <c:v>8.4419757890950686E-2</c:v>
                </c:pt>
                <c:pt idx="289">
                  <c:v>7.4376421038501228E-2</c:v>
                </c:pt>
                <c:pt idx="290">
                  <c:v>6.7038338724392466E-2</c:v>
                </c:pt>
                <c:pt idx="291">
                  <c:v>7.7733246094795094E-2</c:v>
                </c:pt>
                <c:pt idx="292">
                  <c:v>8.7457295982968822E-2</c:v>
                </c:pt>
                <c:pt idx="293">
                  <c:v>9.44006893399255E-2</c:v>
                </c:pt>
                <c:pt idx="294">
                  <c:v>9.7142385727363695E-2</c:v>
                </c:pt>
                <c:pt idx="295">
                  <c:v>9.0613017434109586E-2</c:v>
                </c:pt>
                <c:pt idx="296">
                  <c:v>8.9078939239697119E-2</c:v>
                </c:pt>
                <c:pt idx="297">
                  <c:v>0.10462307667142842</c:v>
                </c:pt>
                <c:pt idx="298">
                  <c:v>0.10003445045824803</c:v>
                </c:pt>
                <c:pt idx="299">
                  <c:v>8.2924492258803981E-2</c:v>
                </c:pt>
                <c:pt idx="300">
                  <c:v>9.4066136063366029E-2</c:v>
                </c:pt>
                <c:pt idx="301">
                  <c:v>9.5160173905831841E-2</c:v>
                </c:pt>
                <c:pt idx="302">
                  <c:v>9.7989228007181323E-2</c:v>
                </c:pt>
                <c:pt idx="303">
                  <c:v>9.9294167088510868E-2</c:v>
                </c:pt>
                <c:pt idx="304">
                  <c:v>0.10901479600994948</c:v>
                </c:pt>
                <c:pt idx="305">
                  <c:v>0.13078103586563178</c:v>
                </c:pt>
                <c:pt idx="306">
                  <c:v>0.15520870897249783</c:v>
                </c:pt>
                <c:pt idx="307">
                  <c:v>0.12365334961397083</c:v>
                </c:pt>
                <c:pt idx="308">
                  <c:v>0.13987629644785093</c:v>
                </c:pt>
                <c:pt idx="309">
                  <c:v>0.12442177388656261</c:v>
                </c:pt>
                <c:pt idx="310">
                  <c:v>9.6957512569158341E-2</c:v>
                </c:pt>
                <c:pt idx="311">
                  <c:v>0.11153640569416882</c:v>
                </c:pt>
                <c:pt idx="312">
                  <c:v>9.0405211233074823E-2</c:v>
                </c:pt>
                <c:pt idx="313">
                  <c:v>8.8245506100495225E-2</c:v>
                </c:pt>
                <c:pt idx="314">
                  <c:v>0.13170465686639707</c:v>
                </c:pt>
                <c:pt idx="315">
                  <c:v>0.16106901313692859</c:v>
                </c:pt>
                <c:pt idx="316">
                  <c:v>0.17926804493806683</c:v>
                </c:pt>
                <c:pt idx="317">
                  <c:v>0.1318396560015842</c:v>
                </c:pt>
                <c:pt idx="318">
                  <c:v>0.10323615940090933</c:v>
                </c:pt>
                <c:pt idx="319">
                  <c:v>6.6791618417737106E-2</c:v>
                </c:pt>
                <c:pt idx="320">
                  <c:v>5.5085870570727585E-2</c:v>
                </c:pt>
                <c:pt idx="321">
                  <c:v>5.7007870723625759E-2</c:v>
                </c:pt>
                <c:pt idx="322">
                  <c:v>5.6094667278238877E-2</c:v>
                </c:pt>
                <c:pt idx="323">
                  <c:v>7.6280927056185929E-2</c:v>
                </c:pt>
                <c:pt idx="324">
                  <c:v>8.6868112646492912E-2</c:v>
                </c:pt>
                <c:pt idx="325">
                  <c:v>0.10414389910224964</c:v>
                </c:pt>
                <c:pt idx="326">
                  <c:v>0.10026116042370158</c:v>
                </c:pt>
                <c:pt idx="327">
                  <c:v>6.2592817694157435E-2</c:v>
                </c:pt>
                <c:pt idx="328">
                  <c:v>6.1940522525342455E-2</c:v>
                </c:pt>
                <c:pt idx="329">
                  <c:v>6.6393696041319714E-2</c:v>
                </c:pt>
                <c:pt idx="330">
                  <c:v>7.7803168605022274E-2</c:v>
                </c:pt>
                <c:pt idx="331">
                  <c:v>7.7003894677086362E-2</c:v>
                </c:pt>
                <c:pt idx="332">
                  <c:v>6.5286326135484213E-2</c:v>
                </c:pt>
                <c:pt idx="333">
                  <c:v>6.3766820249196859E-2</c:v>
                </c:pt>
                <c:pt idx="334">
                  <c:v>5.2899029161132531E-2</c:v>
                </c:pt>
                <c:pt idx="335">
                  <c:v>5.6112743131494829E-2</c:v>
                </c:pt>
                <c:pt idx="336">
                  <c:v>5.2620277163836715E-2</c:v>
                </c:pt>
                <c:pt idx="337">
                  <c:v>5.576388923518822E-2</c:v>
                </c:pt>
                <c:pt idx="338">
                  <c:v>5.7019400760019191E-2</c:v>
                </c:pt>
                <c:pt idx="339">
                  <c:v>6.6730359373851689E-2</c:v>
                </c:pt>
                <c:pt idx="340">
                  <c:v>8.8347471381272857E-2</c:v>
                </c:pt>
                <c:pt idx="341">
                  <c:v>0.12927516337065478</c:v>
                </c:pt>
                <c:pt idx="342">
                  <c:v>8.7807755467420756E-2</c:v>
                </c:pt>
                <c:pt idx="343">
                  <c:v>9.3473924194927324E-2</c:v>
                </c:pt>
                <c:pt idx="344">
                  <c:v>0.14797959189751869</c:v>
                </c:pt>
                <c:pt idx="345">
                  <c:v>0.15863863564033923</c:v>
                </c:pt>
                <c:pt idx="346">
                  <c:v>0.21243172523581669</c:v>
                </c:pt>
                <c:pt idx="347">
                  <c:v>0.20376736387564515</c:v>
                </c:pt>
                <c:pt idx="348">
                  <c:v>0.24156348118670548</c:v>
                </c:pt>
                <c:pt idx="349">
                  <c:v>0.22140477015132151</c:v>
                </c:pt>
                <c:pt idx="350">
                  <c:v>0.19892371377882909</c:v>
                </c:pt>
                <c:pt idx="351">
                  <c:v>0.20840837409838334</c:v>
                </c:pt>
                <c:pt idx="352">
                  <c:v>0.20228364781914879</c:v>
                </c:pt>
                <c:pt idx="353">
                  <c:v>0.21756878280444583</c:v>
                </c:pt>
                <c:pt idx="354">
                  <c:v>0.24759194333244755</c:v>
                </c:pt>
                <c:pt idx="355">
                  <c:v>0.21256340490495421</c:v>
                </c:pt>
                <c:pt idx="356">
                  <c:v>0.2123450484873706</c:v>
                </c:pt>
                <c:pt idx="357">
                  <c:v>0.24566171035251633</c:v>
                </c:pt>
                <c:pt idx="358">
                  <c:v>0.21520291148801757</c:v>
                </c:pt>
                <c:pt idx="359">
                  <c:v>0.22765983266071946</c:v>
                </c:pt>
                <c:pt idx="360">
                  <c:v>0.25579796871372973</c:v>
                </c:pt>
                <c:pt idx="361">
                  <c:v>0.21976228112840468</c:v>
                </c:pt>
                <c:pt idx="362">
                  <c:v>0.20439174569418514</c:v>
                </c:pt>
                <c:pt idx="363">
                  <c:v>0.171863743643691</c:v>
                </c:pt>
                <c:pt idx="364">
                  <c:v>0.17111716448035499</c:v>
                </c:pt>
                <c:pt idx="365">
                  <c:v>0.18829845109086474</c:v>
                </c:pt>
                <c:pt idx="366">
                  <c:v>0.21302887341579044</c:v>
                </c:pt>
                <c:pt idx="367">
                  <c:v>0.21989977845236727</c:v>
                </c:pt>
                <c:pt idx="368">
                  <c:v>0.2325368418454247</c:v>
                </c:pt>
                <c:pt idx="369">
                  <c:v>0.24600858046593763</c:v>
                </c:pt>
                <c:pt idx="370">
                  <c:v>0.25247316128940095</c:v>
                </c:pt>
                <c:pt idx="371">
                  <c:v>0.24522713628176906</c:v>
                </c:pt>
                <c:pt idx="372">
                  <c:v>0.24498524714087153</c:v>
                </c:pt>
                <c:pt idx="373">
                  <c:v>0.26865889778739943</c:v>
                </c:pt>
                <c:pt idx="374">
                  <c:v>0.31342148054614327</c:v>
                </c:pt>
                <c:pt idx="375">
                  <c:v>0.32024278965856023</c:v>
                </c:pt>
                <c:pt idx="376">
                  <c:v>0.35888041142526017</c:v>
                </c:pt>
                <c:pt idx="377">
                  <c:v>0.36262604259338804</c:v>
                </c:pt>
                <c:pt idx="378">
                  <c:v>0.33035018889555812</c:v>
                </c:pt>
                <c:pt idx="379">
                  <c:v>0.27159447535916403</c:v>
                </c:pt>
                <c:pt idx="380">
                  <c:v>0.2435714570478093</c:v>
                </c:pt>
                <c:pt idx="381">
                  <c:v>0.17907218819104997</c:v>
                </c:pt>
                <c:pt idx="382">
                  <c:v>0.18871751582755503</c:v>
                </c:pt>
                <c:pt idx="383">
                  <c:v>0.16134621456083853</c:v>
                </c:pt>
                <c:pt idx="384">
                  <c:v>0.14374486121550739</c:v>
                </c:pt>
                <c:pt idx="385">
                  <c:v>0.18075863530408984</c:v>
                </c:pt>
                <c:pt idx="386">
                  <c:v>0.17314395282910686</c:v>
                </c:pt>
                <c:pt idx="387">
                  <c:v>0.1632889021026378</c:v>
                </c:pt>
                <c:pt idx="388">
                  <c:v>0.16620747518381832</c:v>
                </c:pt>
                <c:pt idx="389">
                  <c:v>0.16054817560841658</c:v>
                </c:pt>
                <c:pt idx="390">
                  <c:v>0.17145125053642502</c:v>
                </c:pt>
                <c:pt idx="391">
                  <c:v>0.19226125731077409</c:v>
                </c:pt>
                <c:pt idx="392">
                  <c:v>0.27377541878489875</c:v>
                </c:pt>
                <c:pt idx="393">
                  <c:v>0.29909404317693589</c:v>
                </c:pt>
                <c:pt idx="394">
                  <c:v>0.3601883028300622</c:v>
                </c:pt>
                <c:pt idx="395">
                  <c:v>0.37709300794342948</c:v>
                </c:pt>
                <c:pt idx="396">
                  <c:v>0.36298325812186211</c:v>
                </c:pt>
                <c:pt idx="397">
                  <c:v>0.38291828647623338</c:v>
                </c:pt>
                <c:pt idx="398">
                  <c:v>0.38627940839871239</c:v>
                </c:pt>
                <c:pt idx="399">
                  <c:v>0.38003793266951164</c:v>
                </c:pt>
                <c:pt idx="400">
                  <c:v>0.35057912471790853</c:v>
                </c:pt>
                <c:pt idx="401">
                  <c:v>0.3269284379958366</c:v>
                </c:pt>
                <c:pt idx="402">
                  <c:v>0.30016725123408677</c:v>
                </c:pt>
                <c:pt idx="403">
                  <c:v>0.27663850121839301</c:v>
                </c:pt>
                <c:pt idx="404">
                  <c:v>0.29718375930972324</c:v>
                </c:pt>
                <c:pt idx="405">
                  <c:v>0.2777385140848147</c:v>
                </c:pt>
                <c:pt idx="406">
                  <c:v>0.24706676656813747</c:v>
                </c:pt>
                <c:pt idx="407">
                  <c:v>0.27939984523981271</c:v>
                </c:pt>
                <c:pt idx="408">
                  <c:v>0.32371518063870047</c:v>
                </c:pt>
                <c:pt idx="409">
                  <c:v>0.28514448412797522</c:v>
                </c:pt>
                <c:pt idx="410">
                  <c:v>0.32785151310597921</c:v>
                </c:pt>
                <c:pt idx="411">
                  <c:v>0.35923381967129081</c:v>
                </c:pt>
                <c:pt idx="412">
                  <c:v>0.38637235858496677</c:v>
                </c:pt>
                <c:pt idx="413">
                  <c:v>0.3955765305770253</c:v>
                </c:pt>
                <c:pt idx="414">
                  <c:v>0.40941121907729439</c:v>
                </c:pt>
                <c:pt idx="415">
                  <c:v>0.38839964196138033</c:v>
                </c:pt>
                <c:pt idx="416">
                  <c:v>0.39926385885374294</c:v>
                </c:pt>
                <c:pt idx="417">
                  <c:v>0.37882500030054217</c:v>
                </c:pt>
                <c:pt idx="418">
                  <c:v>0.4099314892082625</c:v>
                </c:pt>
                <c:pt idx="419">
                  <c:v>0.42606077951261911</c:v>
                </c:pt>
                <c:pt idx="420">
                  <c:v>0.40900602429703581</c:v>
                </c:pt>
                <c:pt idx="421">
                  <c:v>0.38199944436133609</c:v>
                </c:pt>
                <c:pt idx="422">
                  <c:v>0.39424066924066925</c:v>
                </c:pt>
                <c:pt idx="423">
                  <c:v>0.3882346276713044</c:v>
                </c:pt>
                <c:pt idx="424">
                  <c:v>0.39778290662666443</c:v>
                </c:pt>
                <c:pt idx="425">
                  <c:v>0.38068029736567172</c:v>
                </c:pt>
                <c:pt idx="426">
                  <c:v>0.34499034050851957</c:v>
                </c:pt>
                <c:pt idx="427">
                  <c:v>0.28126945706505568</c:v>
                </c:pt>
                <c:pt idx="428">
                  <c:v>0.23385369636439812</c:v>
                </c:pt>
                <c:pt idx="429">
                  <c:v>0.1766723701095719</c:v>
                </c:pt>
                <c:pt idx="430">
                  <c:v>0.20310468227784165</c:v>
                </c:pt>
                <c:pt idx="431">
                  <c:v>0.25593028763618048</c:v>
                </c:pt>
                <c:pt idx="432">
                  <c:v>0.21822501228347116</c:v>
                </c:pt>
                <c:pt idx="433">
                  <c:v>0.17732046394849449</c:v>
                </c:pt>
                <c:pt idx="434">
                  <c:v>0.16779436356023289</c:v>
                </c:pt>
                <c:pt idx="435">
                  <c:v>0.17510187840452243</c:v>
                </c:pt>
                <c:pt idx="436">
                  <c:v>0.21804150964035224</c:v>
                </c:pt>
                <c:pt idx="437">
                  <c:v>0.17063159747595705</c:v>
                </c:pt>
                <c:pt idx="438">
                  <c:v>0.16749131371772882</c:v>
                </c:pt>
                <c:pt idx="439">
                  <c:v>0.15361083451804697</c:v>
                </c:pt>
                <c:pt idx="440">
                  <c:v>0.19981176276965884</c:v>
                </c:pt>
                <c:pt idx="441">
                  <c:v>0.25121153301476185</c:v>
                </c:pt>
                <c:pt idx="442">
                  <c:v>0.2244052222995398</c:v>
                </c:pt>
                <c:pt idx="443">
                  <c:v>0.27486373628579747</c:v>
                </c:pt>
                <c:pt idx="444">
                  <c:v>0.29174008025733461</c:v>
                </c:pt>
                <c:pt idx="445">
                  <c:v>0.27858792121528875</c:v>
                </c:pt>
                <c:pt idx="446">
                  <c:v>0.32152076816958736</c:v>
                </c:pt>
                <c:pt idx="447">
                  <c:v>0.37463604146215662</c:v>
                </c:pt>
                <c:pt idx="448">
                  <c:v>0.4171693097967229</c:v>
                </c:pt>
                <c:pt idx="449">
                  <c:v>0.40561196757890161</c:v>
                </c:pt>
                <c:pt idx="450">
                  <c:v>0.33566732676524963</c:v>
                </c:pt>
                <c:pt idx="451">
                  <c:v>0.22139054767252872</c:v>
                </c:pt>
                <c:pt idx="452">
                  <c:v>0.2318978792972998</c:v>
                </c:pt>
                <c:pt idx="453">
                  <c:v>0.29604968627923306</c:v>
                </c:pt>
                <c:pt idx="454">
                  <c:v>0.2489005225288228</c:v>
                </c:pt>
                <c:pt idx="455">
                  <c:v>0.33641714421363933</c:v>
                </c:pt>
                <c:pt idx="456">
                  <c:v>0.30489787492097081</c:v>
                </c:pt>
                <c:pt idx="457">
                  <c:v>0.21835859776327352</c:v>
                </c:pt>
                <c:pt idx="458">
                  <c:v>0.16577134154834755</c:v>
                </c:pt>
                <c:pt idx="459">
                  <c:v>0.13943631653565516</c:v>
                </c:pt>
                <c:pt idx="460">
                  <c:v>0.14833667702555631</c:v>
                </c:pt>
                <c:pt idx="461">
                  <c:v>0.17408444743890283</c:v>
                </c:pt>
                <c:pt idx="462">
                  <c:v>0.32289308148151441</c:v>
                </c:pt>
                <c:pt idx="463">
                  <c:v>0.3350902595606069</c:v>
                </c:pt>
                <c:pt idx="464">
                  <c:v>0.31708586835745978</c:v>
                </c:pt>
                <c:pt idx="465">
                  <c:v>0.30358864199172331</c:v>
                </c:pt>
                <c:pt idx="466">
                  <c:v>0.18625233438888308</c:v>
                </c:pt>
                <c:pt idx="467">
                  <c:v>0.13544026745556437</c:v>
                </c:pt>
                <c:pt idx="468">
                  <c:v>0.12423965712770815</c:v>
                </c:pt>
                <c:pt idx="469">
                  <c:v>0.1238011225768931</c:v>
                </c:pt>
                <c:pt idx="470">
                  <c:v>0.13507572525085937</c:v>
                </c:pt>
                <c:pt idx="471">
                  <c:v>0.12565560349785729</c:v>
                </c:pt>
                <c:pt idx="472">
                  <c:v>0.12332088908815009</c:v>
                </c:pt>
                <c:pt idx="473">
                  <c:v>0.10776996948350354</c:v>
                </c:pt>
                <c:pt idx="474">
                  <c:v>0.10082393163111567</c:v>
                </c:pt>
                <c:pt idx="475">
                  <c:v>0.1262373405939235</c:v>
                </c:pt>
                <c:pt idx="476">
                  <c:v>8.9593102723162649E-2</c:v>
                </c:pt>
                <c:pt idx="477">
                  <c:v>7.9998294149542168E-2</c:v>
                </c:pt>
                <c:pt idx="478">
                  <c:v>0.10070976761667179</c:v>
                </c:pt>
                <c:pt idx="479">
                  <c:v>0.10345694133547324</c:v>
                </c:pt>
                <c:pt idx="480">
                  <c:v>0.20236112370853501</c:v>
                </c:pt>
                <c:pt idx="481">
                  <c:v>0.22982139265206925</c:v>
                </c:pt>
                <c:pt idx="482">
                  <c:v>0.24414209179777796</c:v>
                </c:pt>
                <c:pt idx="483">
                  <c:v>0.21742498317438952</c:v>
                </c:pt>
                <c:pt idx="484">
                  <c:v>0.15729639751662933</c:v>
                </c:pt>
                <c:pt idx="485">
                  <c:v>0.14076254804808142</c:v>
                </c:pt>
                <c:pt idx="486">
                  <c:v>0.19232539034361804</c:v>
                </c:pt>
                <c:pt idx="487">
                  <c:v>0.25903340008921877</c:v>
                </c:pt>
                <c:pt idx="488">
                  <c:v>0.31995708337599399</c:v>
                </c:pt>
                <c:pt idx="489">
                  <c:v>0.33353355460880479</c:v>
                </c:pt>
                <c:pt idx="490">
                  <c:v>0.27418151717171246</c:v>
                </c:pt>
                <c:pt idx="491">
                  <c:v>0.24828590201734738</c:v>
                </c:pt>
                <c:pt idx="492">
                  <c:v>0.22996009358713226</c:v>
                </c:pt>
                <c:pt idx="493">
                  <c:v>0.27999945928652858</c:v>
                </c:pt>
                <c:pt idx="494">
                  <c:v>0.35610943807265971</c:v>
                </c:pt>
                <c:pt idx="495">
                  <c:v>0.36492820083546651</c:v>
                </c:pt>
                <c:pt idx="496">
                  <c:v>0.34475290044580831</c:v>
                </c:pt>
                <c:pt idx="497">
                  <c:v>0.29751056344413618</c:v>
                </c:pt>
                <c:pt idx="498">
                  <c:v>0.25091893491397843</c:v>
                </c:pt>
                <c:pt idx="499">
                  <c:v>0.20772437727784082</c:v>
                </c:pt>
                <c:pt idx="500">
                  <c:v>0.18564411549902921</c:v>
                </c:pt>
                <c:pt idx="501">
                  <c:v>0.18917737292856301</c:v>
                </c:pt>
                <c:pt idx="502">
                  <c:v>0.18846729281742869</c:v>
                </c:pt>
                <c:pt idx="503">
                  <c:v>0.20888665896422046</c:v>
                </c:pt>
                <c:pt idx="504">
                  <c:v>0.34815657799521288</c:v>
                </c:pt>
                <c:pt idx="505">
                  <c:v>0.32412567226134337</c:v>
                </c:pt>
                <c:pt idx="506">
                  <c:v>0.32882254857531912</c:v>
                </c:pt>
                <c:pt idx="507">
                  <c:v>0.27634178607016457</c:v>
                </c:pt>
                <c:pt idx="508">
                  <c:v>0.22974377028628346</c:v>
                </c:pt>
                <c:pt idx="509">
                  <c:v>0.23595546075916657</c:v>
                </c:pt>
                <c:pt idx="510">
                  <c:v>0.25527946869864404</c:v>
                </c:pt>
                <c:pt idx="511">
                  <c:v>0.28621169508693928</c:v>
                </c:pt>
                <c:pt idx="512">
                  <c:v>0.27236798238472931</c:v>
                </c:pt>
                <c:pt idx="513">
                  <c:v>0.21518556625861804</c:v>
                </c:pt>
                <c:pt idx="514">
                  <c:v>0.17153735804439227</c:v>
                </c:pt>
                <c:pt idx="515">
                  <c:v>0.13343018746095436</c:v>
                </c:pt>
                <c:pt idx="516">
                  <c:v>0.13873852671216758</c:v>
                </c:pt>
                <c:pt idx="517">
                  <c:v>8.4203063912613049E-2</c:v>
                </c:pt>
                <c:pt idx="518">
                  <c:v>9.7152160567966481E-2</c:v>
                </c:pt>
                <c:pt idx="519">
                  <c:v>9.3393584574350777E-2</c:v>
                </c:pt>
                <c:pt idx="520">
                  <c:v>9.7725290941409262E-2</c:v>
                </c:pt>
                <c:pt idx="521">
                  <c:v>8.3839763378642657E-2</c:v>
                </c:pt>
                <c:pt idx="522">
                  <c:v>8.350127876700382E-2</c:v>
                </c:pt>
                <c:pt idx="523">
                  <c:v>6.9493505573956213E-2</c:v>
                </c:pt>
                <c:pt idx="524">
                  <c:v>6.4201680672268904E-2</c:v>
                </c:pt>
                <c:pt idx="525">
                  <c:v>6.4606381652967129E-2</c:v>
                </c:pt>
                <c:pt idx="526">
                  <c:v>6.8138321122757639E-2</c:v>
                </c:pt>
                <c:pt idx="527">
                  <c:v>7.2598083529199053E-2</c:v>
                </c:pt>
                <c:pt idx="528">
                  <c:v>6.9352252333179792E-2</c:v>
                </c:pt>
                <c:pt idx="529">
                  <c:v>5.8852143940657436E-2</c:v>
                </c:pt>
                <c:pt idx="530">
                  <c:v>5.6172003178468731E-2</c:v>
                </c:pt>
                <c:pt idx="531">
                  <c:v>6.59152001650605E-2</c:v>
                </c:pt>
                <c:pt idx="532">
                  <c:v>7.3402857348899453E-2</c:v>
                </c:pt>
                <c:pt idx="533">
                  <c:v>5.3869276340749242E-2</c:v>
                </c:pt>
                <c:pt idx="534">
                  <c:v>5.7694452267499335E-2</c:v>
                </c:pt>
                <c:pt idx="535">
                  <c:v>7.5234281137364842E-2</c:v>
                </c:pt>
                <c:pt idx="536">
                  <c:v>7.3939567053638827E-2</c:v>
                </c:pt>
                <c:pt idx="537">
                  <c:v>6.509669149162059E-2</c:v>
                </c:pt>
                <c:pt idx="538">
                  <c:v>7.0399568334477303E-2</c:v>
                </c:pt>
                <c:pt idx="539">
                  <c:v>7.1826701490244282E-2</c:v>
                </c:pt>
                <c:pt idx="540">
                  <c:v>5.9947186117493743E-2</c:v>
                </c:pt>
                <c:pt idx="541">
                  <c:v>7.129711433397351E-2</c:v>
                </c:pt>
                <c:pt idx="542">
                  <c:v>8.6388237614216531E-2</c:v>
                </c:pt>
                <c:pt idx="543">
                  <c:v>0.11906065469378932</c:v>
                </c:pt>
                <c:pt idx="544">
                  <c:v>0.11960320773584722</c:v>
                </c:pt>
                <c:pt idx="545">
                  <c:v>0.12303388666476825</c:v>
                </c:pt>
                <c:pt idx="546">
                  <c:v>0.12141366624449672</c:v>
                </c:pt>
                <c:pt idx="547">
                  <c:v>4.6352080794010098E-2</c:v>
                </c:pt>
                <c:pt idx="548">
                  <c:v>3.7075419596002246E-2</c:v>
                </c:pt>
                <c:pt idx="549">
                  <c:v>3.9771931834090592E-2</c:v>
                </c:pt>
                <c:pt idx="550">
                  <c:v>3.9764342477932889E-2</c:v>
                </c:pt>
                <c:pt idx="551">
                  <c:v>4.6034733846862678E-2</c:v>
                </c:pt>
                <c:pt idx="552">
                  <c:v>5.0178177656614906E-2</c:v>
                </c:pt>
                <c:pt idx="553">
                  <c:v>5.3113557437385356E-2</c:v>
                </c:pt>
                <c:pt idx="554">
                  <c:v>5.5434595771500603E-2</c:v>
                </c:pt>
                <c:pt idx="555">
                  <c:v>9.087890468962212E-2</c:v>
                </c:pt>
                <c:pt idx="556">
                  <c:v>5.6321778141323255E-2</c:v>
                </c:pt>
                <c:pt idx="557">
                  <c:v>6.332039680526777E-2</c:v>
                </c:pt>
                <c:pt idx="558">
                  <c:v>6.4426629908465038E-2</c:v>
                </c:pt>
                <c:pt idx="559">
                  <c:v>6.3386706093302714E-2</c:v>
                </c:pt>
                <c:pt idx="560">
                  <c:v>6.8074415265896984E-2</c:v>
                </c:pt>
                <c:pt idx="561">
                  <c:v>8.233449613922314E-2</c:v>
                </c:pt>
                <c:pt idx="562">
                  <c:v>0.11392876712328767</c:v>
                </c:pt>
                <c:pt idx="563">
                  <c:v>0.16069856793573176</c:v>
                </c:pt>
                <c:pt idx="564">
                  <c:v>0.19288451403714058</c:v>
                </c:pt>
                <c:pt idx="565">
                  <c:v>0.19893997704408886</c:v>
                </c:pt>
                <c:pt idx="566">
                  <c:v>0.2549988842117491</c:v>
                </c:pt>
                <c:pt idx="567">
                  <c:v>0.27587712054361418</c:v>
                </c:pt>
                <c:pt idx="568">
                  <c:v>0.26840940305096384</c:v>
                </c:pt>
                <c:pt idx="569">
                  <c:v>0.25051900441274449</c:v>
                </c:pt>
                <c:pt idx="570">
                  <c:v>0.29089243866745323</c:v>
                </c:pt>
                <c:pt idx="571">
                  <c:v>0.30829854648089472</c:v>
                </c:pt>
                <c:pt idx="572">
                  <c:v>0.34860512860591014</c:v>
                </c:pt>
                <c:pt idx="573">
                  <c:v>0.32172753043188262</c:v>
                </c:pt>
                <c:pt idx="574">
                  <c:v>0.32896133663067734</c:v>
                </c:pt>
                <c:pt idx="575">
                  <c:v>0.3825001441503777</c:v>
                </c:pt>
                <c:pt idx="576">
                  <c:v>0.32737767391809591</c:v>
                </c:pt>
                <c:pt idx="577">
                  <c:v>0.28898029368948641</c:v>
                </c:pt>
                <c:pt idx="578">
                  <c:v>0.23916237445489746</c:v>
                </c:pt>
                <c:pt idx="579">
                  <c:v>0.26232742255238367</c:v>
                </c:pt>
                <c:pt idx="580">
                  <c:v>0.27311151800272648</c:v>
                </c:pt>
                <c:pt idx="581">
                  <c:v>0.28948391756013553</c:v>
                </c:pt>
                <c:pt idx="582">
                  <c:v>0.27004944947188525</c:v>
                </c:pt>
                <c:pt idx="583">
                  <c:v>0.23512202283165673</c:v>
                </c:pt>
                <c:pt idx="584">
                  <c:v>0.2211980588842829</c:v>
                </c:pt>
                <c:pt idx="585">
                  <c:v>0.16178096375945838</c:v>
                </c:pt>
                <c:pt idx="586">
                  <c:v>0.13159351791420112</c:v>
                </c:pt>
                <c:pt idx="587">
                  <c:v>0.11905925264301208</c:v>
                </c:pt>
                <c:pt idx="588">
                  <c:v>9.3680966214920877E-2</c:v>
                </c:pt>
                <c:pt idx="589">
                  <c:v>8.1854820924488356E-2</c:v>
                </c:pt>
                <c:pt idx="590">
                  <c:v>6.7290249589156484E-2</c:v>
                </c:pt>
                <c:pt idx="591">
                  <c:v>7.8008900739114234E-2</c:v>
                </c:pt>
                <c:pt idx="592">
                  <c:v>0.11071119739321159</c:v>
                </c:pt>
                <c:pt idx="593">
                  <c:v>0.11963871346746953</c:v>
                </c:pt>
                <c:pt idx="594">
                  <c:v>0.12986720190883558</c:v>
                </c:pt>
                <c:pt idx="595">
                  <c:v>0.17121584018061062</c:v>
                </c:pt>
                <c:pt idx="596">
                  <c:v>0.18497763240175091</c:v>
                </c:pt>
                <c:pt idx="597">
                  <c:v>0.27409106460825183</c:v>
                </c:pt>
                <c:pt idx="598">
                  <c:v>0.24644738115314965</c:v>
                </c:pt>
                <c:pt idx="599">
                  <c:v>0.22453169687671648</c:v>
                </c:pt>
                <c:pt idx="600">
                  <c:v>0.19712562700783406</c:v>
                </c:pt>
                <c:pt idx="601">
                  <c:v>0.19667384477687297</c:v>
                </c:pt>
                <c:pt idx="602">
                  <c:v>0.17120553359683793</c:v>
                </c:pt>
                <c:pt idx="603">
                  <c:v>0.23671070233082847</c:v>
                </c:pt>
                <c:pt idx="604">
                  <c:v>0.247384665318303</c:v>
                </c:pt>
                <c:pt idx="605">
                  <c:v>0.2401623646106153</c:v>
                </c:pt>
                <c:pt idx="606">
                  <c:v>0.20047684920988237</c:v>
                </c:pt>
                <c:pt idx="607">
                  <c:v>0.16383552738501544</c:v>
                </c:pt>
                <c:pt idx="608">
                  <c:v>0.19313648320449944</c:v>
                </c:pt>
                <c:pt idx="609">
                  <c:v>0.21594262599523234</c:v>
                </c:pt>
                <c:pt idx="610">
                  <c:v>0.15255958549222798</c:v>
                </c:pt>
                <c:pt idx="611">
                  <c:v>0.13619905491193499</c:v>
                </c:pt>
                <c:pt idx="612">
                  <c:v>0.17478224040396745</c:v>
                </c:pt>
                <c:pt idx="613">
                  <c:v>0.25819844928002289</c:v>
                </c:pt>
                <c:pt idx="614">
                  <c:v>0.34599764309436387</c:v>
                </c:pt>
                <c:pt idx="615">
                  <c:v>0.36306290908630534</c:v>
                </c:pt>
                <c:pt idx="616">
                  <c:v>0.3644294991795512</c:v>
                </c:pt>
                <c:pt idx="617">
                  <c:v>0.34104941552347778</c:v>
                </c:pt>
                <c:pt idx="618">
                  <c:v>0.32531931104405265</c:v>
                </c:pt>
                <c:pt idx="619">
                  <c:v>0.2280522966792603</c:v>
                </c:pt>
                <c:pt idx="620">
                  <c:v>0.26177474524462579</c:v>
                </c:pt>
                <c:pt idx="621">
                  <c:v>0.14380723550273725</c:v>
                </c:pt>
                <c:pt idx="622">
                  <c:v>0.21863148476078875</c:v>
                </c:pt>
                <c:pt idx="623">
                  <c:v>0.12768246289456614</c:v>
                </c:pt>
                <c:pt idx="624">
                  <c:v>8.987748362330282E-2</c:v>
                </c:pt>
                <c:pt idx="625">
                  <c:v>0.10907246911303707</c:v>
                </c:pt>
                <c:pt idx="626">
                  <c:v>0.10610330724228027</c:v>
                </c:pt>
                <c:pt idx="627">
                  <c:v>0.10374180501288667</c:v>
                </c:pt>
                <c:pt idx="628">
                  <c:v>0.15528054619180223</c:v>
                </c:pt>
                <c:pt idx="629">
                  <c:v>0.15193751967500638</c:v>
                </c:pt>
                <c:pt idx="630">
                  <c:v>0.23344377893887261</c:v>
                </c:pt>
                <c:pt idx="631">
                  <c:v>0.31110056925996205</c:v>
                </c:pt>
                <c:pt idx="632">
                  <c:v>0.31942047657321165</c:v>
                </c:pt>
                <c:pt idx="633">
                  <c:v>0.35717531962733068</c:v>
                </c:pt>
                <c:pt idx="634">
                  <c:v>0.2848610804966884</c:v>
                </c:pt>
                <c:pt idx="635">
                  <c:v>0.35029625426708461</c:v>
                </c:pt>
                <c:pt idx="636">
                  <c:v>0.32715663863304251</c:v>
                </c:pt>
                <c:pt idx="637">
                  <c:v>0.28258372766113843</c:v>
                </c:pt>
                <c:pt idx="638">
                  <c:v>0.27616014558689717</c:v>
                </c:pt>
                <c:pt idx="639">
                  <c:v>0.31560281619487041</c:v>
                </c:pt>
                <c:pt idx="640">
                  <c:v>0.29164459844819279</c:v>
                </c:pt>
                <c:pt idx="641">
                  <c:v>0.280816911819877</c:v>
                </c:pt>
                <c:pt idx="642">
                  <c:v>0.22038747453632107</c:v>
                </c:pt>
                <c:pt idx="643">
                  <c:v>0.15428021927062741</c:v>
                </c:pt>
                <c:pt idx="644">
                  <c:v>0.14211775266306656</c:v>
                </c:pt>
                <c:pt idx="645">
                  <c:v>0.11382405659704559</c:v>
                </c:pt>
                <c:pt idx="646">
                  <c:v>0.10100533583713102</c:v>
                </c:pt>
                <c:pt idx="647">
                  <c:v>0.10592496664653146</c:v>
                </c:pt>
                <c:pt idx="648">
                  <c:v>0.10348439107131308</c:v>
                </c:pt>
                <c:pt idx="649">
                  <c:v>0.10635354838709678</c:v>
                </c:pt>
                <c:pt idx="650">
                  <c:v>0.1291000550546674</c:v>
                </c:pt>
                <c:pt idx="651">
                  <c:v>0.11548946820658243</c:v>
                </c:pt>
                <c:pt idx="652">
                  <c:v>0.12244564161802439</c:v>
                </c:pt>
                <c:pt idx="653">
                  <c:v>0.12631473504958429</c:v>
                </c:pt>
                <c:pt idx="654">
                  <c:v>0.12529393980112874</c:v>
                </c:pt>
                <c:pt idx="655">
                  <c:v>0.12204622609246887</c:v>
                </c:pt>
                <c:pt idx="656">
                  <c:v>0.13253229147013371</c:v>
                </c:pt>
                <c:pt idx="657">
                  <c:v>0.13201423132139067</c:v>
                </c:pt>
                <c:pt idx="658">
                  <c:v>0.14335970016271862</c:v>
                </c:pt>
                <c:pt idx="659">
                  <c:v>0.14867042792153895</c:v>
                </c:pt>
                <c:pt idx="660">
                  <c:v>0.16902908610816372</c:v>
                </c:pt>
                <c:pt idx="661">
                  <c:v>0.17391078807129134</c:v>
                </c:pt>
                <c:pt idx="662">
                  <c:v>0.22436760259709443</c:v>
                </c:pt>
                <c:pt idx="663">
                  <c:v>0.20234865920459172</c:v>
                </c:pt>
                <c:pt idx="664">
                  <c:v>0.16738418266727348</c:v>
                </c:pt>
                <c:pt idx="665">
                  <c:v>0.18731124643009553</c:v>
                </c:pt>
                <c:pt idx="666">
                  <c:v>0.19035945540900551</c:v>
                </c:pt>
                <c:pt idx="667">
                  <c:v>0.18374130051513435</c:v>
                </c:pt>
                <c:pt idx="668">
                  <c:v>0.14400968564510253</c:v>
                </c:pt>
                <c:pt idx="669">
                  <c:v>0.18739195913403472</c:v>
                </c:pt>
                <c:pt idx="670">
                  <c:v>0.21191126056291898</c:v>
                </c:pt>
                <c:pt idx="671">
                  <c:v>0.15972973859424711</c:v>
                </c:pt>
                <c:pt idx="672">
                  <c:v>0.17384303514476199</c:v>
                </c:pt>
                <c:pt idx="673">
                  <c:v>0.1456644795385823</c:v>
                </c:pt>
                <c:pt idx="674">
                  <c:v>0.13609540336823861</c:v>
                </c:pt>
                <c:pt idx="675">
                  <c:v>0.13407720667485951</c:v>
                </c:pt>
                <c:pt idx="676">
                  <c:v>0.12275532468480969</c:v>
                </c:pt>
                <c:pt idx="677">
                  <c:v>0.11635635115453781</c:v>
                </c:pt>
                <c:pt idx="678">
                  <c:v>0.11917496885254131</c:v>
                </c:pt>
                <c:pt idx="679">
                  <c:v>0.14401483812660065</c:v>
                </c:pt>
                <c:pt idx="680">
                  <c:v>0.13225112589903879</c:v>
                </c:pt>
                <c:pt idx="681">
                  <c:v>0.12560549545140001</c:v>
                </c:pt>
                <c:pt idx="682">
                  <c:v>0.14686673714885137</c:v>
                </c:pt>
                <c:pt idx="683">
                  <c:v>0.13782431091952016</c:v>
                </c:pt>
                <c:pt idx="684">
                  <c:v>0.10922262182024672</c:v>
                </c:pt>
                <c:pt idx="685">
                  <c:v>8.7661966826148199E-2</c:v>
                </c:pt>
                <c:pt idx="686">
                  <c:v>9.4199812443748865E-2</c:v>
                </c:pt>
                <c:pt idx="687">
                  <c:v>0.10074896764201306</c:v>
                </c:pt>
                <c:pt idx="688">
                  <c:v>8.8525978320856374E-2</c:v>
                </c:pt>
                <c:pt idx="689">
                  <c:v>8.5947985781740871E-2</c:v>
                </c:pt>
                <c:pt idx="690">
                  <c:v>9.3947432607151882E-2</c:v>
                </c:pt>
                <c:pt idx="691">
                  <c:v>7.8520684962977358E-2</c:v>
                </c:pt>
                <c:pt idx="692">
                  <c:v>8.0103016204560742E-2</c:v>
                </c:pt>
                <c:pt idx="693">
                  <c:v>8.3235238962406324E-2</c:v>
                </c:pt>
                <c:pt idx="694">
                  <c:v>0.10319952270629017</c:v>
                </c:pt>
                <c:pt idx="695">
                  <c:v>9.4399484008175688E-2</c:v>
                </c:pt>
                <c:pt idx="696">
                  <c:v>9.1531337790225722E-2</c:v>
                </c:pt>
                <c:pt idx="697">
                  <c:v>0.1065782173546462</c:v>
                </c:pt>
                <c:pt idx="698">
                  <c:v>0.1018541199740849</c:v>
                </c:pt>
                <c:pt idx="699">
                  <c:v>9.7629914764916143E-2</c:v>
                </c:pt>
                <c:pt idx="700">
                  <c:v>9.0170455398326105E-2</c:v>
                </c:pt>
                <c:pt idx="701">
                  <c:v>6.3499733901011171E-2</c:v>
                </c:pt>
                <c:pt idx="702">
                  <c:v>4.1953771221279655E-2</c:v>
                </c:pt>
                <c:pt idx="703">
                  <c:v>5.3799229384120913E-2</c:v>
                </c:pt>
                <c:pt idx="704">
                  <c:v>5.6802018312707973E-2</c:v>
                </c:pt>
                <c:pt idx="705">
                  <c:v>6.2898964154605191E-2</c:v>
                </c:pt>
                <c:pt idx="706">
                  <c:v>6.2206074404919015E-2</c:v>
                </c:pt>
                <c:pt idx="707">
                  <c:v>9.051402098688513E-2</c:v>
                </c:pt>
                <c:pt idx="708">
                  <c:v>0.11266280979378833</c:v>
                </c:pt>
                <c:pt idx="709">
                  <c:v>0.11957672221833904</c:v>
                </c:pt>
                <c:pt idx="710">
                  <c:v>0.12732803882294566</c:v>
                </c:pt>
                <c:pt idx="711">
                  <c:v>0.12756146723608844</c:v>
                </c:pt>
                <c:pt idx="712">
                  <c:v>0.14138135833745047</c:v>
                </c:pt>
                <c:pt idx="713">
                  <c:v>0.1422515382618886</c:v>
                </c:pt>
                <c:pt idx="714">
                  <c:v>0.13974217957097235</c:v>
                </c:pt>
                <c:pt idx="715">
                  <c:v>0.11590694440119978</c:v>
                </c:pt>
                <c:pt idx="716">
                  <c:v>0.13645043262910858</c:v>
                </c:pt>
                <c:pt idx="717">
                  <c:v>0.13329100779085276</c:v>
                </c:pt>
                <c:pt idx="718">
                  <c:v>0.11108186105787328</c:v>
                </c:pt>
                <c:pt idx="719">
                  <c:v>0.10638333771214119</c:v>
                </c:pt>
                <c:pt idx="720">
                  <c:v>8.2913243414850013E-2</c:v>
                </c:pt>
                <c:pt idx="721">
                  <c:v>7.708514281460159E-2</c:v>
                </c:pt>
                <c:pt idx="722">
                  <c:v>8.5798006423462275E-2</c:v>
                </c:pt>
                <c:pt idx="723">
                  <c:v>6.7479660430797506E-2</c:v>
                </c:pt>
                <c:pt idx="724">
                  <c:v>7.3497178955088296E-2</c:v>
                </c:pt>
                <c:pt idx="725">
                  <c:v>9.0865608076702728E-2</c:v>
                </c:pt>
                <c:pt idx="726">
                  <c:v>0.1455396477286173</c:v>
                </c:pt>
                <c:pt idx="727">
                  <c:v>0.14314765111722186</c:v>
                </c:pt>
                <c:pt idx="728">
                  <c:v>0.16369743751456736</c:v>
                </c:pt>
                <c:pt idx="729">
                  <c:v>0.15838449993177786</c:v>
                </c:pt>
                <c:pt idx="730">
                  <c:v>0.12911690795472236</c:v>
                </c:pt>
                <c:pt idx="731">
                  <c:v>0.12910367336027112</c:v>
                </c:pt>
                <c:pt idx="732">
                  <c:v>9.5381751931533199E-2</c:v>
                </c:pt>
                <c:pt idx="733">
                  <c:v>7.4166498116796861E-2</c:v>
                </c:pt>
                <c:pt idx="734">
                  <c:v>7.2635892366578927E-2</c:v>
                </c:pt>
                <c:pt idx="735">
                  <c:v>6.2592844228975458E-2</c:v>
                </c:pt>
                <c:pt idx="736">
                  <c:v>7.3615162448636404E-2</c:v>
                </c:pt>
                <c:pt idx="737">
                  <c:v>5.7597998281291279E-2</c:v>
                </c:pt>
                <c:pt idx="738">
                  <c:v>9.1046138692356671E-2</c:v>
                </c:pt>
                <c:pt idx="739">
                  <c:v>7.742642322672301E-2</c:v>
                </c:pt>
                <c:pt idx="740">
                  <c:v>7.6139015480103114E-2</c:v>
                </c:pt>
                <c:pt idx="741">
                  <c:v>7.9588328388377788E-2</c:v>
                </c:pt>
                <c:pt idx="742">
                  <c:v>7.326098558975272E-2</c:v>
                </c:pt>
                <c:pt idx="743">
                  <c:v>7.455807539276689E-2</c:v>
                </c:pt>
                <c:pt idx="744">
                  <c:v>7.0712141512473931E-2</c:v>
                </c:pt>
                <c:pt idx="745">
                  <c:v>8.4211831419724686E-2</c:v>
                </c:pt>
                <c:pt idx="746">
                  <c:v>9.7085490490624746E-2</c:v>
                </c:pt>
                <c:pt idx="747">
                  <c:v>6.660139812095292E-2</c:v>
                </c:pt>
                <c:pt idx="748">
                  <c:v>6.9791747702527648E-2</c:v>
                </c:pt>
                <c:pt idx="749">
                  <c:v>8.2110196462862745E-2</c:v>
                </c:pt>
                <c:pt idx="750">
                  <c:v>4.8493763909936531E-2</c:v>
                </c:pt>
                <c:pt idx="751">
                  <c:v>6.1466892909572746E-2</c:v>
                </c:pt>
                <c:pt idx="752">
                  <c:v>5.1770582407181721E-2</c:v>
                </c:pt>
                <c:pt idx="753">
                  <c:v>5.6388998757361621E-2</c:v>
                </c:pt>
                <c:pt idx="754">
                  <c:v>7.6674306086070787E-2</c:v>
                </c:pt>
                <c:pt idx="755">
                  <c:v>9.4542896547900393E-2</c:v>
                </c:pt>
                <c:pt idx="756">
                  <c:v>8.2030350817520609E-2</c:v>
                </c:pt>
                <c:pt idx="757">
                  <c:v>0.15351882950513282</c:v>
                </c:pt>
                <c:pt idx="758">
                  <c:v>0.11924729851617354</c:v>
                </c:pt>
                <c:pt idx="759">
                  <c:v>0.10299385741243935</c:v>
                </c:pt>
                <c:pt idx="760">
                  <c:v>0.11798199811029887</c:v>
                </c:pt>
                <c:pt idx="761">
                  <c:v>0.1355301087528836</c:v>
                </c:pt>
                <c:pt idx="762">
                  <c:v>0.18118075255579938</c:v>
                </c:pt>
                <c:pt idx="763">
                  <c:v>0.21270156381683678</c:v>
                </c:pt>
                <c:pt idx="764">
                  <c:v>0.13046701558867493</c:v>
                </c:pt>
                <c:pt idx="765">
                  <c:v>0.16196940517011915</c:v>
                </c:pt>
                <c:pt idx="766">
                  <c:v>0.16736154289223634</c:v>
                </c:pt>
                <c:pt idx="767">
                  <c:v>0.13654154030123158</c:v>
                </c:pt>
                <c:pt idx="768">
                  <c:v>0.12558181097651</c:v>
                </c:pt>
                <c:pt idx="769">
                  <c:v>0.16595918945950841</c:v>
                </c:pt>
                <c:pt idx="770">
                  <c:v>0.12072121874912371</c:v>
                </c:pt>
                <c:pt idx="771">
                  <c:v>9.1894450268333511E-2</c:v>
                </c:pt>
                <c:pt idx="772">
                  <c:v>0.14698498508133082</c:v>
                </c:pt>
                <c:pt idx="773">
                  <c:v>0.14065394901615319</c:v>
                </c:pt>
                <c:pt idx="774">
                  <c:v>0.12724076402430301</c:v>
                </c:pt>
                <c:pt idx="775">
                  <c:v>0.1129178841565194</c:v>
                </c:pt>
                <c:pt idx="776">
                  <c:v>0.14118549277070122</c:v>
                </c:pt>
                <c:pt idx="777">
                  <c:v>0.17370633303943328</c:v>
                </c:pt>
                <c:pt idx="778">
                  <c:v>0.16442598034248657</c:v>
                </c:pt>
                <c:pt idx="779">
                  <c:v>0.20270706551737305</c:v>
                </c:pt>
                <c:pt idx="780">
                  <c:v>0.19888917459501157</c:v>
                </c:pt>
                <c:pt idx="781">
                  <c:v>0.15719536535797773</c:v>
                </c:pt>
                <c:pt idx="782">
                  <c:v>0.13565800415412785</c:v>
                </c:pt>
                <c:pt idx="783">
                  <c:v>0.20183992043587304</c:v>
                </c:pt>
                <c:pt idx="784">
                  <c:v>0.20547025567335361</c:v>
                </c:pt>
                <c:pt idx="785">
                  <c:v>0.1408975785262859</c:v>
                </c:pt>
                <c:pt idx="786">
                  <c:v>0.12517202701520203</c:v>
                </c:pt>
                <c:pt idx="787">
                  <c:v>0.16575838828900644</c:v>
                </c:pt>
                <c:pt idx="788">
                  <c:v>0.19703725809306022</c:v>
                </c:pt>
                <c:pt idx="789">
                  <c:v>0.17659234107027505</c:v>
                </c:pt>
                <c:pt idx="790">
                  <c:v>0.21568695315095801</c:v>
                </c:pt>
                <c:pt idx="791">
                  <c:v>0.21757426473241082</c:v>
                </c:pt>
                <c:pt idx="792">
                  <c:v>0.19494077007563551</c:v>
                </c:pt>
                <c:pt idx="793">
                  <c:v>0.28479874462751958</c:v>
                </c:pt>
                <c:pt idx="794">
                  <c:v>0.39012611257674007</c:v>
                </c:pt>
                <c:pt idx="795">
                  <c:v>0.29252871879029424</c:v>
                </c:pt>
                <c:pt idx="796">
                  <c:v>0.14239148943070973</c:v>
                </c:pt>
                <c:pt idx="797">
                  <c:v>9.8908426655243062E-2</c:v>
                </c:pt>
                <c:pt idx="798">
                  <c:v>8.6293052077288282E-2</c:v>
                </c:pt>
                <c:pt idx="799">
                  <c:v>0.12334923895132256</c:v>
                </c:pt>
                <c:pt idx="800">
                  <c:v>0.1878947347501719</c:v>
                </c:pt>
                <c:pt idx="801">
                  <c:v>0.18328721801187087</c:v>
                </c:pt>
                <c:pt idx="802">
                  <c:v>0.21712168004941321</c:v>
                </c:pt>
                <c:pt idx="803">
                  <c:v>0.2502346451363035</c:v>
                </c:pt>
                <c:pt idx="804">
                  <c:v>0.31911201804038292</c:v>
                </c:pt>
                <c:pt idx="805">
                  <c:v>0.30447424948918111</c:v>
                </c:pt>
                <c:pt idx="806">
                  <c:v>0.34138405439791564</c:v>
                </c:pt>
                <c:pt idx="807">
                  <c:v>0.33872721342369444</c:v>
                </c:pt>
                <c:pt idx="808">
                  <c:v>0.39572906434095195</c:v>
                </c:pt>
                <c:pt idx="809">
                  <c:v>0.35084289258085605</c:v>
                </c:pt>
                <c:pt idx="810">
                  <c:v>0.30595553403054199</c:v>
                </c:pt>
                <c:pt idx="811">
                  <c:v>0.23131025885140311</c:v>
                </c:pt>
                <c:pt idx="812">
                  <c:v>0.18159276546091016</c:v>
                </c:pt>
                <c:pt idx="813">
                  <c:v>0.16529127081376413</c:v>
                </c:pt>
                <c:pt idx="814">
                  <c:v>0.14990937804016685</c:v>
                </c:pt>
                <c:pt idx="815">
                  <c:v>0.18557683516081613</c:v>
                </c:pt>
                <c:pt idx="816">
                  <c:v>0.22375808460895238</c:v>
                </c:pt>
                <c:pt idx="817">
                  <c:v>0.17040612364622523</c:v>
                </c:pt>
                <c:pt idx="818">
                  <c:v>9.8167311131051135E-2</c:v>
                </c:pt>
                <c:pt idx="819">
                  <c:v>6.4166099727244921E-2</c:v>
                </c:pt>
                <c:pt idx="820">
                  <c:v>6.1048488101628197E-2</c:v>
                </c:pt>
                <c:pt idx="821">
                  <c:v>5.9907705137784643E-2</c:v>
                </c:pt>
                <c:pt idx="822">
                  <c:v>5.7488845663228497E-2</c:v>
                </c:pt>
                <c:pt idx="823">
                  <c:v>6.8814459438657702E-2</c:v>
                </c:pt>
                <c:pt idx="824">
                  <c:v>0.11439674858064651</c:v>
                </c:pt>
                <c:pt idx="825">
                  <c:v>0.13899699766485044</c:v>
                </c:pt>
                <c:pt idx="826">
                  <c:v>0.24779633610064877</c:v>
                </c:pt>
                <c:pt idx="827">
                  <c:v>0.29277360769266048</c:v>
                </c:pt>
                <c:pt idx="828">
                  <c:v>0.30756392551261169</c:v>
                </c:pt>
                <c:pt idx="829">
                  <c:v>0.33461366879387971</c:v>
                </c:pt>
                <c:pt idx="830">
                  <c:v>0.35117814584198986</c:v>
                </c:pt>
                <c:pt idx="831">
                  <c:v>0.3697964379617622</c:v>
                </c:pt>
                <c:pt idx="832">
                  <c:v>0.38877984455612202</c:v>
                </c:pt>
                <c:pt idx="833">
                  <c:v>0.31729824596458628</c:v>
                </c:pt>
                <c:pt idx="834">
                  <c:v>0.29251146002167711</c:v>
                </c:pt>
                <c:pt idx="835">
                  <c:v>0.36491268396252097</c:v>
                </c:pt>
                <c:pt idx="836">
                  <c:v>0.3220005061490705</c:v>
                </c:pt>
                <c:pt idx="837">
                  <c:v>0.35673152097224253</c:v>
                </c:pt>
                <c:pt idx="838">
                  <c:v>0.26978471592937364</c:v>
                </c:pt>
                <c:pt idx="839">
                  <c:v>0.23166671429796235</c:v>
                </c:pt>
                <c:pt idx="840">
                  <c:v>0.30965447847054911</c:v>
                </c:pt>
                <c:pt idx="841">
                  <c:v>0.26935195673330037</c:v>
                </c:pt>
                <c:pt idx="842">
                  <c:v>0.23228041605798627</c:v>
                </c:pt>
                <c:pt idx="843">
                  <c:v>0.15798766070058409</c:v>
                </c:pt>
                <c:pt idx="844">
                  <c:v>0.11671486552934018</c:v>
                </c:pt>
                <c:pt idx="845">
                  <c:v>0.14192797797945481</c:v>
                </c:pt>
                <c:pt idx="846">
                  <c:v>8.5317527646754973E-2</c:v>
                </c:pt>
                <c:pt idx="847">
                  <c:v>0.13342392128963082</c:v>
                </c:pt>
                <c:pt idx="848">
                  <c:v>0.12752634278405733</c:v>
                </c:pt>
                <c:pt idx="849">
                  <c:v>0.12531702128998559</c:v>
                </c:pt>
                <c:pt idx="850">
                  <c:v>0.20491364363926862</c:v>
                </c:pt>
                <c:pt idx="851">
                  <c:v>0.21621519155308702</c:v>
                </c:pt>
                <c:pt idx="852">
                  <c:v>0.23753157573159944</c:v>
                </c:pt>
                <c:pt idx="853">
                  <c:v>0.31003503786349768</c:v>
                </c:pt>
                <c:pt idx="854">
                  <c:v>0.26922111723752229</c:v>
                </c:pt>
                <c:pt idx="855">
                  <c:v>0.1844648102972096</c:v>
                </c:pt>
                <c:pt idx="856">
                  <c:v>0.13546880938161682</c:v>
                </c:pt>
                <c:pt idx="857">
                  <c:v>0.21127881677797908</c:v>
                </c:pt>
                <c:pt idx="858">
                  <c:v>0.11439889562451233</c:v>
                </c:pt>
                <c:pt idx="859">
                  <c:v>0.14908841944852413</c:v>
                </c:pt>
                <c:pt idx="860">
                  <c:v>0.10635136849555631</c:v>
                </c:pt>
                <c:pt idx="861">
                  <c:v>9.0096732043353334E-2</c:v>
                </c:pt>
                <c:pt idx="862">
                  <c:v>7.9299464813483503E-2</c:v>
                </c:pt>
                <c:pt idx="863">
                  <c:v>6.9776325283307156E-2</c:v>
                </c:pt>
                <c:pt idx="864">
                  <c:v>8.6774332843941621E-2</c:v>
                </c:pt>
                <c:pt idx="865">
                  <c:v>9.3082379326633199E-2</c:v>
                </c:pt>
                <c:pt idx="866">
                  <c:v>0.13087143047614566</c:v>
                </c:pt>
                <c:pt idx="867">
                  <c:v>9.7567038747754686E-2</c:v>
                </c:pt>
                <c:pt idx="868">
                  <c:v>0.12619241958100499</c:v>
                </c:pt>
                <c:pt idx="869">
                  <c:v>0.11462796838134119</c:v>
                </c:pt>
                <c:pt idx="870">
                  <c:v>0.2476496503779152</c:v>
                </c:pt>
                <c:pt idx="871">
                  <c:v>0.30957492330342834</c:v>
                </c:pt>
                <c:pt idx="872">
                  <c:v>0.22040101912752946</c:v>
                </c:pt>
                <c:pt idx="873">
                  <c:v>0.18740975251920775</c:v>
                </c:pt>
                <c:pt idx="874">
                  <c:v>0.23503523108439703</c:v>
                </c:pt>
                <c:pt idx="875">
                  <c:v>0.20411884124185908</c:v>
                </c:pt>
                <c:pt idx="876">
                  <c:v>0.19852205981518772</c:v>
                </c:pt>
                <c:pt idx="877">
                  <c:v>0.23276789447229099</c:v>
                </c:pt>
                <c:pt idx="878">
                  <c:v>0.29301214602878417</c:v>
                </c:pt>
                <c:pt idx="879">
                  <c:v>0.19908210480557426</c:v>
                </c:pt>
                <c:pt idx="880">
                  <c:v>0.24129657779055913</c:v>
                </c:pt>
                <c:pt idx="881">
                  <c:v>0.28893989787792196</c:v>
                </c:pt>
                <c:pt idx="882">
                  <c:v>0.27219210294261731</c:v>
                </c:pt>
                <c:pt idx="883">
                  <c:v>0.27017125531965291</c:v>
                </c:pt>
                <c:pt idx="884">
                  <c:v>0.2900850270100046</c:v>
                </c:pt>
                <c:pt idx="885">
                  <c:v>0.20526641045237304</c:v>
                </c:pt>
                <c:pt idx="886">
                  <c:v>0.19006415796484022</c:v>
                </c:pt>
                <c:pt idx="887">
                  <c:v>0.16257010691834556</c:v>
                </c:pt>
                <c:pt idx="888">
                  <c:v>0.12123327265571189</c:v>
                </c:pt>
                <c:pt idx="889">
                  <c:v>0.1453031402600278</c:v>
                </c:pt>
                <c:pt idx="890">
                  <c:v>9.741491358975593E-2</c:v>
                </c:pt>
                <c:pt idx="891">
                  <c:v>0.15144697338673915</c:v>
                </c:pt>
                <c:pt idx="892">
                  <c:v>0.22488665815787207</c:v>
                </c:pt>
                <c:pt idx="893">
                  <c:v>0.277740402273562</c:v>
                </c:pt>
                <c:pt idx="894">
                  <c:v>0.3066226999835312</c:v>
                </c:pt>
                <c:pt idx="895">
                  <c:v>0.38022587254436274</c:v>
                </c:pt>
                <c:pt idx="896">
                  <c:v>0.28471540065238388</c:v>
                </c:pt>
                <c:pt idx="897">
                  <c:v>0.24229296527159394</c:v>
                </c:pt>
                <c:pt idx="898">
                  <c:v>0.31036542474388046</c:v>
                </c:pt>
                <c:pt idx="899">
                  <c:v>0.32812464911558414</c:v>
                </c:pt>
                <c:pt idx="900">
                  <c:v>0.32330422701434897</c:v>
                </c:pt>
                <c:pt idx="901">
                  <c:v>0.35572365606138023</c:v>
                </c:pt>
                <c:pt idx="902">
                  <c:v>0.27804679422437434</c:v>
                </c:pt>
                <c:pt idx="903">
                  <c:v>0.20059178091100119</c:v>
                </c:pt>
                <c:pt idx="904">
                  <c:v>0.19047753012193455</c:v>
                </c:pt>
                <c:pt idx="905">
                  <c:v>0.23934852523613606</c:v>
                </c:pt>
                <c:pt idx="906">
                  <c:v>0.23084444444444444</c:v>
                </c:pt>
                <c:pt idx="907">
                  <c:v>0.24814725058240436</c:v>
                </c:pt>
                <c:pt idx="908">
                  <c:v>0.26124834670489377</c:v>
                </c:pt>
                <c:pt idx="909">
                  <c:v>0.2004115075136863</c:v>
                </c:pt>
                <c:pt idx="910">
                  <c:v>0.16219488278067767</c:v>
                </c:pt>
                <c:pt idx="911">
                  <c:v>0.16050557426055334</c:v>
                </c:pt>
                <c:pt idx="912">
                  <c:v>0.17286704278438436</c:v>
                </c:pt>
                <c:pt idx="913">
                  <c:v>0.16145575924391153</c:v>
                </c:pt>
                <c:pt idx="914">
                  <c:v>0.19949437563913192</c:v>
                </c:pt>
                <c:pt idx="915">
                  <c:v>0.29676106853440254</c:v>
                </c:pt>
                <c:pt idx="916">
                  <c:v>0.32160589507886905</c:v>
                </c:pt>
                <c:pt idx="917">
                  <c:v>0.32485803611306069</c:v>
                </c:pt>
                <c:pt idx="918">
                  <c:v>0.33384484372233419</c:v>
                </c:pt>
                <c:pt idx="919">
                  <c:v>0.39188524877980269</c:v>
                </c:pt>
                <c:pt idx="920">
                  <c:v>0.44168650653340563</c:v>
                </c:pt>
                <c:pt idx="921">
                  <c:v>0.45349948748661129</c:v>
                </c:pt>
                <c:pt idx="922">
                  <c:v>0.44727251647311161</c:v>
                </c:pt>
                <c:pt idx="923">
                  <c:v>0.47491905216726182</c:v>
                </c:pt>
                <c:pt idx="924">
                  <c:v>0.41937529531720175</c:v>
                </c:pt>
                <c:pt idx="925">
                  <c:v>0.43288636550345494</c:v>
                </c:pt>
                <c:pt idx="926">
                  <c:v>0.45796947723594333</c:v>
                </c:pt>
                <c:pt idx="927">
                  <c:v>0.53136119305014673</c:v>
                </c:pt>
                <c:pt idx="928">
                  <c:v>0.54584598964101771</c:v>
                </c:pt>
                <c:pt idx="929">
                  <c:v>0.55290589999118089</c:v>
                </c:pt>
                <c:pt idx="930">
                  <c:v>0.49156560088202866</c:v>
                </c:pt>
                <c:pt idx="931">
                  <c:v>0.45554146728271239</c:v>
                </c:pt>
                <c:pt idx="932">
                  <c:v>0.49390122205846232</c:v>
                </c:pt>
                <c:pt idx="933">
                  <c:v>0.50596669002317685</c:v>
                </c:pt>
                <c:pt idx="934">
                  <c:v>0.54828389680046263</c:v>
                </c:pt>
                <c:pt idx="935">
                  <c:v>0.54956290319863899</c:v>
                </c:pt>
                <c:pt idx="936">
                  <c:v>0.47981318033057913</c:v>
                </c:pt>
                <c:pt idx="937">
                  <c:v>0.48092461689283317</c:v>
                </c:pt>
                <c:pt idx="938">
                  <c:v>0.46884984588908246</c:v>
                </c:pt>
                <c:pt idx="939">
                  <c:v>0.46459046667792431</c:v>
                </c:pt>
                <c:pt idx="940">
                  <c:v>0.45971971486267599</c:v>
                </c:pt>
                <c:pt idx="941">
                  <c:v>0.42782039918085402</c:v>
                </c:pt>
                <c:pt idx="942">
                  <c:v>0.40572954891887314</c:v>
                </c:pt>
                <c:pt idx="943">
                  <c:v>0.38746422458918572</c:v>
                </c:pt>
                <c:pt idx="944">
                  <c:v>0.35455548920615965</c:v>
                </c:pt>
                <c:pt idx="945">
                  <c:v>0.33914887590196197</c:v>
                </c:pt>
                <c:pt idx="946">
                  <c:v>0.35698211285908987</c:v>
                </c:pt>
                <c:pt idx="947">
                  <c:v>0.32800221419537473</c:v>
                </c:pt>
                <c:pt idx="948">
                  <c:v>0.28416551537423307</c:v>
                </c:pt>
                <c:pt idx="949">
                  <c:v>0.2255184042043758</c:v>
                </c:pt>
                <c:pt idx="950">
                  <c:v>0.23450512276316782</c:v>
                </c:pt>
                <c:pt idx="951">
                  <c:v>0.23654940461244106</c:v>
                </c:pt>
                <c:pt idx="952">
                  <c:v>0.28126119070807271</c:v>
                </c:pt>
                <c:pt idx="953">
                  <c:v>0.27648665127260463</c:v>
                </c:pt>
                <c:pt idx="954">
                  <c:v>0.26588261263337631</c:v>
                </c:pt>
                <c:pt idx="955">
                  <c:v>0.25903284456886672</c:v>
                </c:pt>
                <c:pt idx="956">
                  <c:v>0.27698906184681321</c:v>
                </c:pt>
                <c:pt idx="957">
                  <c:v>0.27719318389042352</c:v>
                </c:pt>
                <c:pt idx="958">
                  <c:v>0.28306877421126114</c:v>
                </c:pt>
                <c:pt idx="959">
                  <c:v>0.26403313677079721</c:v>
                </c:pt>
                <c:pt idx="960">
                  <c:v>0.30024916656888662</c:v>
                </c:pt>
                <c:pt idx="961">
                  <c:v>0.30528611857177329</c:v>
                </c:pt>
                <c:pt idx="962">
                  <c:v>0.29951149977055785</c:v>
                </c:pt>
                <c:pt idx="963">
                  <c:v>0.31789603769212943</c:v>
                </c:pt>
                <c:pt idx="964">
                  <c:v>0.34103725587779388</c:v>
                </c:pt>
                <c:pt idx="965">
                  <c:v>0.34637263484382019</c:v>
                </c:pt>
                <c:pt idx="966">
                  <c:v>0.37482525921977611</c:v>
                </c:pt>
                <c:pt idx="967">
                  <c:v>0.34540397948336155</c:v>
                </c:pt>
                <c:pt idx="968">
                  <c:v>0.35122318661941693</c:v>
                </c:pt>
                <c:pt idx="969">
                  <c:v>0.30780478629202557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CE-403F-A5B3-48D609968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9788559"/>
        <c:axId val="539790479"/>
      </c:lineChart>
      <c:dateAx>
        <c:axId val="539788559"/>
        <c:scaling>
          <c:orientation val="minMax"/>
        </c:scaling>
        <c:delete val="0"/>
        <c:axPos val="b"/>
        <c:numFmt formatCode="[$-409]d\-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790479"/>
        <c:crosses val="autoZero"/>
        <c:auto val="1"/>
        <c:lblOffset val="100"/>
        <c:baseTimeUnit val="days"/>
      </c:dateAx>
      <c:valAx>
        <c:axId val="539790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788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Sheet1!$AK$51</c:f>
          <c:strCache>
            <c:ptCount val="1"/>
            <c:pt idx="0">
              <c:v>Brent - Manage Money Short (%) - Last Value: 21.4%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Sheet1!$B$9:$B$978</c:f>
              <c:numCache>
                <c:formatCode>m/d/yyyy</c:formatCode>
                <c:ptCount val="970"/>
                <c:pt idx="0">
                  <c:v>39448</c:v>
                </c:pt>
                <c:pt idx="1">
                  <c:v>39455</c:v>
                </c:pt>
                <c:pt idx="2">
                  <c:v>39462</c:v>
                </c:pt>
                <c:pt idx="3">
                  <c:v>39469</c:v>
                </c:pt>
                <c:pt idx="4">
                  <c:v>39476</c:v>
                </c:pt>
                <c:pt idx="5">
                  <c:v>39483</c:v>
                </c:pt>
                <c:pt idx="6">
                  <c:v>39490</c:v>
                </c:pt>
                <c:pt idx="7">
                  <c:v>39497</c:v>
                </c:pt>
                <c:pt idx="8">
                  <c:v>39504</c:v>
                </c:pt>
                <c:pt idx="9">
                  <c:v>39511</c:v>
                </c:pt>
                <c:pt idx="10">
                  <c:v>39518</c:v>
                </c:pt>
                <c:pt idx="11">
                  <c:v>39525</c:v>
                </c:pt>
                <c:pt idx="12">
                  <c:v>39532</c:v>
                </c:pt>
                <c:pt idx="13">
                  <c:v>39539</c:v>
                </c:pt>
                <c:pt idx="14">
                  <c:v>39546</c:v>
                </c:pt>
                <c:pt idx="15">
                  <c:v>39553</c:v>
                </c:pt>
                <c:pt idx="16">
                  <c:v>39560</c:v>
                </c:pt>
                <c:pt idx="17">
                  <c:v>39567</c:v>
                </c:pt>
                <c:pt idx="18">
                  <c:v>39574</c:v>
                </c:pt>
                <c:pt idx="19">
                  <c:v>39581</c:v>
                </c:pt>
                <c:pt idx="20">
                  <c:v>39588</c:v>
                </c:pt>
                <c:pt idx="21">
                  <c:v>39595</c:v>
                </c:pt>
                <c:pt idx="22">
                  <c:v>39602</c:v>
                </c:pt>
                <c:pt idx="23">
                  <c:v>39609</c:v>
                </c:pt>
                <c:pt idx="24">
                  <c:v>39616</c:v>
                </c:pt>
                <c:pt idx="25">
                  <c:v>39623</c:v>
                </c:pt>
                <c:pt idx="26">
                  <c:v>39630</c:v>
                </c:pt>
                <c:pt idx="27">
                  <c:v>39637</c:v>
                </c:pt>
                <c:pt idx="28">
                  <c:v>39644</c:v>
                </c:pt>
                <c:pt idx="29">
                  <c:v>39651</c:v>
                </c:pt>
                <c:pt idx="30">
                  <c:v>39658</c:v>
                </c:pt>
                <c:pt idx="31">
                  <c:v>39665</c:v>
                </c:pt>
                <c:pt idx="32">
                  <c:v>39672</c:v>
                </c:pt>
                <c:pt idx="33">
                  <c:v>39679</c:v>
                </c:pt>
                <c:pt idx="34">
                  <c:v>39686</c:v>
                </c:pt>
                <c:pt idx="35">
                  <c:v>39693</c:v>
                </c:pt>
                <c:pt idx="36">
                  <c:v>39700</c:v>
                </c:pt>
                <c:pt idx="37">
                  <c:v>39707</c:v>
                </c:pt>
                <c:pt idx="38">
                  <c:v>39714</c:v>
                </c:pt>
                <c:pt idx="39">
                  <c:v>39721</c:v>
                </c:pt>
                <c:pt idx="40">
                  <c:v>39728</c:v>
                </c:pt>
                <c:pt idx="41">
                  <c:v>39735</c:v>
                </c:pt>
                <c:pt idx="42">
                  <c:v>39742</c:v>
                </c:pt>
                <c:pt idx="43">
                  <c:v>39749</c:v>
                </c:pt>
                <c:pt idx="44">
                  <c:v>39756</c:v>
                </c:pt>
                <c:pt idx="45">
                  <c:v>39763</c:v>
                </c:pt>
                <c:pt idx="46">
                  <c:v>39770</c:v>
                </c:pt>
                <c:pt idx="47">
                  <c:v>39777</c:v>
                </c:pt>
                <c:pt idx="48">
                  <c:v>39784</c:v>
                </c:pt>
                <c:pt idx="49">
                  <c:v>39791</c:v>
                </c:pt>
                <c:pt idx="50">
                  <c:v>39798</c:v>
                </c:pt>
                <c:pt idx="51">
                  <c:v>39805</c:v>
                </c:pt>
                <c:pt idx="52">
                  <c:v>39812</c:v>
                </c:pt>
                <c:pt idx="53">
                  <c:v>39819</c:v>
                </c:pt>
                <c:pt idx="54">
                  <c:v>39826</c:v>
                </c:pt>
                <c:pt idx="55">
                  <c:v>39833</c:v>
                </c:pt>
                <c:pt idx="56">
                  <c:v>39840</c:v>
                </c:pt>
                <c:pt idx="57">
                  <c:v>39847</c:v>
                </c:pt>
                <c:pt idx="58">
                  <c:v>39854</c:v>
                </c:pt>
                <c:pt idx="59">
                  <c:v>39861</c:v>
                </c:pt>
                <c:pt idx="60">
                  <c:v>39868</c:v>
                </c:pt>
                <c:pt idx="61">
                  <c:v>39875</c:v>
                </c:pt>
                <c:pt idx="62">
                  <c:v>39882</c:v>
                </c:pt>
                <c:pt idx="63">
                  <c:v>39889</c:v>
                </c:pt>
                <c:pt idx="64">
                  <c:v>39896</c:v>
                </c:pt>
                <c:pt idx="65">
                  <c:v>39903</c:v>
                </c:pt>
                <c:pt idx="66">
                  <c:v>39910</c:v>
                </c:pt>
                <c:pt idx="67">
                  <c:v>39917</c:v>
                </c:pt>
                <c:pt idx="68">
                  <c:v>39924</c:v>
                </c:pt>
                <c:pt idx="69">
                  <c:v>39931</c:v>
                </c:pt>
                <c:pt idx="70">
                  <c:v>39938</c:v>
                </c:pt>
                <c:pt idx="71">
                  <c:v>39945</c:v>
                </c:pt>
                <c:pt idx="72">
                  <c:v>39952</c:v>
                </c:pt>
                <c:pt idx="73">
                  <c:v>39959</c:v>
                </c:pt>
                <c:pt idx="74">
                  <c:v>39966</c:v>
                </c:pt>
                <c:pt idx="75">
                  <c:v>39973</c:v>
                </c:pt>
                <c:pt idx="76">
                  <c:v>39980</c:v>
                </c:pt>
                <c:pt idx="77">
                  <c:v>39987</c:v>
                </c:pt>
                <c:pt idx="78">
                  <c:v>39994</c:v>
                </c:pt>
                <c:pt idx="79">
                  <c:v>40001</c:v>
                </c:pt>
                <c:pt idx="80">
                  <c:v>40008</c:v>
                </c:pt>
                <c:pt idx="81">
                  <c:v>40015</c:v>
                </c:pt>
                <c:pt idx="82">
                  <c:v>40022</c:v>
                </c:pt>
                <c:pt idx="83">
                  <c:v>40029</c:v>
                </c:pt>
                <c:pt idx="84">
                  <c:v>40036</c:v>
                </c:pt>
                <c:pt idx="85">
                  <c:v>40043</c:v>
                </c:pt>
                <c:pt idx="86">
                  <c:v>40050</c:v>
                </c:pt>
                <c:pt idx="87">
                  <c:v>40057</c:v>
                </c:pt>
                <c:pt idx="88">
                  <c:v>40064</c:v>
                </c:pt>
                <c:pt idx="89">
                  <c:v>40071</c:v>
                </c:pt>
                <c:pt idx="90">
                  <c:v>40078</c:v>
                </c:pt>
                <c:pt idx="91">
                  <c:v>40085</c:v>
                </c:pt>
                <c:pt idx="92">
                  <c:v>40092</c:v>
                </c:pt>
                <c:pt idx="93">
                  <c:v>40099</c:v>
                </c:pt>
                <c:pt idx="94">
                  <c:v>40106</c:v>
                </c:pt>
                <c:pt idx="95">
                  <c:v>40113</c:v>
                </c:pt>
                <c:pt idx="96">
                  <c:v>40120</c:v>
                </c:pt>
                <c:pt idx="97">
                  <c:v>40127</c:v>
                </c:pt>
                <c:pt idx="98">
                  <c:v>40134</c:v>
                </c:pt>
                <c:pt idx="99">
                  <c:v>40141</c:v>
                </c:pt>
                <c:pt idx="100">
                  <c:v>40148</c:v>
                </c:pt>
                <c:pt idx="101">
                  <c:v>40155</c:v>
                </c:pt>
                <c:pt idx="102">
                  <c:v>40162</c:v>
                </c:pt>
                <c:pt idx="103">
                  <c:v>40169</c:v>
                </c:pt>
                <c:pt idx="104">
                  <c:v>40176</c:v>
                </c:pt>
                <c:pt idx="105">
                  <c:v>40183</c:v>
                </c:pt>
                <c:pt idx="106">
                  <c:v>40190</c:v>
                </c:pt>
                <c:pt idx="107">
                  <c:v>40197</c:v>
                </c:pt>
                <c:pt idx="108">
                  <c:v>40204</c:v>
                </c:pt>
                <c:pt idx="109">
                  <c:v>40211</c:v>
                </c:pt>
                <c:pt idx="110">
                  <c:v>40218</c:v>
                </c:pt>
                <c:pt idx="111">
                  <c:v>40225</c:v>
                </c:pt>
                <c:pt idx="112">
                  <c:v>40232</c:v>
                </c:pt>
                <c:pt idx="113">
                  <c:v>40239</c:v>
                </c:pt>
                <c:pt idx="114">
                  <c:v>40246</c:v>
                </c:pt>
                <c:pt idx="115">
                  <c:v>40253</c:v>
                </c:pt>
                <c:pt idx="116">
                  <c:v>40260</c:v>
                </c:pt>
                <c:pt idx="117">
                  <c:v>40267</c:v>
                </c:pt>
                <c:pt idx="118">
                  <c:v>40274</c:v>
                </c:pt>
                <c:pt idx="119">
                  <c:v>40281</c:v>
                </c:pt>
                <c:pt idx="120">
                  <c:v>40288</c:v>
                </c:pt>
                <c:pt idx="121">
                  <c:v>40295</c:v>
                </c:pt>
                <c:pt idx="122">
                  <c:v>40302</c:v>
                </c:pt>
                <c:pt idx="123">
                  <c:v>40309</c:v>
                </c:pt>
                <c:pt idx="124">
                  <c:v>40316</c:v>
                </c:pt>
                <c:pt idx="125">
                  <c:v>40323</c:v>
                </c:pt>
                <c:pt idx="126">
                  <c:v>40330</c:v>
                </c:pt>
                <c:pt idx="127">
                  <c:v>40337</c:v>
                </c:pt>
                <c:pt idx="128">
                  <c:v>40344</c:v>
                </c:pt>
                <c:pt idx="129">
                  <c:v>40351</c:v>
                </c:pt>
                <c:pt idx="130">
                  <c:v>40358</c:v>
                </c:pt>
                <c:pt idx="131">
                  <c:v>40365</c:v>
                </c:pt>
                <c:pt idx="132">
                  <c:v>40372</c:v>
                </c:pt>
                <c:pt idx="133">
                  <c:v>40379</c:v>
                </c:pt>
                <c:pt idx="134">
                  <c:v>40386</c:v>
                </c:pt>
                <c:pt idx="135">
                  <c:v>40393</c:v>
                </c:pt>
                <c:pt idx="136">
                  <c:v>40400</c:v>
                </c:pt>
                <c:pt idx="137">
                  <c:v>40407</c:v>
                </c:pt>
                <c:pt idx="138">
                  <c:v>40414</c:v>
                </c:pt>
                <c:pt idx="139">
                  <c:v>40421</c:v>
                </c:pt>
                <c:pt idx="140">
                  <c:v>40428</c:v>
                </c:pt>
                <c:pt idx="141">
                  <c:v>40435</c:v>
                </c:pt>
                <c:pt idx="142">
                  <c:v>40442</c:v>
                </c:pt>
                <c:pt idx="143">
                  <c:v>40449</c:v>
                </c:pt>
                <c:pt idx="144">
                  <c:v>40456</c:v>
                </c:pt>
                <c:pt idx="145">
                  <c:v>40463</c:v>
                </c:pt>
                <c:pt idx="146">
                  <c:v>40470</c:v>
                </c:pt>
                <c:pt idx="147">
                  <c:v>40477</c:v>
                </c:pt>
                <c:pt idx="148">
                  <c:v>40484</c:v>
                </c:pt>
                <c:pt idx="149">
                  <c:v>40491</c:v>
                </c:pt>
                <c:pt idx="150">
                  <c:v>40498</c:v>
                </c:pt>
                <c:pt idx="151">
                  <c:v>40505</c:v>
                </c:pt>
                <c:pt idx="152">
                  <c:v>40512</c:v>
                </c:pt>
                <c:pt idx="153">
                  <c:v>40519</c:v>
                </c:pt>
                <c:pt idx="154">
                  <c:v>40526</c:v>
                </c:pt>
                <c:pt idx="155">
                  <c:v>40533</c:v>
                </c:pt>
                <c:pt idx="156">
                  <c:v>40540</c:v>
                </c:pt>
                <c:pt idx="157">
                  <c:v>40547</c:v>
                </c:pt>
                <c:pt idx="158">
                  <c:v>40554</c:v>
                </c:pt>
                <c:pt idx="159">
                  <c:v>40561</c:v>
                </c:pt>
                <c:pt idx="160">
                  <c:v>40568</c:v>
                </c:pt>
                <c:pt idx="161">
                  <c:v>40575</c:v>
                </c:pt>
                <c:pt idx="162">
                  <c:v>40582</c:v>
                </c:pt>
                <c:pt idx="163">
                  <c:v>40589</c:v>
                </c:pt>
                <c:pt idx="164">
                  <c:v>40596</c:v>
                </c:pt>
                <c:pt idx="165">
                  <c:v>40603</c:v>
                </c:pt>
                <c:pt idx="166">
                  <c:v>40610</c:v>
                </c:pt>
                <c:pt idx="167">
                  <c:v>40617</c:v>
                </c:pt>
                <c:pt idx="168">
                  <c:v>40624</c:v>
                </c:pt>
                <c:pt idx="169">
                  <c:v>40631</c:v>
                </c:pt>
                <c:pt idx="170">
                  <c:v>40638</c:v>
                </c:pt>
                <c:pt idx="171">
                  <c:v>40645</c:v>
                </c:pt>
                <c:pt idx="172">
                  <c:v>40652</c:v>
                </c:pt>
                <c:pt idx="173">
                  <c:v>40659</c:v>
                </c:pt>
                <c:pt idx="174">
                  <c:v>40666</c:v>
                </c:pt>
                <c:pt idx="175">
                  <c:v>40673</c:v>
                </c:pt>
                <c:pt idx="176">
                  <c:v>40680</c:v>
                </c:pt>
                <c:pt idx="177">
                  <c:v>40687</c:v>
                </c:pt>
                <c:pt idx="178">
                  <c:v>40694</c:v>
                </c:pt>
                <c:pt idx="179">
                  <c:v>40701</c:v>
                </c:pt>
                <c:pt idx="180">
                  <c:v>40708</c:v>
                </c:pt>
                <c:pt idx="181">
                  <c:v>40715</c:v>
                </c:pt>
                <c:pt idx="182">
                  <c:v>40722</c:v>
                </c:pt>
                <c:pt idx="183">
                  <c:v>40729</c:v>
                </c:pt>
                <c:pt idx="184">
                  <c:v>40736</c:v>
                </c:pt>
                <c:pt idx="185">
                  <c:v>40743</c:v>
                </c:pt>
                <c:pt idx="186">
                  <c:v>40750</c:v>
                </c:pt>
                <c:pt idx="187">
                  <c:v>40757</c:v>
                </c:pt>
                <c:pt idx="188">
                  <c:v>40764</c:v>
                </c:pt>
                <c:pt idx="189">
                  <c:v>40771</c:v>
                </c:pt>
                <c:pt idx="190">
                  <c:v>40778</c:v>
                </c:pt>
                <c:pt idx="191">
                  <c:v>40785</c:v>
                </c:pt>
                <c:pt idx="192">
                  <c:v>40792</c:v>
                </c:pt>
                <c:pt idx="193">
                  <c:v>40799</c:v>
                </c:pt>
                <c:pt idx="194">
                  <c:v>40806</c:v>
                </c:pt>
                <c:pt idx="195">
                  <c:v>40813</c:v>
                </c:pt>
                <c:pt idx="196">
                  <c:v>40820</c:v>
                </c:pt>
                <c:pt idx="197">
                  <c:v>40827</c:v>
                </c:pt>
                <c:pt idx="198">
                  <c:v>40834</c:v>
                </c:pt>
                <c:pt idx="199">
                  <c:v>40841</c:v>
                </c:pt>
                <c:pt idx="200">
                  <c:v>40848</c:v>
                </c:pt>
                <c:pt idx="201">
                  <c:v>40855</c:v>
                </c:pt>
                <c:pt idx="202">
                  <c:v>40862</c:v>
                </c:pt>
                <c:pt idx="203">
                  <c:v>40869</c:v>
                </c:pt>
                <c:pt idx="204">
                  <c:v>40876</c:v>
                </c:pt>
                <c:pt idx="205">
                  <c:v>40883</c:v>
                </c:pt>
                <c:pt idx="206">
                  <c:v>40890</c:v>
                </c:pt>
                <c:pt idx="207">
                  <c:v>40897</c:v>
                </c:pt>
                <c:pt idx="208">
                  <c:v>40904</c:v>
                </c:pt>
                <c:pt idx="209">
                  <c:v>40911</c:v>
                </c:pt>
                <c:pt idx="210">
                  <c:v>40918</c:v>
                </c:pt>
                <c:pt idx="211">
                  <c:v>40925</c:v>
                </c:pt>
                <c:pt idx="212">
                  <c:v>40932</c:v>
                </c:pt>
                <c:pt idx="213">
                  <c:v>40939</c:v>
                </c:pt>
                <c:pt idx="214">
                  <c:v>40946</c:v>
                </c:pt>
                <c:pt idx="215">
                  <c:v>40953</c:v>
                </c:pt>
                <c:pt idx="216">
                  <c:v>40960</c:v>
                </c:pt>
                <c:pt idx="217">
                  <c:v>40967</c:v>
                </c:pt>
                <c:pt idx="218">
                  <c:v>40974</c:v>
                </c:pt>
                <c:pt idx="219">
                  <c:v>40981</c:v>
                </c:pt>
                <c:pt idx="220">
                  <c:v>40988</c:v>
                </c:pt>
                <c:pt idx="221">
                  <c:v>40995</c:v>
                </c:pt>
                <c:pt idx="222">
                  <c:v>41002</c:v>
                </c:pt>
                <c:pt idx="223">
                  <c:v>41009</c:v>
                </c:pt>
                <c:pt idx="224">
                  <c:v>41016</c:v>
                </c:pt>
                <c:pt idx="225">
                  <c:v>41023</c:v>
                </c:pt>
                <c:pt idx="226">
                  <c:v>41030</c:v>
                </c:pt>
                <c:pt idx="227">
                  <c:v>41037</c:v>
                </c:pt>
                <c:pt idx="228">
                  <c:v>41044</c:v>
                </c:pt>
                <c:pt idx="229">
                  <c:v>41051</c:v>
                </c:pt>
                <c:pt idx="230">
                  <c:v>41058</c:v>
                </c:pt>
                <c:pt idx="231">
                  <c:v>41065</c:v>
                </c:pt>
                <c:pt idx="232">
                  <c:v>41072</c:v>
                </c:pt>
                <c:pt idx="233">
                  <c:v>41079</c:v>
                </c:pt>
                <c:pt idx="234">
                  <c:v>41086</c:v>
                </c:pt>
                <c:pt idx="235">
                  <c:v>41093</c:v>
                </c:pt>
                <c:pt idx="236">
                  <c:v>41100</c:v>
                </c:pt>
                <c:pt idx="237">
                  <c:v>41107</c:v>
                </c:pt>
                <c:pt idx="238">
                  <c:v>41114</c:v>
                </c:pt>
                <c:pt idx="239">
                  <c:v>41121</c:v>
                </c:pt>
                <c:pt idx="240">
                  <c:v>41128</c:v>
                </c:pt>
                <c:pt idx="241">
                  <c:v>41135</c:v>
                </c:pt>
                <c:pt idx="242">
                  <c:v>41142</c:v>
                </c:pt>
                <c:pt idx="243">
                  <c:v>41149</c:v>
                </c:pt>
                <c:pt idx="244">
                  <c:v>41156</c:v>
                </c:pt>
                <c:pt idx="245">
                  <c:v>41163</c:v>
                </c:pt>
                <c:pt idx="246">
                  <c:v>41170</c:v>
                </c:pt>
                <c:pt idx="247">
                  <c:v>41177</c:v>
                </c:pt>
                <c:pt idx="248">
                  <c:v>41184</c:v>
                </c:pt>
                <c:pt idx="249">
                  <c:v>41191</c:v>
                </c:pt>
                <c:pt idx="250">
                  <c:v>41198</c:v>
                </c:pt>
                <c:pt idx="251">
                  <c:v>41205</c:v>
                </c:pt>
                <c:pt idx="252">
                  <c:v>41212</c:v>
                </c:pt>
                <c:pt idx="253">
                  <c:v>41219</c:v>
                </c:pt>
                <c:pt idx="254">
                  <c:v>41226</c:v>
                </c:pt>
                <c:pt idx="255">
                  <c:v>41233</c:v>
                </c:pt>
                <c:pt idx="256">
                  <c:v>41240</c:v>
                </c:pt>
                <c:pt idx="257">
                  <c:v>41247</c:v>
                </c:pt>
                <c:pt idx="258">
                  <c:v>41254</c:v>
                </c:pt>
                <c:pt idx="259">
                  <c:v>41261</c:v>
                </c:pt>
                <c:pt idx="260">
                  <c:v>41268</c:v>
                </c:pt>
                <c:pt idx="261">
                  <c:v>41275</c:v>
                </c:pt>
                <c:pt idx="262">
                  <c:v>41282</c:v>
                </c:pt>
                <c:pt idx="263">
                  <c:v>41289</c:v>
                </c:pt>
                <c:pt idx="264">
                  <c:v>41296</c:v>
                </c:pt>
                <c:pt idx="265">
                  <c:v>41303</c:v>
                </c:pt>
                <c:pt idx="266">
                  <c:v>41310</c:v>
                </c:pt>
                <c:pt idx="267">
                  <c:v>41317</c:v>
                </c:pt>
                <c:pt idx="268">
                  <c:v>41324</c:v>
                </c:pt>
                <c:pt idx="269">
                  <c:v>41331</c:v>
                </c:pt>
                <c:pt idx="270">
                  <c:v>41338</c:v>
                </c:pt>
                <c:pt idx="271">
                  <c:v>41345</c:v>
                </c:pt>
                <c:pt idx="272">
                  <c:v>41352</c:v>
                </c:pt>
                <c:pt idx="273">
                  <c:v>41359</c:v>
                </c:pt>
                <c:pt idx="274">
                  <c:v>41366</c:v>
                </c:pt>
                <c:pt idx="275">
                  <c:v>41373</c:v>
                </c:pt>
                <c:pt idx="276">
                  <c:v>41380</c:v>
                </c:pt>
                <c:pt idx="277">
                  <c:v>41387</c:v>
                </c:pt>
                <c:pt idx="278">
                  <c:v>41394</c:v>
                </c:pt>
                <c:pt idx="279">
                  <c:v>41401</c:v>
                </c:pt>
                <c:pt idx="280">
                  <c:v>41408</c:v>
                </c:pt>
                <c:pt idx="281">
                  <c:v>41415</c:v>
                </c:pt>
                <c:pt idx="282">
                  <c:v>41422</c:v>
                </c:pt>
                <c:pt idx="283">
                  <c:v>41429</c:v>
                </c:pt>
                <c:pt idx="284">
                  <c:v>41436</c:v>
                </c:pt>
                <c:pt idx="285">
                  <c:v>41443</c:v>
                </c:pt>
                <c:pt idx="286">
                  <c:v>41450</c:v>
                </c:pt>
                <c:pt idx="287">
                  <c:v>41457</c:v>
                </c:pt>
                <c:pt idx="288">
                  <c:v>41464</c:v>
                </c:pt>
                <c:pt idx="289">
                  <c:v>41471</c:v>
                </c:pt>
                <c:pt idx="290">
                  <c:v>41478</c:v>
                </c:pt>
                <c:pt idx="291">
                  <c:v>41485</c:v>
                </c:pt>
                <c:pt idx="292">
                  <c:v>41492</c:v>
                </c:pt>
                <c:pt idx="293">
                  <c:v>41499</c:v>
                </c:pt>
                <c:pt idx="294">
                  <c:v>41506</c:v>
                </c:pt>
                <c:pt idx="295">
                  <c:v>41513</c:v>
                </c:pt>
                <c:pt idx="296">
                  <c:v>41520</c:v>
                </c:pt>
                <c:pt idx="297">
                  <c:v>41527</c:v>
                </c:pt>
                <c:pt idx="298">
                  <c:v>41534</c:v>
                </c:pt>
                <c:pt idx="299">
                  <c:v>41541</c:v>
                </c:pt>
                <c:pt idx="300">
                  <c:v>41548</c:v>
                </c:pt>
                <c:pt idx="301">
                  <c:v>41555</c:v>
                </c:pt>
                <c:pt idx="302">
                  <c:v>41562</c:v>
                </c:pt>
                <c:pt idx="303">
                  <c:v>41569</c:v>
                </c:pt>
                <c:pt idx="304">
                  <c:v>41576</c:v>
                </c:pt>
                <c:pt idx="305">
                  <c:v>41583</c:v>
                </c:pt>
                <c:pt idx="306">
                  <c:v>41590</c:v>
                </c:pt>
                <c:pt idx="307">
                  <c:v>41597</c:v>
                </c:pt>
                <c:pt idx="308">
                  <c:v>41604</c:v>
                </c:pt>
                <c:pt idx="309">
                  <c:v>41611</c:v>
                </c:pt>
                <c:pt idx="310">
                  <c:v>41618</c:v>
                </c:pt>
                <c:pt idx="311">
                  <c:v>41625</c:v>
                </c:pt>
                <c:pt idx="312">
                  <c:v>41632</c:v>
                </c:pt>
                <c:pt idx="313">
                  <c:v>41639</c:v>
                </c:pt>
                <c:pt idx="314">
                  <c:v>41646</c:v>
                </c:pt>
                <c:pt idx="315">
                  <c:v>41653</c:v>
                </c:pt>
                <c:pt idx="316">
                  <c:v>41660</c:v>
                </c:pt>
                <c:pt idx="317">
                  <c:v>41667</c:v>
                </c:pt>
                <c:pt idx="318">
                  <c:v>41674</c:v>
                </c:pt>
                <c:pt idx="319">
                  <c:v>41681</c:v>
                </c:pt>
                <c:pt idx="320">
                  <c:v>41688</c:v>
                </c:pt>
                <c:pt idx="321">
                  <c:v>41695</c:v>
                </c:pt>
                <c:pt idx="322">
                  <c:v>41702</c:v>
                </c:pt>
                <c:pt idx="323">
                  <c:v>41709</c:v>
                </c:pt>
                <c:pt idx="324">
                  <c:v>41716</c:v>
                </c:pt>
                <c:pt idx="325">
                  <c:v>41723</c:v>
                </c:pt>
                <c:pt idx="326">
                  <c:v>41730</c:v>
                </c:pt>
                <c:pt idx="327">
                  <c:v>41737</c:v>
                </c:pt>
                <c:pt idx="328">
                  <c:v>41744</c:v>
                </c:pt>
                <c:pt idx="329">
                  <c:v>41751</c:v>
                </c:pt>
                <c:pt idx="330">
                  <c:v>41758</c:v>
                </c:pt>
                <c:pt idx="331">
                  <c:v>41765</c:v>
                </c:pt>
                <c:pt idx="332">
                  <c:v>41772</c:v>
                </c:pt>
                <c:pt idx="333">
                  <c:v>41779</c:v>
                </c:pt>
                <c:pt idx="334">
                  <c:v>41786</c:v>
                </c:pt>
                <c:pt idx="335">
                  <c:v>41793</c:v>
                </c:pt>
                <c:pt idx="336">
                  <c:v>41800</c:v>
                </c:pt>
                <c:pt idx="337">
                  <c:v>41807</c:v>
                </c:pt>
                <c:pt idx="338">
                  <c:v>41814</c:v>
                </c:pt>
                <c:pt idx="339">
                  <c:v>41821</c:v>
                </c:pt>
                <c:pt idx="340">
                  <c:v>41828</c:v>
                </c:pt>
                <c:pt idx="341">
                  <c:v>41835</c:v>
                </c:pt>
                <c:pt idx="342">
                  <c:v>41842</c:v>
                </c:pt>
                <c:pt idx="343">
                  <c:v>41849</c:v>
                </c:pt>
                <c:pt idx="344">
                  <c:v>41856</c:v>
                </c:pt>
                <c:pt idx="345">
                  <c:v>41863</c:v>
                </c:pt>
                <c:pt idx="346">
                  <c:v>41870</c:v>
                </c:pt>
                <c:pt idx="347">
                  <c:v>41877</c:v>
                </c:pt>
                <c:pt idx="348">
                  <c:v>41884</c:v>
                </c:pt>
                <c:pt idx="349">
                  <c:v>41891</c:v>
                </c:pt>
                <c:pt idx="350">
                  <c:v>41898</c:v>
                </c:pt>
                <c:pt idx="351">
                  <c:v>41905</c:v>
                </c:pt>
                <c:pt idx="352">
                  <c:v>41912</c:v>
                </c:pt>
                <c:pt idx="353">
                  <c:v>41919</c:v>
                </c:pt>
                <c:pt idx="354">
                  <c:v>41926</c:v>
                </c:pt>
                <c:pt idx="355">
                  <c:v>41933</c:v>
                </c:pt>
                <c:pt idx="356">
                  <c:v>41940</c:v>
                </c:pt>
                <c:pt idx="357">
                  <c:v>41947</c:v>
                </c:pt>
                <c:pt idx="358">
                  <c:v>41954</c:v>
                </c:pt>
                <c:pt idx="359">
                  <c:v>41961</c:v>
                </c:pt>
                <c:pt idx="360">
                  <c:v>41968</c:v>
                </c:pt>
                <c:pt idx="361">
                  <c:v>41975</c:v>
                </c:pt>
                <c:pt idx="362">
                  <c:v>41982</c:v>
                </c:pt>
                <c:pt idx="363">
                  <c:v>41989</c:v>
                </c:pt>
                <c:pt idx="364">
                  <c:v>41996</c:v>
                </c:pt>
                <c:pt idx="365">
                  <c:v>42003</c:v>
                </c:pt>
                <c:pt idx="366">
                  <c:v>42010</c:v>
                </c:pt>
                <c:pt idx="367">
                  <c:v>42017</c:v>
                </c:pt>
                <c:pt idx="368">
                  <c:v>42024</c:v>
                </c:pt>
                <c:pt idx="369">
                  <c:v>42031</c:v>
                </c:pt>
                <c:pt idx="370">
                  <c:v>42038</c:v>
                </c:pt>
                <c:pt idx="371">
                  <c:v>42045</c:v>
                </c:pt>
                <c:pt idx="372">
                  <c:v>42052</c:v>
                </c:pt>
                <c:pt idx="373">
                  <c:v>42059</c:v>
                </c:pt>
                <c:pt idx="374">
                  <c:v>42066</c:v>
                </c:pt>
                <c:pt idx="375">
                  <c:v>42073</c:v>
                </c:pt>
                <c:pt idx="376">
                  <c:v>42080</c:v>
                </c:pt>
                <c:pt idx="377">
                  <c:v>42087</c:v>
                </c:pt>
                <c:pt idx="378">
                  <c:v>42094</c:v>
                </c:pt>
                <c:pt idx="379">
                  <c:v>42101</c:v>
                </c:pt>
                <c:pt idx="380">
                  <c:v>42108</c:v>
                </c:pt>
                <c:pt idx="381">
                  <c:v>42115</c:v>
                </c:pt>
                <c:pt idx="382">
                  <c:v>42122</c:v>
                </c:pt>
                <c:pt idx="383">
                  <c:v>42129</c:v>
                </c:pt>
                <c:pt idx="384">
                  <c:v>42136</c:v>
                </c:pt>
                <c:pt idx="385">
                  <c:v>42143</c:v>
                </c:pt>
                <c:pt idx="386">
                  <c:v>42150</c:v>
                </c:pt>
                <c:pt idx="387">
                  <c:v>42157</c:v>
                </c:pt>
                <c:pt idx="388">
                  <c:v>42164</c:v>
                </c:pt>
                <c:pt idx="389">
                  <c:v>42171</c:v>
                </c:pt>
                <c:pt idx="390">
                  <c:v>42178</c:v>
                </c:pt>
                <c:pt idx="391">
                  <c:v>42185</c:v>
                </c:pt>
                <c:pt idx="392">
                  <c:v>42192</c:v>
                </c:pt>
                <c:pt idx="393">
                  <c:v>42199</c:v>
                </c:pt>
                <c:pt idx="394">
                  <c:v>42206</c:v>
                </c:pt>
                <c:pt idx="395">
                  <c:v>42213</c:v>
                </c:pt>
                <c:pt idx="396">
                  <c:v>42220</c:v>
                </c:pt>
                <c:pt idx="397">
                  <c:v>42227</c:v>
                </c:pt>
                <c:pt idx="398">
                  <c:v>42234</c:v>
                </c:pt>
                <c:pt idx="399">
                  <c:v>42241</c:v>
                </c:pt>
                <c:pt idx="400">
                  <c:v>42248</c:v>
                </c:pt>
                <c:pt idx="401">
                  <c:v>42255</c:v>
                </c:pt>
                <c:pt idx="402">
                  <c:v>42262</c:v>
                </c:pt>
                <c:pt idx="403">
                  <c:v>42269</c:v>
                </c:pt>
                <c:pt idx="404">
                  <c:v>42276</c:v>
                </c:pt>
                <c:pt idx="405">
                  <c:v>42283</c:v>
                </c:pt>
                <c:pt idx="406">
                  <c:v>42290</c:v>
                </c:pt>
                <c:pt idx="407">
                  <c:v>42297</c:v>
                </c:pt>
                <c:pt idx="408">
                  <c:v>42304</c:v>
                </c:pt>
                <c:pt idx="409">
                  <c:v>42311</c:v>
                </c:pt>
                <c:pt idx="410">
                  <c:v>42318</c:v>
                </c:pt>
                <c:pt idx="411">
                  <c:v>42325</c:v>
                </c:pt>
                <c:pt idx="412">
                  <c:v>42332</c:v>
                </c:pt>
                <c:pt idx="413">
                  <c:v>42339</c:v>
                </c:pt>
                <c:pt idx="414">
                  <c:v>42346</c:v>
                </c:pt>
                <c:pt idx="415">
                  <c:v>42353</c:v>
                </c:pt>
                <c:pt idx="416">
                  <c:v>42360</c:v>
                </c:pt>
                <c:pt idx="417">
                  <c:v>42367</c:v>
                </c:pt>
                <c:pt idx="418">
                  <c:v>42374</c:v>
                </c:pt>
                <c:pt idx="419">
                  <c:v>42381</c:v>
                </c:pt>
                <c:pt idx="420">
                  <c:v>42388</c:v>
                </c:pt>
                <c:pt idx="421">
                  <c:v>42395</c:v>
                </c:pt>
                <c:pt idx="422">
                  <c:v>42402</c:v>
                </c:pt>
                <c:pt idx="423">
                  <c:v>42409</c:v>
                </c:pt>
                <c:pt idx="424">
                  <c:v>42416</c:v>
                </c:pt>
                <c:pt idx="425">
                  <c:v>42423</c:v>
                </c:pt>
                <c:pt idx="426">
                  <c:v>42430</c:v>
                </c:pt>
                <c:pt idx="427">
                  <c:v>42437</c:v>
                </c:pt>
                <c:pt idx="428">
                  <c:v>42444</c:v>
                </c:pt>
                <c:pt idx="429">
                  <c:v>42451</c:v>
                </c:pt>
                <c:pt idx="430">
                  <c:v>42458</c:v>
                </c:pt>
                <c:pt idx="431">
                  <c:v>42465</c:v>
                </c:pt>
                <c:pt idx="432">
                  <c:v>42472</c:v>
                </c:pt>
                <c:pt idx="433">
                  <c:v>42479</c:v>
                </c:pt>
                <c:pt idx="434">
                  <c:v>42486</c:v>
                </c:pt>
                <c:pt idx="435">
                  <c:v>42493</c:v>
                </c:pt>
                <c:pt idx="436">
                  <c:v>42500</c:v>
                </c:pt>
                <c:pt idx="437">
                  <c:v>42507</c:v>
                </c:pt>
                <c:pt idx="438">
                  <c:v>42514</c:v>
                </c:pt>
                <c:pt idx="439">
                  <c:v>42521</c:v>
                </c:pt>
                <c:pt idx="440">
                  <c:v>42528</c:v>
                </c:pt>
                <c:pt idx="441">
                  <c:v>42535</c:v>
                </c:pt>
                <c:pt idx="442">
                  <c:v>42542</c:v>
                </c:pt>
                <c:pt idx="443">
                  <c:v>42549</c:v>
                </c:pt>
                <c:pt idx="444">
                  <c:v>42556</c:v>
                </c:pt>
                <c:pt idx="445">
                  <c:v>42563</c:v>
                </c:pt>
                <c:pt idx="446">
                  <c:v>42570</c:v>
                </c:pt>
                <c:pt idx="447">
                  <c:v>42577</c:v>
                </c:pt>
                <c:pt idx="448">
                  <c:v>42584</c:v>
                </c:pt>
                <c:pt idx="449">
                  <c:v>42591</c:v>
                </c:pt>
                <c:pt idx="450">
                  <c:v>42598</c:v>
                </c:pt>
                <c:pt idx="451">
                  <c:v>42605</c:v>
                </c:pt>
                <c:pt idx="452">
                  <c:v>42612</c:v>
                </c:pt>
                <c:pt idx="453">
                  <c:v>42619</c:v>
                </c:pt>
                <c:pt idx="454">
                  <c:v>42626</c:v>
                </c:pt>
                <c:pt idx="455">
                  <c:v>42633</c:v>
                </c:pt>
                <c:pt idx="456">
                  <c:v>42640</c:v>
                </c:pt>
                <c:pt idx="457">
                  <c:v>42647</c:v>
                </c:pt>
                <c:pt idx="458">
                  <c:v>42654</c:v>
                </c:pt>
                <c:pt idx="459">
                  <c:v>42661</c:v>
                </c:pt>
                <c:pt idx="460">
                  <c:v>42668</c:v>
                </c:pt>
                <c:pt idx="461">
                  <c:v>42675</c:v>
                </c:pt>
                <c:pt idx="462">
                  <c:v>42682</c:v>
                </c:pt>
                <c:pt idx="463">
                  <c:v>42689</c:v>
                </c:pt>
                <c:pt idx="464">
                  <c:v>42696</c:v>
                </c:pt>
                <c:pt idx="465">
                  <c:v>42703</c:v>
                </c:pt>
                <c:pt idx="466">
                  <c:v>42710</c:v>
                </c:pt>
                <c:pt idx="467">
                  <c:v>42717</c:v>
                </c:pt>
                <c:pt idx="468">
                  <c:v>42724</c:v>
                </c:pt>
                <c:pt idx="469">
                  <c:v>42731</c:v>
                </c:pt>
                <c:pt idx="470">
                  <c:v>42738</c:v>
                </c:pt>
                <c:pt idx="471">
                  <c:v>42745</c:v>
                </c:pt>
                <c:pt idx="472">
                  <c:v>42752</c:v>
                </c:pt>
                <c:pt idx="473">
                  <c:v>42759</c:v>
                </c:pt>
                <c:pt idx="474">
                  <c:v>42766</c:v>
                </c:pt>
                <c:pt idx="475">
                  <c:v>42773</c:v>
                </c:pt>
                <c:pt idx="476">
                  <c:v>42780</c:v>
                </c:pt>
                <c:pt idx="477">
                  <c:v>42787</c:v>
                </c:pt>
                <c:pt idx="478">
                  <c:v>42794</c:v>
                </c:pt>
                <c:pt idx="479">
                  <c:v>42801</c:v>
                </c:pt>
                <c:pt idx="480">
                  <c:v>42808</c:v>
                </c:pt>
                <c:pt idx="481">
                  <c:v>42815</c:v>
                </c:pt>
                <c:pt idx="482">
                  <c:v>42822</c:v>
                </c:pt>
                <c:pt idx="483">
                  <c:v>42829</c:v>
                </c:pt>
                <c:pt idx="484">
                  <c:v>42836</c:v>
                </c:pt>
                <c:pt idx="485">
                  <c:v>42843</c:v>
                </c:pt>
                <c:pt idx="486">
                  <c:v>42850</c:v>
                </c:pt>
                <c:pt idx="487">
                  <c:v>42857</c:v>
                </c:pt>
                <c:pt idx="488">
                  <c:v>42864</c:v>
                </c:pt>
                <c:pt idx="489">
                  <c:v>42871</c:v>
                </c:pt>
                <c:pt idx="490">
                  <c:v>42878</c:v>
                </c:pt>
                <c:pt idx="491">
                  <c:v>42885</c:v>
                </c:pt>
                <c:pt idx="492">
                  <c:v>42892</c:v>
                </c:pt>
                <c:pt idx="493">
                  <c:v>42899</c:v>
                </c:pt>
                <c:pt idx="494">
                  <c:v>42906</c:v>
                </c:pt>
                <c:pt idx="495">
                  <c:v>42913</c:v>
                </c:pt>
                <c:pt idx="496">
                  <c:v>42920</c:v>
                </c:pt>
                <c:pt idx="497">
                  <c:v>42927</c:v>
                </c:pt>
                <c:pt idx="498">
                  <c:v>42934</c:v>
                </c:pt>
                <c:pt idx="499">
                  <c:v>42941</c:v>
                </c:pt>
                <c:pt idx="500">
                  <c:v>42948</c:v>
                </c:pt>
                <c:pt idx="501">
                  <c:v>42955</c:v>
                </c:pt>
                <c:pt idx="502">
                  <c:v>42962</c:v>
                </c:pt>
                <c:pt idx="503">
                  <c:v>42969</c:v>
                </c:pt>
                <c:pt idx="504">
                  <c:v>42976</c:v>
                </c:pt>
                <c:pt idx="505">
                  <c:v>42983</c:v>
                </c:pt>
                <c:pt idx="506">
                  <c:v>42990</c:v>
                </c:pt>
                <c:pt idx="507">
                  <c:v>42997</c:v>
                </c:pt>
                <c:pt idx="508">
                  <c:v>43004</c:v>
                </c:pt>
                <c:pt idx="509">
                  <c:v>43011</c:v>
                </c:pt>
                <c:pt idx="510">
                  <c:v>43018</c:v>
                </c:pt>
                <c:pt idx="511">
                  <c:v>43025</c:v>
                </c:pt>
                <c:pt idx="512">
                  <c:v>43032</c:v>
                </c:pt>
                <c:pt idx="513">
                  <c:v>43039</c:v>
                </c:pt>
                <c:pt idx="514">
                  <c:v>43046</c:v>
                </c:pt>
                <c:pt idx="515">
                  <c:v>43053</c:v>
                </c:pt>
                <c:pt idx="516">
                  <c:v>43060</c:v>
                </c:pt>
                <c:pt idx="517">
                  <c:v>43067</c:v>
                </c:pt>
                <c:pt idx="518">
                  <c:v>43074</c:v>
                </c:pt>
                <c:pt idx="519">
                  <c:v>43081</c:v>
                </c:pt>
                <c:pt idx="520">
                  <c:v>43088</c:v>
                </c:pt>
                <c:pt idx="521">
                  <c:v>43095</c:v>
                </c:pt>
                <c:pt idx="522">
                  <c:v>43102</c:v>
                </c:pt>
                <c:pt idx="523">
                  <c:v>43109</c:v>
                </c:pt>
                <c:pt idx="524">
                  <c:v>43116</c:v>
                </c:pt>
                <c:pt idx="525">
                  <c:v>43123</c:v>
                </c:pt>
                <c:pt idx="526">
                  <c:v>43130</c:v>
                </c:pt>
                <c:pt idx="527">
                  <c:v>43137</c:v>
                </c:pt>
                <c:pt idx="528">
                  <c:v>43144</c:v>
                </c:pt>
                <c:pt idx="529">
                  <c:v>43151</c:v>
                </c:pt>
                <c:pt idx="530">
                  <c:v>43158</c:v>
                </c:pt>
                <c:pt idx="531">
                  <c:v>43165</c:v>
                </c:pt>
                <c:pt idx="532">
                  <c:v>43172</c:v>
                </c:pt>
                <c:pt idx="533">
                  <c:v>43179</c:v>
                </c:pt>
                <c:pt idx="534">
                  <c:v>43186</c:v>
                </c:pt>
                <c:pt idx="535">
                  <c:v>43193</c:v>
                </c:pt>
                <c:pt idx="536">
                  <c:v>43200</c:v>
                </c:pt>
                <c:pt idx="537">
                  <c:v>43207</c:v>
                </c:pt>
                <c:pt idx="538">
                  <c:v>43214</c:v>
                </c:pt>
                <c:pt idx="539">
                  <c:v>43221</c:v>
                </c:pt>
                <c:pt idx="540">
                  <c:v>43228</c:v>
                </c:pt>
                <c:pt idx="541">
                  <c:v>43235</c:v>
                </c:pt>
                <c:pt idx="542">
                  <c:v>43242</c:v>
                </c:pt>
                <c:pt idx="543">
                  <c:v>43249</c:v>
                </c:pt>
                <c:pt idx="544">
                  <c:v>43256</c:v>
                </c:pt>
                <c:pt idx="545">
                  <c:v>43263</c:v>
                </c:pt>
                <c:pt idx="546">
                  <c:v>43270</c:v>
                </c:pt>
                <c:pt idx="547">
                  <c:v>43277</c:v>
                </c:pt>
                <c:pt idx="548">
                  <c:v>43284</c:v>
                </c:pt>
                <c:pt idx="549">
                  <c:v>43291</c:v>
                </c:pt>
                <c:pt idx="550">
                  <c:v>43298</c:v>
                </c:pt>
                <c:pt idx="551">
                  <c:v>43305</c:v>
                </c:pt>
                <c:pt idx="552">
                  <c:v>43312</c:v>
                </c:pt>
                <c:pt idx="553">
                  <c:v>43319</c:v>
                </c:pt>
                <c:pt idx="554">
                  <c:v>43326</c:v>
                </c:pt>
                <c:pt idx="555">
                  <c:v>43333</c:v>
                </c:pt>
                <c:pt idx="556">
                  <c:v>43340</c:v>
                </c:pt>
                <c:pt idx="557">
                  <c:v>43347</c:v>
                </c:pt>
                <c:pt idx="558">
                  <c:v>43354</c:v>
                </c:pt>
                <c:pt idx="559">
                  <c:v>43361</c:v>
                </c:pt>
                <c:pt idx="560">
                  <c:v>43368</c:v>
                </c:pt>
                <c:pt idx="561">
                  <c:v>43375</c:v>
                </c:pt>
                <c:pt idx="562">
                  <c:v>43382</c:v>
                </c:pt>
                <c:pt idx="563">
                  <c:v>43389</c:v>
                </c:pt>
                <c:pt idx="564">
                  <c:v>43396</c:v>
                </c:pt>
                <c:pt idx="565">
                  <c:v>43403</c:v>
                </c:pt>
                <c:pt idx="566">
                  <c:v>43410</c:v>
                </c:pt>
                <c:pt idx="567">
                  <c:v>43417</c:v>
                </c:pt>
                <c:pt idx="568">
                  <c:v>43424</c:v>
                </c:pt>
                <c:pt idx="569">
                  <c:v>43431</c:v>
                </c:pt>
                <c:pt idx="570">
                  <c:v>43438</c:v>
                </c:pt>
                <c:pt idx="571">
                  <c:v>43445</c:v>
                </c:pt>
                <c:pt idx="572">
                  <c:v>43452</c:v>
                </c:pt>
                <c:pt idx="573">
                  <c:v>43459</c:v>
                </c:pt>
                <c:pt idx="574">
                  <c:v>43466</c:v>
                </c:pt>
                <c:pt idx="575">
                  <c:v>43473</c:v>
                </c:pt>
                <c:pt idx="576">
                  <c:v>43480</c:v>
                </c:pt>
                <c:pt idx="577">
                  <c:v>43487</c:v>
                </c:pt>
                <c:pt idx="578">
                  <c:v>43494</c:v>
                </c:pt>
                <c:pt idx="579">
                  <c:v>43501</c:v>
                </c:pt>
                <c:pt idx="580">
                  <c:v>43508</c:v>
                </c:pt>
                <c:pt idx="581">
                  <c:v>43515</c:v>
                </c:pt>
                <c:pt idx="582">
                  <c:v>43522</c:v>
                </c:pt>
                <c:pt idx="583">
                  <c:v>43529</c:v>
                </c:pt>
                <c:pt idx="584">
                  <c:v>43536</c:v>
                </c:pt>
                <c:pt idx="585">
                  <c:v>43543</c:v>
                </c:pt>
                <c:pt idx="586">
                  <c:v>43550</c:v>
                </c:pt>
                <c:pt idx="587">
                  <c:v>43557</c:v>
                </c:pt>
                <c:pt idx="588">
                  <c:v>43564</c:v>
                </c:pt>
                <c:pt idx="589">
                  <c:v>43571</c:v>
                </c:pt>
                <c:pt idx="590">
                  <c:v>43578</c:v>
                </c:pt>
                <c:pt idx="591">
                  <c:v>43585</c:v>
                </c:pt>
                <c:pt idx="592">
                  <c:v>43592</c:v>
                </c:pt>
                <c:pt idx="593">
                  <c:v>43599</c:v>
                </c:pt>
                <c:pt idx="594">
                  <c:v>43606</c:v>
                </c:pt>
                <c:pt idx="595">
                  <c:v>43613</c:v>
                </c:pt>
                <c:pt idx="596">
                  <c:v>43620</c:v>
                </c:pt>
                <c:pt idx="597">
                  <c:v>43627</c:v>
                </c:pt>
                <c:pt idx="598">
                  <c:v>43634</c:v>
                </c:pt>
                <c:pt idx="599">
                  <c:v>43641</c:v>
                </c:pt>
                <c:pt idx="600">
                  <c:v>43648</c:v>
                </c:pt>
                <c:pt idx="601">
                  <c:v>43655</c:v>
                </c:pt>
                <c:pt idx="602">
                  <c:v>43662</c:v>
                </c:pt>
                <c:pt idx="603">
                  <c:v>43669</c:v>
                </c:pt>
                <c:pt idx="604">
                  <c:v>43676</c:v>
                </c:pt>
                <c:pt idx="605">
                  <c:v>43683</c:v>
                </c:pt>
                <c:pt idx="606">
                  <c:v>43690</c:v>
                </c:pt>
                <c:pt idx="607">
                  <c:v>43697</c:v>
                </c:pt>
                <c:pt idx="608">
                  <c:v>43704</c:v>
                </c:pt>
                <c:pt idx="609">
                  <c:v>43711</c:v>
                </c:pt>
                <c:pt idx="610">
                  <c:v>43718</c:v>
                </c:pt>
                <c:pt idx="611">
                  <c:v>43725</c:v>
                </c:pt>
                <c:pt idx="612">
                  <c:v>43732</c:v>
                </c:pt>
                <c:pt idx="613">
                  <c:v>43739</c:v>
                </c:pt>
                <c:pt idx="614">
                  <c:v>43746</c:v>
                </c:pt>
                <c:pt idx="615">
                  <c:v>43753</c:v>
                </c:pt>
                <c:pt idx="616">
                  <c:v>43760</c:v>
                </c:pt>
                <c:pt idx="617">
                  <c:v>43767</c:v>
                </c:pt>
                <c:pt idx="618">
                  <c:v>43774</c:v>
                </c:pt>
                <c:pt idx="619">
                  <c:v>43781</c:v>
                </c:pt>
                <c:pt idx="620">
                  <c:v>43788</c:v>
                </c:pt>
                <c:pt idx="621">
                  <c:v>43795</c:v>
                </c:pt>
                <c:pt idx="622">
                  <c:v>43802</c:v>
                </c:pt>
                <c:pt idx="623">
                  <c:v>43809</c:v>
                </c:pt>
                <c:pt idx="624">
                  <c:v>43816</c:v>
                </c:pt>
                <c:pt idx="625">
                  <c:v>43823</c:v>
                </c:pt>
                <c:pt idx="626">
                  <c:v>43830</c:v>
                </c:pt>
                <c:pt idx="627">
                  <c:v>43837</c:v>
                </c:pt>
                <c:pt idx="628">
                  <c:v>43844</c:v>
                </c:pt>
                <c:pt idx="629">
                  <c:v>43851</c:v>
                </c:pt>
                <c:pt idx="630">
                  <c:v>43858</c:v>
                </c:pt>
                <c:pt idx="631">
                  <c:v>43865</c:v>
                </c:pt>
                <c:pt idx="632">
                  <c:v>43872</c:v>
                </c:pt>
                <c:pt idx="633">
                  <c:v>43879</c:v>
                </c:pt>
                <c:pt idx="634">
                  <c:v>43886</c:v>
                </c:pt>
                <c:pt idx="635">
                  <c:v>43893</c:v>
                </c:pt>
                <c:pt idx="636">
                  <c:v>43900</c:v>
                </c:pt>
                <c:pt idx="637">
                  <c:v>43907</c:v>
                </c:pt>
                <c:pt idx="638">
                  <c:v>43914</c:v>
                </c:pt>
                <c:pt idx="639">
                  <c:v>43921</c:v>
                </c:pt>
                <c:pt idx="640">
                  <c:v>43928</c:v>
                </c:pt>
                <c:pt idx="641">
                  <c:v>43935</c:v>
                </c:pt>
                <c:pt idx="642">
                  <c:v>43942</c:v>
                </c:pt>
                <c:pt idx="643">
                  <c:v>43949</c:v>
                </c:pt>
                <c:pt idx="644">
                  <c:v>43956</c:v>
                </c:pt>
                <c:pt idx="645">
                  <c:v>43963</c:v>
                </c:pt>
                <c:pt idx="646">
                  <c:v>43970</c:v>
                </c:pt>
                <c:pt idx="647">
                  <c:v>43977</c:v>
                </c:pt>
                <c:pt idx="648">
                  <c:v>43984</c:v>
                </c:pt>
                <c:pt idx="649">
                  <c:v>43991</c:v>
                </c:pt>
                <c:pt idx="650">
                  <c:v>43998</c:v>
                </c:pt>
                <c:pt idx="651">
                  <c:v>44005</c:v>
                </c:pt>
                <c:pt idx="652">
                  <c:v>44012</c:v>
                </c:pt>
                <c:pt idx="653">
                  <c:v>44019</c:v>
                </c:pt>
                <c:pt idx="654">
                  <c:v>44026</c:v>
                </c:pt>
                <c:pt idx="655">
                  <c:v>44033</c:v>
                </c:pt>
                <c:pt idx="656">
                  <c:v>44040</c:v>
                </c:pt>
                <c:pt idx="657">
                  <c:v>44047</c:v>
                </c:pt>
                <c:pt idx="658">
                  <c:v>44054</c:v>
                </c:pt>
                <c:pt idx="659">
                  <c:v>44061</c:v>
                </c:pt>
                <c:pt idx="660">
                  <c:v>44068</c:v>
                </c:pt>
                <c:pt idx="661">
                  <c:v>44075</c:v>
                </c:pt>
                <c:pt idx="662">
                  <c:v>44082</c:v>
                </c:pt>
                <c:pt idx="663">
                  <c:v>44089</c:v>
                </c:pt>
                <c:pt idx="664">
                  <c:v>44096</c:v>
                </c:pt>
                <c:pt idx="665">
                  <c:v>44103</c:v>
                </c:pt>
                <c:pt idx="666">
                  <c:v>44110</c:v>
                </c:pt>
                <c:pt idx="667">
                  <c:v>44117</c:v>
                </c:pt>
                <c:pt idx="668">
                  <c:v>44124</c:v>
                </c:pt>
                <c:pt idx="669">
                  <c:v>44131</c:v>
                </c:pt>
                <c:pt idx="670">
                  <c:v>44138</c:v>
                </c:pt>
                <c:pt idx="671">
                  <c:v>44145</c:v>
                </c:pt>
                <c:pt idx="672">
                  <c:v>44152</c:v>
                </c:pt>
                <c:pt idx="673">
                  <c:v>44159</c:v>
                </c:pt>
                <c:pt idx="674">
                  <c:v>44166</c:v>
                </c:pt>
                <c:pt idx="675">
                  <c:v>44173</c:v>
                </c:pt>
                <c:pt idx="676">
                  <c:v>44180</c:v>
                </c:pt>
                <c:pt idx="677">
                  <c:v>44187</c:v>
                </c:pt>
                <c:pt idx="678">
                  <c:v>44194</c:v>
                </c:pt>
                <c:pt idx="679">
                  <c:v>44201</c:v>
                </c:pt>
                <c:pt idx="680">
                  <c:v>44208</c:v>
                </c:pt>
                <c:pt idx="681">
                  <c:v>44215</c:v>
                </c:pt>
                <c:pt idx="682">
                  <c:v>44222</c:v>
                </c:pt>
                <c:pt idx="683">
                  <c:v>44229</c:v>
                </c:pt>
                <c:pt idx="684">
                  <c:v>44236</c:v>
                </c:pt>
                <c:pt idx="685">
                  <c:v>44243</c:v>
                </c:pt>
                <c:pt idx="686">
                  <c:v>44250</c:v>
                </c:pt>
                <c:pt idx="687">
                  <c:v>44257</c:v>
                </c:pt>
                <c:pt idx="688">
                  <c:v>44264</c:v>
                </c:pt>
                <c:pt idx="689">
                  <c:v>44271</c:v>
                </c:pt>
                <c:pt idx="690">
                  <c:v>44278</c:v>
                </c:pt>
                <c:pt idx="691">
                  <c:v>44285</c:v>
                </c:pt>
                <c:pt idx="692">
                  <c:v>44292</c:v>
                </c:pt>
                <c:pt idx="693">
                  <c:v>44299</c:v>
                </c:pt>
                <c:pt idx="694">
                  <c:v>44306</c:v>
                </c:pt>
                <c:pt idx="695">
                  <c:v>44313</c:v>
                </c:pt>
                <c:pt idx="696">
                  <c:v>44320</c:v>
                </c:pt>
                <c:pt idx="697">
                  <c:v>44327</c:v>
                </c:pt>
                <c:pt idx="698">
                  <c:v>44334</c:v>
                </c:pt>
                <c:pt idx="699">
                  <c:v>44341</c:v>
                </c:pt>
                <c:pt idx="700">
                  <c:v>44348</c:v>
                </c:pt>
                <c:pt idx="701">
                  <c:v>44355</c:v>
                </c:pt>
                <c:pt idx="702">
                  <c:v>44362</c:v>
                </c:pt>
                <c:pt idx="703">
                  <c:v>44369</c:v>
                </c:pt>
                <c:pt idx="704">
                  <c:v>44376</c:v>
                </c:pt>
                <c:pt idx="705">
                  <c:v>44383</c:v>
                </c:pt>
                <c:pt idx="706">
                  <c:v>44390</c:v>
                </c:pt>
                <c:pt idx="707">
                  <c:v>44397</c:v>
                </c:pt>
                <c:pt idx="708">
                  <c:v>44404</c:v>
                </c:pt>
                <c:pt idx="709">
                  <c:v>44411</c:v>
                </c:pt>
                <c:pt idx="710">
                  <c:v>44418</c:v>
                </c:pt>
                <c:pt idx="711">
                  <c:v>44425</c:v>
                </c:pt>
                <c:pt idx="712">
                  <c:v>44432</c:v>
                </c:pt>
                <c:pt idx="713">
                  <c:v>44439</c:v>
                </c:pt>
                <c:pt idx="714">
                  <c:v>44446</c:v>
                </c:pt>
                <c:pt idx="715">
                  <c:v>44453</c:v>
                </c:pt>
                <c:pt idx="716">
                  <c:v>44460</c:v>
                </c:pt>
                <c:pt idx="717">
                  <c:v>44467</c:v>
                </c:pt>
                <c:pt idx="718">
                  <c:v>44474</c:v>
                </c:pt>
                <c:pt idx="719">
                  <c:v>44481</c:v>
                </c:pt>
                <c:pt idx="720">
                  <c:v>44488</c:v>
                </c:pt>
                <c:pt idx="721">
                  <c:v>44495</c:v>
                </c:pt>
                <c:pt idx="722">
                  <c:v>44502</c:v>
                </c:pt>
                <c:pt idx="723">
                  <c:v>44509</c:v>
                </c:pt>
                <c:pt idx="724">
                  <c:v>44516</c:v>
                </c:pt>
                <c:pt idx="725">
                  <c:v>44523</c:v>
                </c:pt>
                <c:pt idx="726">
                  <c:v>44530</c:v>
                </c:pt>
                <c:pt idx="727">
                  <c:v>44537</c:v>
                </c:pt>
                <c:pt idx="728">
                  <c:v>44544</c:v>
                </c:pt>
                <c:pt idx="729">
                  <c:v>44551</c:v>
                </c:pt>
                <c:pt idx="730">
                  <c:v>44558</c:v>
                </c:pt>
                <c:pt idx="731">
                  <c:v>44565</c:v>
                </c:pt>
                <c:pt idx="732">
                  <c:v>44572</c:v>
                </c:pt>
                <c:pt idx="733">
                  <c:v>44579</c:v>
                </c:pt>
                <c:pt idx="734">
                  <c:v>44586</c:v>
                </c:pt>
                <c:pt idx="735">
                  <c:v>44593</c:v>
                </c:pt>
                <c:pt idx="736">
                  <c:v>44600</c:v>
                </c:pt>
                <c:pt idx="737">
                  <c:v>44607</c:v>
                </c:pt>
                <c:pt idx="738">
                  <c:v>44614</c:v>
                </c:pt>
                <c:pt idx="739">
                  <c:v>44621</c:v>
                </c:pt>
                <c:pt idx="740">
                  <c:v>44628</c:v>
                </c:pt>
                <c:pt idx="741">
                  <c:v>44635</c:v>
                </c:pt>
                <c:pt idx="742">
                  <c:v>44642</c:v>
                </c:pt>
                <c:pt idx="743">
                  <c:v>44649</c:v>
                </c:pt>
                <c:pt idx="744">
                  <c:v>44656</c:v>
                </c:pt>
                <c:pt idx="745">
                  <c:v>44663</c:v>
                </c:pt>
                <c:pt idx="746">
                  <c:v>44670</c:v>
                </c:pt>
                <c:pt idx="747">
                  <c:v>44677</c:v>
                </c:pt>
                <c:pt idx="748">
                  <c:v>44684</c:v>
                </c:pt>
                <c:pt idx="749">
                  <c:v>44691</c:v>
                </c:pt>
                <c:pt idx="750">
                  <c:v>44698</c:v>
                </c:pt>
                <c:pt idx="751">
                  <c:v>44705</c:v>
                </c:pt>
                <c:pt idx="752">
                  <c:v>44712</c:v>
                </c:pt>
                <c:pt idx="753">
                  <c:v>44719</c:v>
                </c:pt>
                <c:pt idx="754">
                  <c:v>44726</c:v>
                </c:pt>
                <c:pt idx="755">
                  <c:v>44733</c:v>
                </c:pt>
                <c:pt idx="756">
                  <c:v>44740</c:v>
                </c:pt>
                <c:pt idx="757">
                  <c:v>44747</c:v>
                </c:pt>
                <c:pt idx="758">
                  <c:v>44754</c:v>
                </c:pt>
                <c:pt idx="759">
                  <c:v>44761</c:v>
                </c:pt>
                <c:pt idx="760">
                  <c:v>44768</c:v>
                </c:pt>
                <c:pt idx="761">
                  <c:v>44775</c:v>
                </c:pt>
                <c:pt idx="762">
                  <c:v>44782</c:v>
                </c:pt>
                <c:pt idx="763">
                  <c:v>44789</c:v>
                </c:pt>
                <c:pt idx="764">
                  <c:v>44796</c:v>
                </c:pt>
                <c:pt idx="765">
                  <c:v>44803</c:v>
                </c:pt>
                <c:pt idx="766">
                  <c:v>44810</c:v>
                </c:pt>
                <c:pt idx="767">
                  <c:v>44817</c:v>
                </c:pt>
                <c:pt idx="768">
                  <c:v>44824</c:v>
                </c:pt>
                <c:pt idx="769">
                  <c:v>44831</c:v>
                </c:pt>
                <c:pt idx="770">
                  <c:v>44838</c:v>
                </c:pt>
                <c:pt idx="771">
                  <c:v>44845</c:v>
                </c:pt>
                <c:pt idx="772">
                  <c:v>44852</c:v>
                </c:pt>
                <c:pt idx="773">
                  <c:v>44859</c:v>
                </c:pt>
                <c:pt idx="774">
                  <c:v>44866</c:v>
                </c:pt>
                <c:pt idx="775">
                  <c:v>44873</c:v>
                </c:pt>
                <c:pt idx="776">
                  <c:v>44880</c:v>
                </c:pt>
                <c:pt idx="777">
                  <c:v>44887</c:v>
                </c:pt>
                <c:pt idx="778">
                  <c:v>44894</c:v>
                </c:pt>
                <c:pt idx="779">
                  <c:v>44901</c:v>
                </c:pt>
                <c:pt idx="780">
                  <c:v>44908</c:v>
                </c:pt>
                <c:pt idx="781">
                  <c:v>44915</c:v>
                </c:pt>
                <c:pt idx="782">
                  <c:v>44922</c:v>
                </c:pt>
                <c:pt idx="783">
                  <c:v>44929</c:v>
                </c:pt>
                <c:pt idx="784">
                  <c:v>44936</c:v>
                </c:pt>
                <c:pt idx="785">
                  <c:v>44943</c:v>
                </c:pt>
                <c:pt idx="786">
                  <c:v>44950</c:v>
                </c:pt>
                <c:pt idx="787">
                  <c:v>44957</c:v>
                </c:pt>
                <c:pt idx="788">
                  <c:v>44964</c:v>
                </c:pt>
                <c:pt idx="789">
                  <c:v>44971</c:v>
                </c:pt>
                <c:pt idx="790">
                  <c:v>44978</c:v>
                </c:pt>
                <c:pt idx="791">
                  <c:v>44985</c:v>
                </c:pt>
                <c:pt idx="792">
                  <c:v>44992</c:v>
                </c:pt>
                <c:pt idx="793">
                  <c:v>44999</c:v>
                </c:pt>
                <c:pt idx="794">
                  <c:v>45006</c:v>
                </c:pt>
                <c:pt idx="795">
                  <c:v>45013</c:v>
                </c:pt>
                <c:pt idx="796">
                  <c:v>45020</c:v>
                </c:pt>
                <c:pt idx="797">
                  <c:v>45027</c:v>
                </c:pt>
                <c:pt idx="798">
                  <c:v>45034</c:v>
                </c:pt>
                <c:pt idx="799">
                  <c:v>45041</c:v>
                </c:pt>
                <c:pt idx="800">
                  <c:v>45048</c:v>
                </c:pt>
                <c:pt idx="801">
                  <c:v>45055</c:v>
                </c:pt>
                <c:pt idx="802">
                  <c:v>45062</c:v>
                </c:pt>
                <c:pt idx="803">
                  <c:v>45069</c:v>
                </c:pt>
                <c:pt idx="804">
                  <c:v>45076</c:v>
                </c:pt>
                <c:pt idx="805">
                  <c:v>45083</c:v>
                </c:pt>
                <c:pt idx="806">
                  <c:v>45090</c:v>
                </c:pt>
                <c:pt idx="807">
                  <c:v>45097</c:v>
                </c:pt>
                <c:pt idx="808">
                  <c:v>45104</c:v>
                </c:pt>
                <c:pt idx="809">
                  <c:v>45111</c:v>
                </c:pt>
                <c:pt idx="810">
                  <c:v>45118</c:v>
                </c:pt>
                <c:pt idx="811">
                  <c:v>45125</c:v>
                </c:pt>
                <c:pt idx="812">
                  <c:v>45132</c:v>
                </c:pt>
                <c:pt idx="813">
                  <c:v>45139</c:v>
                </c:pt>
                <c:pt idx="814">
                  <c:v>45146</c:v>
                </c:pt>
                <c:pt idx="815">
                  <c:v>45153</c:v>
                </c:pt>
                <c:pt idx="816">
                  <c:v>45160</c:v>
                </c:pt>
                <c:pt idx="817">
                  <c:v>45167</c:v>
                </c:pt>
                <c:pt idx="818">
                  <c:v>45174</c:v>
                </c:pt>
                <c:pt idx="819">
                  <c:v>45181</c:v>
                </c:pt>
                <c:pt idx="820">
                  <c:v>45188</c:v>
                </c:pt>
                <c:pt idx="821">
                  <c:v>45195</c:v>
                </c:pt>
                <c:pt idx="822">
                  <c:v>45202</c:v>
                </c:pt>
                <c:pt idx="823">
                  <c:v>45209</c:v>
                </c:pt>
                <c:pt idx="824">
                  <c:v>45216</c:v>
                </c:pt>
                <c:pt idx="825">
                  <c:v>45223</c:v>
                </c:pt>
                <c:pt idx="826">
                  <c:v>45230</c:v>
                </c:pt>
                <c:pt idx="827">
                  <c:v>45237</c:v>
                </c:pt>
                <c:pt idx="828">
                  <c:v>45244</c:v>
                </c:pt>
                <c:pt idx="829">
                  <c:v>45251</c:v>
                </c:pt>
                <c:pt idx="830">
                  <c:v>45258</c:v>
                </c:pt>
                <c:pt idx="831">
                  <c:v>45265</c:v>
                </c:pt>
                <c:pt idx="832">
                  <c:v>45272</c:v>
                </c:pt>
                <c:pt idx="833">
                  <c:v>45279</c:v>
                </c:pt>
                <c:pt idx="834">
                  <c:v>45286</c:v>
                </c:pt>
                <c:pt idx="835">
                  <c:v>45293</c:v>
                </c:pt>
                <c:pt idx="836">
                  <c:v>45300</c:v>
                </c:pt>
                <c:pt idx="837">
                  <c:v>45307</c:v>
                </c:pt>
                <c:pt idx="838">
                  <c:v>45314</c:v>
                </c:pt>
                <c:pt idx="839">
                  <c:v>45321</c:v>
                </c:pt>
                <c:pt idx="840">
                  <c:v>45328</c:v>
                </c:pt>
                <c:pt idx="841">
                  <c:v>45335</c:v>
                </c:pt>
                <c:pt idx="842">
                  <c:v>45342</c:v>
                </c:pt>
                <c:pt idx="843">
                  <c:v>45349</c:v>
                </c:pt>
                <c:pt idx="844">
                  <c:v>45356</c:v>
                </c:pt>
                <c:pt idx="845">
                  <c:v>45363</c:v>
                </c:pt>
                <c:pt idx="846">
                  <c:v>45370</c:v>
                </c:pt>
                <c:pt idx="847">
                  <c:v>45377</c:v>
                </c:pt>
                <c:pt idx="848">
                  <c:v>45384</c:v>
                </c:pt>
                <c:pt idx="849">
                  <c:v>45391</c:v>
                </c:pt>
                <c:pt idx="850">
                  <c:v>45398</c:v>
                </c:pt>
                <c:pt idx="851">
                  <c:v>45405</c:v>
                </c:pt>
                <c:pt idx="852">
                  <c:v>45412</c:v>
                </c:pt>
                <c:pt idx="853">
                  <c:v>45419</c:v>
                </c:pt>
                <c:pt idx="854">
                  <c:v>45426</c:v>
                </c:pt>
                <c:pt idx="855">
                  <c:v>45433</c:v>
                </c:pt>
                <c:pt idx="856">
                  <c:v>45440</c:v>
                </c:pt>
                <c:pt idx="857">
                  <c:v>45447</c:v>
                </c:pt>
                <c:pt idx="858">
                  <c:v>45454</c:v>
                </c:pt>
                <c:pt idx="859">
                  <c:v>45461</c:v>
                </c:pt>
                <c:pt idx="860">
                  <c:v>45468</c:v>
                </c:pt>
                <c:pt idx="861">
                  <c:v>45475</c:v>
                </c:pt>
                <c:pt idx="862">
                  <c:v>45482</c:v>
                </c:pt>
                <c:pt idx="863">
                  <c:v>45489</c:v>
                </c:pt>
                <c:pt idx="864">
                  <c:v>45496</c:v>
                </c:pt>
                <c:pt idx="865">
                  <c:v>45503</c:v>
                </c:pt>
                <c:pt idx="866">
                  <c:v>45510</c:v>
                </c:pt>
                <c:pt idx="867">
                  <c:v>45517</c:v>
                </c:pt>
                <c:pt idx="868">
                  <c:v>45524</c:v>
                </c:pt>
                <c:pt idx="869">
                  <c:v>45531</c:v>
                </c:pt>
                <c:pt idx="870">
                  <c:v>45538</c:v>
                </c:pt>
                <c:pt idx="871">
                  <c:v>45545</c:v>
                </c:pt>
                <c:pt idx="872">
                  <c:v>45552</c:v>
                </c:pt>
                <c:pt idx="873">
                  <c:v>45559</c:v>
                </c:pt>
                <c:pt idx="874">
                  <c:v>45566</c:v>
                </c:pt>
                <c:pt idx="875">
                  <c:v>45573</c:v>
                </c:pt>
                <c:pt idx="876">
                  <c:v>45580</c:v>
                </c:pt>
                <c:pt idx="877">
                  <c:v>45587</c:v>
                </c:pt>
                <c:pt idx="878">
                  <c:v>45594</c:v>
                </c:pt>
                <c:pt idx="879">
                  <c:v>45601</c:v>
                </c:pt>
                <c:pt idx="880">
                  <c:v>45608</c:v>
                </c:pt>
                <c:pt idx="881">
                  <c:v>45615</c:v>
                </c:pt>
                <c:pt idx="882">
                  <c:v>45622</c:v>
                </c:pt>
                <c:pt idx="883">
                  <c:v>45629</c:v>
                </c:pt>
                <c:pt idx="884">
                  <c:v>45636</c:v>
                </c:pt>
                <c:pt idx="885">
                  <c:v>45643</c:v>
                </c:pt>
                <c:pt idx="886">
                  <c:v>45650</c:v>
                </c:pt>
                <c:pt idx="887">
                  <c:v>45657</c:v>
                </c:pt>
                <c:pt idx="888">
                  <c:v>45664</c:v>
                </c:pt>
                <c:pt idx="889">
                  <c:v>45671</c:v>
                </c:pt>
                <c:pt idx="890">
                  <c:v>45678</c:v>
                </c:pt>
                <c:pt idx="891">
                  <c:v>45685</c:v>
                </c:pt>
                <c:pt idx="892">
                  <c:v>45692</c:v>
                </c:pt>
                <c:pt idx="893">
                  <c:v>45699</c:v>
                </c:pt>
                <c:pt idx="894">
                  <c:v>45706</c:v>
                </c:pt>
                <c:pt idx="895">
                  <c:v>45713</c:v>
                </c:pt>
                <c:pt idx="896">
                  <c:v>45720</c:v>
                </c:pt>
                <c:pt idx="897">
                  <c:v>45727</c:v>
                </c:pt>
                <c:pt idx="898">
                  <c:v>45734</c:v>
                </c:pt>
                <c:pt idx="899">
                  <c:v>45741</c:v>
                </c:pt>
                <c:pt idx="900">
                  <c:v>45748</c:v>
                </c:pt>
                <c:pt idx="901">
                  <c:v>45755</c:v>
                </c:pt>
                <c:pt idx="902">
                  <c:v>45762</c:v>
                </c:pt>
                <c:pt idx="903">
                  <c:v>45769</c:v>
                </c:pt>
                <c:pt idx="904">
                  <c:v>45776</c:v>
                </c:pt>
                <c:pt idx="905">
                  <c:v>45783</c:v>
                </c:pt>
                <c:pt idx="906">
                  <c:v>45790</c:v>
                </c:pt>
                <c:pt idx="907">
                  <c:v>45797</c:v>
                </c:pt>
                <c:pt idx="908">
                  <c:v>45804</c:v>
                </c:pt>
                <c:pt idx="909">
                  <c:v>45811</c:v>
                </c:pt>
                <c:pt idx="910">
                  <c:v>45818</c:v>
                </c:pt>
                <c:pt idx="911">
                  <c:v>45825</c:v>
                </c:pt>
                <c:pt idx="912">
                  <c:v>45832</c:v>
                </c:pt>
                <c:pt idx="913">
                  <c:v>45839</c:v>
                </c:pt>
                <c:pt idx="914">
                  <c:v>45846</c:v>
                </c:pt>
                <c:pt idx="915">
                  <c:v>45853</c:v>
                </c:pt>
                <c:pt idx="916">
                  <c:v>45860</c:v>
                </c:pt>
                <c:pt idx="917">
                  <c:v>45867</c:v>
                </c:pt>
                <c:pt idx="918">
                  <c:v>45874</c:v>
                </c:pt>
                <c:pt idx="919">
                  <c:v>45881</c:v>
                </c:pt>
                <c:pt idx="920">
                  <c:v>45888</c:v>
                </c:pt>
                <c:pt idx="921">
                  <c:v>45895</c:v>
                </c:pt>
                <c:pt idx="922">
                  <c:v>45902</c:v>
                </c:pt>
                <c:pt idx="923">
                  <c:v>45909</c:v>
                </c:pt>
                <c:pt idx="924">
                  <c:v>45916</c:v>
                </c:pt>
                <c:pt idx="925">
                  <c:v>45923</c:v>
                </c:pt>
                <c:pt idx="926">
                  <c:v>45930</c:v>
                </c:pt>
                <c:pt idx="927">
                  <c:v>45937</c:v>
                </c:pt>
                <c:pt idx="928">
                  <c:v>45944</c:v>
                </c:pt>
                <c:pt idx="929">
                  <c:v>45951</c:v>
                </c:pt>
                <c:pt idx="930">
                  <c:v>45958</c:v>
                </c:pt>
                <c:pt idx="931">
                  <c:v>45965</c:v>
                </c:pt>
                <c:pt idx="932">
                  <c:v>45972</c:v>
                </c:pt>
                <c:pt idx="933">
                  <c:v>45979</c:v>
                </c:pt>
                <c:pt idx="934">
                  <c:v>45986</c:v>
                </c:pt>
                <c:pt idx="935">
                  <c:v>45993</c:v>
                </c:pt>
                <c:pt idx="936">
                  <c:v>46000</c:v>
                </c:pt>
                <c:pt idx="937">
                  <c:v>46007</c:v>
                </c:pt>
                <c:pt idx="938">
                  <c:v>46014</c:v>
                </c:pt>
                <c:pt idx="939">
                  <c:v>46021</c:v>
                </c:pt>
                <c:pt idx="940">
                  <c:v>46028</c:v>
                </c:pt>
                <c:pt idx="941">
                  <c:v>46035</c:v>
                </c:pt>
                <c:pt idx="942">
                  <c:v>46042</c:v>
                </c:pt>
                <c:pt idx="943">
                  <c:v>46049</c:v>
                </c:pt>
                <c:pt idx="944">
                  <c:v>46056</c:v>
                </c:pt>
                <c:pt idx="945">
                  <c:v>46063</c:v>
                </c:pt>
                <c:pt idx="946">
                  <c:v>46070</c:v>
                </c:pt>
                <c:pt idx="947">
                  <c:v>46077</c:v>
                </c:pt>
                <c:pt idx="948">
                  <c:v>46084</c:v>
                </c:pt>
                <c:pt idx="949">
                  <c:v>46091</c:v>
                </c:pt>
                <c:pt idx="950">
                  <c:v>46098</c:v>
                </c:pt>
                <c:pt idx="951">
                  <c:v>46105</c:v>
                </c:pt>
                <c:pt idx="952">
                  <c:v>46112</c:v>
                </c:pt>
                <c:pt idx="953">
                  <c:v>46119</c:v>
                </c:pt>
                <c:pt idx="954">
                  <c:v>46126</c:v>
                </c:pt>
                <c:pt idx="955">
                  <c:v>46133</c:v>
                </c:pt>
                <c:pt idx="956">
                  <c:v>46140</c:v>
                </c:pt>
                <c:pt idx="957">
                  <c:v>46147</c:v>
                </c:pt>
                <c:pt idx="958">
                  <c:v>46154</c:v>
                </c:pt>
                <c:pt idx="959">
                  <c:v>46161</c:v>
                </c:pt>
                <c:pt idx="960">
                  <c:v>46168</c:v>
                </c:pt>
                <c:pt idx="961">
                  <c:v>46175</c:v>
                </c:pt>
                <c:pt idx="962">
                  <c:v>46182</c:v>
                </c:pt>
                <c:pt idx="963">
                  <c:v>46189</c:v>
                </c:pt>
                <c:pt idx="964">
                  <c:v>46196</c:v>
                </c:pt>
                <c:pt idx="965">
                  <c:v>46203</c:v>
                </c:pt>
                <c:pt idx="966">
                  <c:v>46210</c:v>
                </c:pt>
                <c:pt idx="967">
                  <c:v>46217</c:v>
                </c:pt>
                <c:pt idx="968">
                  <c:v>46224</c:v>
                </c:pt>
                <c:pt idx="969">
                  <c:v>46231</c:v>
                </c:pt>
              </c:numCache>
            </c:numRef>
          </c:cat>
          <c:val>
            <c:numRef>
              <c:f>Sheet1!$Q$9:$Q$978</c:f>
              <c:numCache>
                <c:formatCode>0.00%</c:formatCode>
                <c:ptCount val="9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8.1385496104325536E-2</c:v>
                </c:pt>
                <c:pt idx="158">
                  <c:v>8.304702772564021E-2</c:v>
                </c:pt>
                <c:pt idx="159">
                  <c:v>0.11141396933560477</c:v>
                </c:pt>
                <c:pt idx="160">
                  <c:v>0.25687938938457749</c:v>
                </c:pt>
                <c:pt idx="161">
                  <c:v>0.21231534753537554</c:v>
                </c:pt>
                <c:pt idx="162">
                  <c:v>0.24657036952118919</c:v>
                </c:pt>
                <c:pt idx="163">
                  <c:v>0.1973470171396656</c:v>
                </c:pt>
                <c:pt idx="164">
                  <c:v>0.20934923339011924</c:v>
                </c:pt>
                <c:pt idx="165">
                  <c:v>0.1666314721088806</c:v>
                </c:pt>
                <c:pt idx="166">
                  <c:v>0.17834929117494247</c:v>
                </c:pt>
                <c:pt idx="167">
                  <c:v>0.25215780877338051</c:v>
                </c:pt>
                <c:pt idx="168">
                  <c:v>0.20881897983996742</c:v>
                </c:pt>
                <c:pt idx="169">
                  <c:v>0.1820434765640245</c:v>
                </c:pt>
                <c:pt idx="170">
                  <c:v>0.15853887182802651</c:v>
                </c:pt>
                <c:pt idx="171">
                  <c:v>0.17474614436844119</c:v>
                </c:pt>
                <c:pt idx="172">
                  <c:v>0.22646069565567661</c:v>
                </c:pt>
                <c:pt idx="173">
                  <c:v>0.20737559645535106</c:v>
                </c:pt>
                <c:pt idx="174">
                  <c:v>0.18800379834500683</c:v>
                </c:pt>
                <c:pt idx="175">
                  <c:v>0.26025009977384594</c:v>
                </c:pt>
                <c:pt idx="176">
                  <c:v>0.30849903141769275</c:v>
                </c:pt>
                <c:pt idx="177">
                  <c:v>0.32981303903767589</c:v>
                </c:pt>
                <c:pt idx="178">
                  <c:v>0.28796366692009123</c:v>
                </c:pt>
                <c:pt idx="179">
                  <c:v>0.2869074416260709</c:v>
                </c:pt>
                <c:pt idx="180">
                  <c:v>0.268797646641671</c:v>
                </c:pt>
                <c:pt idx="181">
                  <c:v>0.35802486934582806</c:v>
                </c:pt>
                <c:pt idx="182">
                  <c:v>0.35951491993116119</c:v>
                </c:pt>
                <c:pt idx="183">
                  <c:v>0.27247191011235955</c:v>
                </c:pt>
                <c:pt idx="184">
                  <c:v>0.22895416351627032</c:v>
                </c:pt>
                <c:pt idx="185">
                  <c:v>0.19613689029559714</c:v>
                </c:pt>
                <c:pt idx="186">
                  <c:v>0.19213281167389235</c:v>
                </c:pt>
                <c:pt idx="187">
                  <c:v>0.21364626782045695</c:v>
                </c:pt>
                <c:pt idx="188">
                  <c:v>0.31736344880008688</c:v>
                </c:pt>
                <c:pt idx="189">
                  <c:v>0.33948360643986636</c:v>
                </c:pt>
                <c:pt idx="190">
                  <c:v>0.37084764794738462</c:v>
                </c:pt>
                <c:pt idx="191">
                  <c:v>0.29408086136110279</c:v>
                </c:pt>
                <c:pt idx="192">
                  <c:v>0.28572133016919898</c:v>
                </c:pt>
                <c:pt idx="193">
                  <c:v>0.30311407239391364</c:v>
                </c:pt>
                <c:pt idx="194">
                  <c:v>0.29729854991860311</c:v>
                </c:pt>
                <c:pt idx="195">
                  <c:v>0.37022566843638022</c:v>
                </c:pt>
                <c:pt idx="196">
                  <c:v>0.42662267660194519</c:v>
                </c:pt>
                <c:pt idx="197">
                  <c:v>0.3884488858543852</c:v>
                </c:pt>
                <c:pt idx="198">
                  <c:v>0.36072161135209657</c:v>
                </c:pt>
                <c:pt idx="199">
                  <c:v>0.38152543377199832</c:v>
                </c:pt>
                <c:pt idx="200">
                  <c:v>0.35455929296027444</c:v>
                </c:pt>
                <c:pt idx="201">
                  <c:v>0.33079540644395211</c:v>
                </c:pt>
                <c:pt idx="202">
                  <c:v>0.33175509496516681</c:v>
                </c:pt>
                <c:pt idx="203">
                  <c:v>0.33411249783841479</c:v>
                </c:pt>
                <c:pt idx="204">
                  <c:v>0.28425302990564139</c:v>
                </c:pt>
                <c:pt idx="205">
                  <c:v>0.23406888659460401</c:v>
                </c:pt>
                <c:pt idx="206">
                  <c:v>0.2681471037480907</c:v>
                </c:pt>
                <c:pt idx="207">
                  <c:v>0.29721030042918456</c:v>
                </c:pt>
                <c:pt idx="208">
                  <c:v>0.26805022260959693</c:v>
                </c:pt>
                <c:pt idx="209">
                  <c:v>0.24172869121359994</c:v>
                </c:pt>
                <c:pt idx="210">
                  <c:v>0.27268482490272372</c:v>
                </c:pt>
                <c:pt idx="211">
                  <c:v>0.29376660129583199</c:v>
                </c:pt>
                <c:pt idx="212">
                  <c:v>0.30041090809243265</c:v>
                </c:pt>
                <c:pt idx="213">
                  <c:v>0.28772738016807398</c:v>
                </c:pt>
                <c:pt idx="214">
                  <c:v>0.26336989692481699</c:v>
                </c:pt>
                <c:pt idx="215">
                  <c:v>0.25027244508488405</c:v>
                </c:pt>
                <c:pt idx="216">
                  <c:v>0.22542426824635792</c:v>
                </c:pt>
                <c:pt idx="217">
                  <c:v>0.20462977276240532</c:v>
                </c:pt>
                <c:pt idx="218">
                  <c:v>0.20693773336261806</c:v>
                </c:pt>
                <c:pt idx="219">
                  <c:v>0.2022458321762266</c:v>
                </c:pt>
                <c:pt idx="220">
                  <c:v>0.208954038056648</c:v>
                </c:pt>
                <c:pt idx="221">
                  <c:v>0.19069526223784039</c:v>
                </c:pt>
                <c:pt idx="222">
                  <c:v>0.22827286552248532</c:v>
                </c:pt>
                <c:pt idx="223">
                  <c:v>0.2585551330798479</c:v>
                </c:pt>
                <c:pt idx="224">
                  <c:v>0.25471073029934466</c:v>
                </c:pt>
                <c:pt idx="225">
                  <c:v>0.27326155604076335</c:v>
                </c:pt>
                <c:pt idx="226">
                  <c:v>0.25942551245808682</c:v>
                </c:pt>
                <c:pt idx="227">
                  <c:v>0.29047271606672681</c:v>
                </c:pt>
                <c:pt idx="228">
                  <c:v>0.2978558524524263</c:v>
                </c:pt>
                <c:pt idx="229">
                  <c:v>0.30000554175714006</c:v>
                </c:pt>
                <c:pt idx="230">
                  <c:v>0.31910499313242302</c:v>
                </c:pt>
                <c:pt idx="231">
                  <c:v>0.35096051310594512</c:v>
                </c:pt>
                <c:pt idx="232">
                  <c:v>0.38156308565061037</c:v>
                </c:pt>
                <c:pt idx="233">
                  <c:v>0.38463871407991507</c:v>
                </c:pt>
                <c:pt idx="234">
                  <c:v>0.40477245714055482</c:v>
                </c:pt>
                <c:pt idx="235">
                  <c:v>0.3516608562264677</c:v>
                </c:pt>
                <c:pt idx="236">
                  <c:v>0.36979801728251072</c:v>
                </c:pt>
                <c:pt idx="237">
                  <c:v>0.30436186300997436</c:v>
                </c:pt>
                <c:pt idx="238">
                  <c:v>0.30896277982407455</c:v>
                </c:pt>
                <c:pt idx="239">
                  <c:v>0.2659073055773763</c:v>
                </c:pt>
                <c:pt idx="240">
                  <c:v>0.25737423169914647</c:v>
                </c:pt>
                <c:pt idx="241">
                  <c:v>0.2625835329358433</c:v>
                </c:pt>
                <c:pt idx="242">
                  <c:v>0.24076676474463132</c:v>
                </c:pt>
                <c:pt idx="243">
                  <c:v>0.25382750768649592</c:v>
                </c:pt>
                <c:pt idx="244">
                  <c:v>0.2563395498392283</c:v>
                </c:pt>
                <c:pt idx="245">
                  <c:v>0.24167885743586651</c:v>
                </c:pt>
                <c:pt idx="246">
                  <c:v>0.2503493929763308</c:v>
                </c:pt>
                <c:pt idx="247">
                  <c:v>0.22933927677374549</c:v>
                </c:pt>
                <c:pt idx="248">
                  <c:v>0.19753342838858887</c:v>
                </c:pt>
                <c:pt idx="249">
                  <c:v>0.2192767383856089</c:v>
                </c:pt>
                <c:pt idx="250">
                  <c:v>0.21715709962104834</c:v>
                </c:pt>
                <c:pt idx="251">
                  <c:v>0.27551974565969517</c:v>
                </c:pt>
                <c:pt idx="252">
                  <c:v>0.27047592768488693</c:v>
                </c:pt>
                <c:pt idx="253">
                  <c:v>0.26364345632328573</c:v>
                </c:pt>
                <c:pt idx="254">
                  <c:v>0.28454569193564866</c:v>
                </c:pt>
                <c:pt idx="255">
                  <c:v>0.22966640983934025</c:v>
                </c:pt>
                <c:pt idx="256">
                  <c:v>0.20324723827495381</c:v>
                </c:pt>
                <c:pt idx="257">
                  <c:v>0.19698878357638336</c:v>
                </c:pt>
                <c:pt idx="258">
                  <c:v>0.23401082767480272</c:v>
                </c:pt>
                <c:pt idx="259">
                  <c:v>0.20151596137880839</c:v>
                </c:pt>
                <c:pt idx="260">
                  <c:v>0.17152175289721994</c:v>
                </c:pt>
                <c:pt idx="261">
                  <c:v>0.15202302781347066</c:v>
                </c:pt>
                <c:pt idx="262">
                  <c:v>0.16810106557487561</c:v>
                </c:pt>
                <c:pt idx="263">
                  <c:v>0.20928646313582336</c:v>
                </c:pt>
                <c:pt idx="264">
                  <c:v>0.19810380464531099</c:v>
                </c:pt>
                <c:pt idx="265">
                  <c:v>0.16433593628472762</c:v>
                </c:pt>
                <c:pt idx="266">
                  <c:v>0.16043017741864005</c:v>
                </c:pt>
                <c:pt idx="267">
                  <c:v>0.15785910661967964</c:v>
                </c:pt>
                <c:pt idx="268">
                  <c:v>0.17389722998137802</c:v>
                </c:pt>
                <c:pt idx="269">
                  <c:v>0.21796309088369739</c:v>
                </c:pt>
                <c:pt idx="270">
                  <c:v>0.2430317086963292</c:v>
                </c:pt>
                <c:pt idx="271">
                  <c:v>0.26585795359365233</c:v>
                </c:pt>
                <c:pt idx="272">
                  <c:v>0.25294520771464934</c:v>
                </c:pt>
                <c:pt idx="273">
                  <c:v>0.24880282248473798</c:v>
                </c:pt>
                <c:pt idx="274">
                  <c:v>0.23777121335770088</c:v>
                </c:pt>
                <c:pt idx="275">
                  <c:v>0.27679427888010383</c:v>
                </c:pt>
                <c:pt idx="276">
                  <c:v>0.28365415184797399</c:v>
                </c:pt>
                <c:pt idx="277">
                  <c:v>0.304692335755951</c:v>
                </c:pt>
                <c:pt idx="278">
                  <c:v>0.28589802953130627</c:v>
                </c:pt>
                <c:pt idx="279">
                  <c:v>0.2429186856005576</c:v>
                </c:pt>
                <c:pt idx="280">
                  <c:v>0.22539212479123982</c:v>
                </c:pt>
                <c:pt idx="281">
                  <c:v>0.20908872930916067</c:v>
                </c:pt>
                <c:pt idx="282">
                  <c:v>0.19342558160976059</c:v>
                </c:pt>
                <c:pt idx="283">
                  <c:v>0.18702927289896129</c:v>
                </c:pt>
                <c:pt idx="284">
                  <c:v>0.20554004513720125</c:v>
                </c:pt>
                <c:pt idx="285">
                  <c:v>0.17696544426018188</c:v>
                </c:pt>
                <c:pt idx="286">
                  <c:v>0.22146987834707532</c:v>
                </c:pt>
                <c:pt idx="287">
                  <c:v>0.2095798007801167</c:v>
                </c:pt>
                <c:pt idx="288">
                  <c:v>0.18418399661208781</c:v>
                </c:pt>
                <c:pt idx="289">
                  <c:v>0.1754757256755031</c:v>
                </c:pt>
                <c:pt idx="290">
                  <c:v>0.16040628525553743</c:v>
                </c:pt>
                <c:pt idx="291">
                  <c:v>0.17864014836516481</c:v>
                </c:pt>
                <c:pt idx="292">
                  <c:v>0.16201809929395944</c:v>
                </c:pt>
                <c:pt idx="293">
                  <c:v>0.16885159937073937</c:v>
                </c:pt>
                <c:pt idx="294">
                  <c:v>0.16057586931683804</c:v>
                </c:pt>
                <c:pt idx="295">
                  <c:v>0.14060427413411938</c:v>
                </c:pt>
                <c:pt idx="296">
                  <c:v>0.15151958774960472</c:v>
                </c:pt>
                <c:pt idx="297">
                  <c:v>0.16711142075928068</c:v>
                </c:pt>
                <c:pt idx="298">
                  <c:v>0.19022478201743862</c:v>
                </c:pt>
                <c:pt idx="299">
                  <c:v>0.20321831277247993</c:v>
                </c:pt>
                <c:pt idx="300">
                  <c:v>0.21211024299333381</c:v>
                </c:pt>
                <c:pt idx="301">
                  <c:v>0.22062037005716606</c:v>
                </c:pt>
                <c:pt idx="302">
                  <c:v>0.21936217109794737</c:v>
                </c:pt>
                <c:pt idx="303">
                  <c:v>0.2578625896278311</c:v>
                </c:pt>
                <c:pt idx="304">
                  <c:v>0.30147742765764962</c:v>
                </c:pt>
                <c:pt idx="305">
                  <c:v>0.32352573813176361</c:v>
                </c:pt>
                <c:pt idx="306">
                  <c:v>0.34934272268771394</c:v>
                </c:pt>
                <c:pt idx="307">
                  <c:v>0.32310822262450006</c:v>
                </c:pt>
                <c:pt idx="308">
                  <c:v>0.2991083202511774</c:v>
                </c:pt>
                <c:pt idx="309">
                  <c:v>0.29588714359690554</c:v>
                </c:pt>
                <c:pt idx="310">
                  <c:v>0.32166465747037587</c:v>
                </c:pt>
                <c:pt idx="311">
                  <c:v>0.35709115350809162</c:v>
                </c:pt>
                <c:pt idx="312">
                  <c:v>0.29441865565261888</c:v>
                </c:pt>
                <c:pt idx="313">
                  <c:v>0.2866906005221932</c:v>
                </c:pt>
                <c:pt idx="314">
                  <c:v>0.34409054768252184</c:v>
                </c:pt>
                <c:pt idx="315">
                  <c:v>0.35623930441997548</c:v>
                </c:pt>
                <c:pt idx="316">
                  <c:v>0.34962373177450784</c:v>
                </c:pt>
                <c:pt idx="317">
                  <c:v>0.34433240997229919</c:v>
                </c:pt>
                <c:pt idx="318">
                  <c:v>0.36488172480105063</c:v>
                </c:pt>
                <c:pt idx="319">
                  <c:v>0.3298265198370795</c:v>
                </c:pt>
                <c:pt idx="320">
                  <c:v>0.31270564751386781</c:v>
                </c:pt>
                <c:pt idx="321">
                  <c:v>0.28796312174648525</c:v>
                </c:pt>
                <c:pt idx="322">
                  <c:v>0.27489538886484033</c:v>
                </c:pt>
                <c:pt idx="323">
                  <c:v>0.28084033823676574</c:v>
                </c:pt>
                <c:pt idx="324">
                  <c:v>0.26142693163310571</c:v>
                </c:pt>
                <c:pt idx="325">
                  <c:v>0.27433246486002089</c:v>
                </c:pt>
                <c:pt idx="326">
                  <c:v>0.28080245211935045</c:v>
                </c:pt>
                <c:pt idx="327">
                  <c:v>0.26665360371430658</c:v>
                </c:pt>
                <c:pt idx="328">
                  <c:v>0.21884764202107854</c:v>
                </c:pt>
                <c:pt idx="329">
                  <c:v>0.15733807531658378</c:v>
                </c:pt>
                <c:pt idx="330">
                  <c:v>0.15731781245755666</c:v>
                </c:pt>
                <c:pt idx="331">
                  <c:v>0.20624633511066262</c:v>
                </c:pt>
                <c:pt idx="332">
                  <c:v>0.19949601007979839</c:v>
                </c:pt>
                <c:pt idx="333">
                  <c:v>0.16345673165469518</c:v>
                </c:pt>
                <c:pt idx="334">
                  <c:v>0.14117236682557346</c:v>
                </c:pt>
                <c:pt idx="335">
                  <c:v>0.1651923323650647</c:v>
                </c:pt>
                <c:pt idx="336">
                  <c:v>0.17316585948640212</c:v>
                </c:pt>
                <c:pt idx="337">
                  <c:v>0.15494592570123253</c:v>
                </c:pt>
                <c:pt idx="338">
                  <c:v>0.1448612625067574</c:v>
                </c:pt>
                <c:pt idx="339">
                  <c:v>0.14887742327986617</c:v>
                </c:pt>
                <c:pt idx="340">
                  <c:v>0.1807922026679839</c:v>
                </c:pt>
                <c:pt idx="341">
                  <c:v>0.2363350626849714</c:v>
                </c:pt>
                <c:pt idx="342">
                  <c:v>0.28167680039109044</c:v>
                </c:pt>
                <c:pt idx="343">
                  <c:v>0.27567006970309854</c:v>
                </c:pt>
                <c:pt idx="344">
                  <c:v>0.32694258074582616</c:v>
                </c:pt>
                <c:pt idx="345">
                  <c:v>0.37788147456836213</c:v>
                </c:pt>
                <c:pt idx="346">
                  <c:v>0.39551852024269507</c:v>
                </c:pt>
                <c:pt idx="347">
                  <c:v>0.3955985936984997</c:v>
                </c:pt>
                <c:pt idx="348">
                  <c:v>0.4050331385250836</c:v>
                </c:pt>
                <c:pt idx="349">
                  <c:v>0.3929249498271406</c:v>
                </c:pt>
                <c:pt idx="350">
                  <c:v>0.39682013020786627</c:v>
                </c:pt>
                <c:pt idx="351">
                  <c:v>0.43735635148534713</c:v>
                </c:pt>
                <c:pt idx="352">
                  <c:v>0.4488212906935356</c:v>
                </c:pt>
                <c:pt idx="353">
                  <c:v>0.43964127284962851</c:v>
                </c:pt>
                <c:pt idx="354">
                  <c:v>0.42856653154967478</c:v>
                </c:pt>
                <c:pt idx="355">
                  <c:v>0.44655573368304358</c:v>
                </c:pt>
                <c:pt idx="356">
                  <c:v>0.44282676038077795</c:v>
                </c:pt>
                <c:pt idx="357">
                  <c:v>0.43942774750276858</c:v>
                </c:pt>
                <c:pt idx="358">
                  <c:v>0.40330974427314292</c:v>
                </c:pt>
                <c:pt idx="359">
                  <c:v>0.41523319913637308</c:v>
                </c:pt>
                <c:pt idx="360">
                  <c:v>0.41450852515035913</c:v>
                </c:pt>
                <c:pt idx="361">
                  <c:v>0.37357960125023149</c:v>
                </c:pt>
                <c:pt idx="362">
                  <c:v>0.36922583843989776</c:v>
                </c:pt>
                <c:pt idx="363">
                  <c:v>0.30448375845694836</c:v>
                </c:pt>
                <c:pt idx="364">
                  <c:v>0.33185316246950908</c:v>
                </c:pt>
                <c:pt idx="365">
                  <c:v>0.333123955447377</c:v>
                </c:pt>
                <c:pt idx="366">
                  <c:v>0.31137883311150821</c:v>
                </c:pt>
                <c:pt idx="367">
                  <c:v>0.32934605627774977</c:v>
                </c:pt>
                <c:pt idx="368">
                  <c:v>0.35260590263761865</c:v>
                </c:pt>
                <c:pt idx="369">
                  <c:v>0.35126130959750901</c:v>
                </c:pt>
                <c:pt idx="370">
                  <c:v>0.35421492054942094</c:v>
                </c:pt>
                <c:pt idx="371">
                  <c:v>0.3116243847027641</c:v>
                </c:pt>
                <c:pt idx="372">
                  <c:v>0.28894868177250776</c:v>
                </c:pt>
                <c:pt idx="373">
                  <c:v>0.27637519020873669</c:v>
                </c:pt>
                <c:pt idx="374">
                  <c:v>0.26864608659348216</c:v>
                </c:pt>
                <c:pt idx="375">
                  <c:v>0.28147434525083853</c:v>
                </c:pt>
                <c:pt idx="376">
                  <c:v>0.27141331574829114</c:v>
                </c:pt>
                <c:pt idx="377">
                  <c:v>0.256835839220659</c:v>
                </c:pt>
                <c:pt idx="378">
                  <c:v>0.24252932153613049</c:v>
                </c:pt>
                <c:pt idx="379">
                  <c:v>0.21922935953369038</c:v>
                </c:pt>
                <c:pt idx="380">
                  <c:v>0.18470463758812131</c:v>
                </c:pt>
                <c:pt idx="381">
                  <c:v>0.16315066096908815</c:v>
                </c:pt>
                <c:pt idx="382">
                  <c:v>0.16553769931635423</c:v>
                </c:pt>
                <c:pt idx="383">
                  <c:v>0.13525989012775086</c:v>
                </c:pt>
                <c:pt idx="384">
                  <c:v>0.12469865671721572</c:v>
                </c:pt>
                <c:pt idx="385">
                  <c:v>0.148491912904644</c:v>
                </c:pt>
                <c:pt idx="386">
                  <c:v>0.17666964627761461</c:v>
                </c:pt>
                <c:pt idx="387">
                  <c:v>0.18351140100921964</c:v>
                </c:pt>
                <c:pt idx="388">
                  <c:v>0.19775391060207675</c:v>
                </c:pt>
                <c:pt idx="389">
                  <c:v>0.21293921820042583</c:v>
                </c:pt>
                <c:pt idx="390">
                  <c:v>0.22982040269953707</c:v>
                </c:pt>
                <c:pt idx="391">
                  <c:v>0.23212624939868512</c:v>
                </c:pt>
                <c:pt idx="392">
                  <c:v>0.23234315106050504</c:v>
                </c:pt>
                <c:pt idx="393">
                  <c:v>0.21641484081498341</c:v>
                </c:pt>
                <c:pt idx="394">
                  <c:v>0.22740771413546862</c:v>
                </c:pt>
                <c:pt idx="395">
                  <c:v>0.26587598987458533</c:v>
                </c:pt>
                <c:pt idx="396">
                  <c:v>0.30875973062668549</c:v>
                </c:pt>
                <c:pt idx="397">
                  <c:v>0.33420601821166729</c:v>
                </c:pt>
                <c:pt idx="398">
                  <c:v>0.32112701359362839</c:v>
                </c:pt>
                <c:pt idx="399">
                  <c:v>0.31539599581075173</c:v>
                </c:pt>
                <c:pt idx="400">
                  <c:v>0.31090317819207891</c:v>
                </c:pt>
                <c:pt idx="401">
                  <c:v>0.26514791444726704</c:v>
                </c:pt>
                <c:pt idx="402">
                  <c:v>0.28124080444703631</c:v>
                </c:pt>
                <c:pt idx="403">
                  <c:v>0.26522376535158654</c:v>
                </c:pt>
                <c:pt idx="404">
                  <c:v>0.26819381077013504</c:v>
                </c:pt>
                <c:pt idx="405">
                  <c:v>0.25282922347733489</c:v>
                </c:pt>
                <c:pt idx="406">
                  <c:v>0.22691930327998566</c:v>
                </c:pt>
                <c:pt idx="407">
                  <c:v>0.25749523816848296</c:v>
                </c:pt>
                <c:pt idx="408">
                  <c:v>0.29762288679150634</c:v>
                </c:pt>
                <c:pt idx="409">
                  <c:v>0.27580832635214314</c:v>
                </c:pt>
                <c:pt idx="410">
                  <c:v>0.26130041191119713</c:v>
                </c:pt>
                <c:pt idx="411">
                  <c:v>0.30444723522811684</c:v>
                </c:pt>
                <c:pt idx="412">
                  <c:v>0.2836674816625917</c:v>
                </c:pt>
                <c:pt idx="413">
                  <c:v>0.28762924174403626</c:v>
                </c:pt>
                <c:pt idx="414">
                  <c:v>0.27339619668357384</c:v>
                </c:pt>
                <c:pt idx="415">
                  <c:v>0.29165324334810877</c:v>
                </c:pt>
                <c:pt idx="416">
                  <c:v>0.30242326555037635</c:v>
                </c:pt>
                <c:pt idx="417">
                  <c:v>0.31099922103433092</c:v>
                </c:pt>
                <c:pt idx="418">
                  <c:v>0.29277677335611496</c:v>
                </c:pt>
                <c:pt idx="419">
                  <c:v>0.27914545588228934</c:v>
                </c:pt>
                <c:pt idx="420">
                  <c:v>0.2724310269138554</c:v>
                </c:pt>
                <c:pt idx="421">
                  <c:v>0.22369909502262444</c:v>
                </c:pt>
                <c:pt idx="422">
                  <c:v>0.20034446906604775</c:v>
                </c:pt>
                <c:pt idx="423">
                  <c:v>0.21119886997966753</c:v>
                </c:pt>
                <c:pt idx="424">
                  <c:v>0.19422658408429927</c:v>
                </c:pt>
                <c:pt idx="425">
                  <c:v>0.1630605463836137</c:v>
                </c:pt>
                <c:pt idx="426">
                  <c:v>0.15237947010125086</c:v>
                </c:pt>
                <c:pt idx="427">
                  <c:v>0.14290104556229197</c:v>
                </c:pt>
                <c:pt idx="428">
                  <c:v>0.12327834511652265</c:v>
                </c:pt>
                <c:pt idx="429">
                  <c:v>0.10223456068125553</c:v>
                </c:pt>
                <c:pt idx="430">
                  <c:v>0.10296108869589003</c:v>
                </c:pt>
                <c:pt idx="431">
                  <c:v>0.1111088940767493</c:v>
                </c:pt>
                <c:pt idx="432">
                  <c:v>6.7406060499068776E-2</c:v>
                </c:pt>
                <c:pt idx="433">
                  <c:v>6.0416101194707611E-2</c:v>
                </c:pt>
                <c:pt idx="434">
                  <c:v>6.1238336117349502E-2</c:v>
                </c:pt>
                <c:pt idx="435">
                  <c:v>7.6037953332710267E-2</c:v>
                </c:pt>
                <c:pt idx="436">
                  <c:v>9.2185713054557222E-2</c:v>
                </c:pt>
                <c:pt idx="437">
                  <c:v>5.3888261037396697E-2</c:v>
                </c:pt>
                <c:pt idx="438">
                  <c:v>7.6934051596186548E-2</c:v>
                </c:pt>
                <c:pt idx="439">
                  <c:v>7.1950232397095207E-2</c:v>
                </c:pt>
                <c:pt idx="440">
                  <c:v>8.0668820435096669E-2</c:v>
                </c:pt>
                <c:pt idx="441">
                  <c:v>0.1008628390892254</c:v>
                </c:pt>
                <c:pt idx="442">
                  <c:v>0.1107406149700402</c:v>
                </c:pt>
                <c:pt idx="443">
                  <c:v>0.12134981835280925</c:v>
                </c:pt>
                <c:pt idx="444">
                  <c:v>0.14549264944210352</c:v>
                </c:pt>
                <c:pt idx="445">
                  <c:v>0.15064645919184855</c:v>
                </c:pt>
                <c:pt idx="446">
                  <c:v>0.16061783813391584</c:v>
                </c:pt>
                <c:pt idx="447">
                  <c:v>0.18501880686262953</c:v>
                </c:pt>
                <c:pt idx="448">
                  <c:v>0.24306431460328176</c:v>
                </c:pt>
                <c:pt idx="449">
                  <c:v>0.20585426023784684</c:v>
                </c:pt>
                <c:pt idx="450">
                  <c:v>0.12976782580920815</c:v>
                </c:pt>
                <c:pt idx="451">
                  <c:v>0.10225965048527981</c:v>
                </c:pt>
                <c:pt idx="452">
                  <c:v>9.9519080810325386E-2</c:v>
                </c:pt>
                <c:pt idx="453">
                  <c:v>0.14083934580044002</c:v>
                </c:pt>
                <c:pt idx="454">
                  <c:v>0.13103000985250166</c:v>
                </c:pt>
                <c:pt idx="455">
                  <c:v>0.16807280371811037</c:v>
                </c:pt>
                <c:pt idx="456">
                  <c:v>0.18768920068927267</c:v>
                </c:pt>
                <c:pt idx="457">
                  <c:v>0.11733115673594106</c:v>
                </c:pt>
                <c:pt idx="458">
                  <c:v>8.8615969057060179E-2</c:v>
                </c:pt>
                <c:pt idx="459">
                  <c:v>0.10208863596343787</c:v>
                </c:pt>
                <c:pt idx="460">
                  <c:v>0.12222220011895976</c:v>
                </c:pt>
                <c:pt idx="461">
                  <c:v>0.17532920305427277</c:v>
                </c:pt>
                <c:pt idx="462">
                  <c:v>0.26611493724855456</c:v>
                </c:pt>
                <c:pt idx="463">
                  <c:v>0.28672326890312799</c:v>
                </c:pt>
                <c:pt idx="464">
                  <c:v>0.25645486222191483</c:v>
                </c:pt>
                <c:pt idx="465">
                  <c:v>0.22651197110553445</c:v>
                </c:pt>
                <c:pt idx="466">
                  <c:v>0.11869590808620209</c:v>
                </c:pt>
                <c:pt idx="467">
                  <c:v>9.7246779940442951E-2</c:v>
                </c:pt>
                <c:pt idx="468">
                  <c:v>7.8623736134288802E-2</c:v>
                </c:pt>
                <c:pt idx="469">
                  <c:v>8.8361933670850545E-2</c:v>
                </c:pt>
                <c:pt idx="470">
                  <c:v>9.2856519589308045E-2</c:v>
                </c:pt>
                <c:pt idx="471">
                  <c:v>9.6071052511101956E-2</c:v>
                </c:pt>
                <c:pt idx="472">
                  <c:v>7.4423311760817693E-2</c:v>
                </c:pt>
                <c:pt idx="473">
                  <c:v>7.1947179391912808E-2</c:v>
                </c:pt>
                <c:pt idx="474">
                  <c:v>7.9787763695073899E-2</c:v>
                </c:pt>
                <c:pt idx="475">
                  <c:v>8.7258594853714691E-2</c:v>
                </c:pt>
                <c:pt idx="476">
                  <c:v>7.3910378595166054E-2</c:v>
                </c:pt>
                <c:pt idx="477">
                  <c:v>7.2462383167777353E-2</c:v>
                </c:pt>
                <c:pt idx="478">
                  <c:v>9.6740707131121054E-2</c:v>
                </c:pt>
                <c:pt idx="479">
                  <c:v>0.10825021818248566</c:v>
                </c:pt>
                <c:pt idx="480">
                  <c:v>0.16340381923946856</c:v>
                </c:pt>
                <c:pt idx="481">
                  <c:v>0.17353376201037166</c:v>
                </c:pt>
                <c:pt idx="482">
                  <c:v>0.18237163480397664</c:v>
                </c:pt>
                <c:pt idx="483">
                  <c:v>0.16024277430719092</c:v>
                </c:pt>
                <c:pt idx="484">
                  <c:v>0.13519623864391758</c:v>
                </c:pt>
                <c:pt idx="485">
                  <c:v>0.1401042407176866</c:v>
                </c:pt>
                <c:pt idx="486">
                  <c:v>0.18171804749777037</c:v>
                </c:pt>
                <c:pt idx="487">
                  <c:v>0.22895988338865031</c:v>
                </c:pt>
                <c:pt idx="488">
                  <c:v>0.27497896623009349</c:v>
                </c:pt>
                <c:pt idx="489">
                  <c:v>0.26993764492842687</c:v>
                </c:pt>
                <c:pt idx="490">
                  <c:v>0.21327679900679147</c:v>
                </c:pt>
                <c:pt idx="491">
                  <c:v>0.20001938224478699</c:v>
                </c:pt>
                <c:pt idx="492">
                  <c:v>0.24628859706079323</c:v>
                </c:pt>
                <c:pt idx="493">
                  <c:v>0.26937034253087555</c:v>
                </c:pt>
                <c:pt idx="494">
                  <c:v>0.2981338285220177</c:v>
                </c:pt>
                <c:pt idx="495">
                  <c:v>0.31425292574656982</c:v>
                </c:pt>
                <c:pt idx="496">
                  <c:v>0.28623527698941509</c:v>
                </c:pt>
                <c:pt idx="497">
                  <c:v>0.2793748936831128</c:v>
                </c:pt>
                <c:pt idx="498">
                  <c:v>0.24496358188594675</c:v>
                </c:pt>
                <c:pt idx="499">
                  <c:v>0.20231983568657413</c:v>
                </c:pt>
                <c:pt idx="500">
                  <c:v>0.14476221047855128</c:v>
                </c:pt>
                <c:pt idx="501">
                  <c:v>0.10738902907853067</c:v>
                </c:pt>
                <c:pt idx="502">
                  <c:v>0.10899849807361615</c:v>
                </c:pt>
                <c:pt idx="503">
                  <c:v>0.11165519413326135</c:v>
                </c:pt>
                <c:pt idx="504">
                  <c:v>0.11243172053457694</c:v>
                </c:pt>
                <c:pt idx="505">
                  <c:v>0.1147092858703869</c:v>
                </c:pt>
                <c:pt idx="506">
                  <c:v>0.10665178993683812</c:v>
                </c:pt>
                <c:pt idx="507">
                  <c:v>9.8623059143170849E-2</c:v>
                </c:pt>
                <c:pt idx="508">
                  <c:v>9.3458553345557235E-2</c:v>
                </c:pt>
                <c:pt idx="509">
                  <c:v>8.676901057224419E-2</c:v>
                </c:pt>
                <c:pt idx="510">
                  <c:v>8.9028121107288763E-2</c:v>
                </c:pt>
                <c:pt idx="511">
                  <c:v>8.1137717731202638E-2</c:v>
                </c:pt>
                <c:pt idx="512">
                  <c:v>7.3964411298736432E-2</c:v>
                </c:pt>
                <c:pt idx="513">
                  <c:v>6.7417899206997159E-2</c:v>
                </c:pt>
                <c:pt idx="514">
                  <c:v>6.6831733883487343E-2</c:v>
                </c:pt>
                <c:pt idx="515">
                  <c:v>7.5581008087564419E-2</c:v>
                </c:pt>
                <c:pt idx="516">
                  <c:v>7.4643245674762562E-2</c:v>
                </c:pt>
                <c:pt idx="517">
                  <c:v>7.1896270188996497E-2</c:v>
                </c:pt>
                <c:pt idx="518">
                  <c:v>8.5265445767530451E-2</c:v>
                </c:pt>
                <c:pt idx="519">
                  <c:v>8.3238853587154271E-2</c:v>
                </c:pt>
                <c:pt idx="520">
                  <c:v>9.2378370871116902E-2</c:v>
                </c:pt>
                <c:pt idx="521">
                  <c:v>8.1327670994655071E-2</c:v>
                </c:pt>
                <c:pt idx="522">
                  <c:v>8.4135321175741365E-2</c:v>
                </c:pt>
                <c:pt idx="523">
                  <c:v>8.9327246849724026E-2</c:v>
                </c:pt>
                <c:pt idx="524">
                  <c:v>8.7481612925821295E-2</c:v>
                </c:pt>
                <c:pt idx="525">
                  <c:v>7.8157952996283045E-2</c:v>
                </c:pt>
                <c:pt idx="526">
                  <c:v>5.5545637509136048E-2</c:v>
                </c:pt>
                <c:pt idx="527">
                  <c:v>5.1310405668219754E-2</c:v>
                </c:pt>
                <c:pt idx="528">
                  <c:v>4.9635205069071958E-2</c:v>
                </c:pt>
                <c:pt idx="529">
                  <c:v>5.5159418718143366E-2</c:v>
                </c:pt>
                <c:pt idx="530">
                  <c:v>5.5806865946634879E-2</c:v>
                </c:pt>
                <c:pt idx="531">
                  <c:v>6.5418268452490935E-2</c:v>
                </c:pt>
                <c:pt idx="532">
                  <c:v>5.6249137358773307E-2</c:v>
                </c:pt>
                <c:pt idx="533">
                  <c:v>6.0123903460643724E-2</c:v>
                </c:pt>
                <c:pt idx="534">
                  <c:v>4.4326691495775276E-2</c:v>
                </c:pt>
                <c:pt idx="535">
                  <c:v>3.3634707352418108E-2</c:v>
                </c:pt>
                <c:pt idx="536">
                  <c:v>3.0102952801958443E-2</c:v>
                </c:pt>
                <c:pt idx="537">
                  <c:v>3.4928743585696927E-2</c:v>
                </c:pt>
                <c:pt idx="538">
                  <c:v>3.8026252736907143E-2</c:v>
                </c:pt>
                <c:pt idx="539">
                  <c:v>4.0493557189236883E-2</c:v>
                </c:pt>
                <c:pt idx="540">
                  <c:v>5.0844820102050006E-2</c:v>
                </c:pt>
                <c:pt idx="541">
                  <c:v>8.6294343401166179E-2</c:v>
                </c:pt>
                <c:pt idx="542">
                  <c:v>0.10977871325612343</c:v>
                </c:pt>
                <c:pt idx="543">
                  <c:v>0.12485025037275807</c:v>
                </c:pt>
                <c:pt idx="544">
                  <c:v>0.12512140429057045</c:v>
                </c:pt>
                <c:pt idx="545">
                  <c:v>0.11455892284389806</c:v>
                </c:pt>
                <c:pt idx="546">
                  <c:v>0.10339631576964681</c:v>
                </c:pt>
                <c:pt idx="547">
                  <c:v>0.10657394782292519</c:v>
                </c:pt>
                <c:pt idx="548">
                  <c:v>9.3777263553613488E-2</c:v>
                </c:pt>
                <c:pt idx="549">
                  <c:v>9.1972436629542478E-2</c:v>
                </c:pt>
                <c:pt idx="550">
                  <c:v>0.14734819576381433</c:v>
                </c:pt>
                <c:pt idx="551">
                  <c:v>0.11334002443707453</c:v>
                </c:pt>
                <c:pt idx="552">
                  <c:v>9.0834070548648213E-2</c:v>
                </c:pt>
                <c:pt idx="553">
                  <c:v>0.10174997453066971</c:v>
                </c:pt>
                <c:pt idx="554">
                  <c:v>0.10645394460218549</c:v>
                </c:pt>
                <c:pt idx="555">
                  <c:v>9.9317636284036406E-2</c:v>
                </c:pt>
                <c:pt idx="556">
                  <c:v>6.7874235364964661E-2</c:v>
                </c:pt>
                <c:pt idx="557">
                  <c:v>6.4294817332200507E-2</c:v>
                </c:pt>
                <c:pt idx="558">
                  <c:v>5.4019296574230491E-2</c:v>
                </c:pt>
                <c:pt idx="559">
                  <c:v>5.2454190364156106E-2</c:v>
                </c:pt>
                <c:pt idx="560">
                  <c:v>4.1056410685935969E-2</c:v>
                </c:pt>
                <c:pt idx="561">
                  <c:v>5.3190860875912127E-2</c:v>
                </c:pt>
                <c:pt idx="562">
                  <c:v>5.1201677956886259E-2</c:v>
                </c:pt>
                <c:pt idx="563">
                  <c:v>6.1410453539219853E-2</c:v>
                </c:pt>
                <c:pt idx="564">
                  <c:v>9.7146606328741336E-2</c:v>
                </c:pt>
                <c:pt idx="565">
                  <c:v>0.15393667906764863</c:v>
                </c:pt>
                <c:pt idx="566">
                  <c:v>0.18352127614037925</c:v>
                </c:pt>
                <c:pt idx="567">
                  <c:v>0.23190178023327196</c:v>
                </c:pt>
                <c:pt idx="568">
                  <c:v>0.26601573067228274</c:v>
                </c:pt>
                <c:pt idx="569">
                  <c:v>0.27832407119588981</c:v>
                </c:pt>
                <c:pt idx="570">
                  <c:v>0.31419995817841495</c:v>
                </c:pt>
                <c:pt idx="571">
                  <c:v>0.31715238373214738</c:v>
                </c:pt>
                <c:pt idx="572">
                  <c:v>0.29509017778713831</c:v>
                </c:pt>
                <c:pt idx="573">
                  <c:v>0.27858252463652244</c:v>
                </c:pt>
                <c:pt idx="574">
                  <c:v>0.28718858799463537</c:v>
                </c:pt>
                <c:pt idx="575">
                  <c:v>0.27582527961776521</c:v>
                </c:pt>
                <c:pt idx="576">
                  <c:v>0.25139402525306603</c:v>
                </c:pt>
                <c:pt idx="577">
                  <c:v>0.19685905916199214</c:v>
                </c:pt>
                <c:pt idx="578">
                  <c:v>0.13678026338353824</c:v>
                </c:pt>
                <c:pt idx="579">
                  <c:v>0.16482858643330803</c:v>
                </c:pt>
                <c:pt idx="580">
                  <c:v>0.14527825307585757</c:v>
                </c:pt>
                <c:pt idx="581">
                  <c:v>0.13554332080519024</c:v>
                </c:pt>
                <c:pt idx="582">
                  <c:v>0.12966038996682658</c:v>
                </c:pt>
                <c:pt idx="583">
                  <c:v>0.13092640734711727</c:v>
                </c:pt>
                <c:pt idx="584">
                  <c:v>0.13785301919176157</c:v>
                </c:pt>
                <c:pt idx="585">
                  <c:v>0.12796091545031996</c:v>
                </c:pt>
                <c:pt idx="586">
                  <c:v>0.12571574135023761</c:v>
                </c:pt>
                <c:pt idx="587">
                  <c:v>0.10508627597512694</c:v>
                </c:pt>
                <c:pt idx="588">
                  <c:v>8.7339544648729645E-2</c:v>
                </c:pt>
                <c:pt idx="589">
                  <c:v>7.2238845441031888E-2</c:v>
                </c:pt>
                <c:pt idx="590">
                  <c:v>5.947070451981494E-2</c:v>
                </c:pt>
                <c:pt idx="591">
                  <c:v>7.0630820349149248E-2</c:v>
                </c:pt>
                <c:pt idx="592">
                  <c:v>6.3843520823521502E-2</c:v>
                </c:pt>
                <c:pt idx="593">
                  <c:v>6.4434337376397699E-2</c:v>
                </c:pt>
                <c:pt idx="594">
                  <c:v>7.1403965924244639E-2</c:v>
                </c:pt>
                <c:pt idx="595">
                  <c:v>0.11321964797415626</c:v>
                </c:pt>
                <c:pt idx="596">
                  <c:v>0.14230597837558928</c:v>
                </c:pt>
                <c:pt idx="597">
                  <c:v>0.152950940308789</c:v>
                </c:pt>
                <c:pt idx="598">
                  <c:v>0.16921525952306923</c:v>
                </c:pt>
                <c:pt idx="599">
                  <c:v>0.17965301699720129</c:v>
                </c:pt>
                <c:pt idx="600">
                  <c:v>0.18961806370822573</c:v>
                </c:pt>
                <c:pt idx="601">
                  <c:v>0.18896793996935402</c:v>
                </c:pt>
                <c:pt idx="602">
                  <c:v>0.1514377058662659</c:v>
                </c:pt>
                <c:pt idx="603">
                  <c:v>0.17125373044343292</c:v>
                </c:pt>
                <c:pt idx="604">
                  <c:v>0.17809388402231816</c:v>
                </c:pt>
                <c:pt idx="605">
                  <c:v>0.20127208546474487</c:v>
                </c:pt>
                <c:pt idx="606">
                  <c:v>0.21899339670204002</c:v>
                </c:pt>
                <c:pt idx="607">
                  <c:v>0.21875588922901398</c:v>
                </c:pt>
                <c:pt idx="608">
                  <c:v>0.22390700331093771</c:v>
                </c:pt>
                <c:pt idx="609">
                  <c:v>0.20761364633247109</c:v>
                </c:pt>
                <c:pt idx="610">
                  <c:v>0.16225938767544471</c:v>
                </c:pt>
                <c:pt idx="611">
                  <c:v>0.17452273596606122</c:v>
                </c:pt>
                <c:pt idx="612">
                  <c:v>0.19391047121628804</c:v>
                </c:pt>
                <c:pt idx="613">
                  <c:v>0.21113485762044057</c:v>
                </c:pt>
                <c:pt idx="614">
                  <c:v>0.26323997178113051</c:v>
                </c:pt>
                <c:pt idx="615">
                  <c:v>0.26672605834494095</c:v>
                </c:pt>
                <c:pt idx="616">
                  <c:v>0.25923649256703923</c:v>
                </c:pt>
                <c:pt idx="617">
                  <c:v>0.21733719577989649</c:v>
                </c:pt>
                <c:pt idx="618">
                  <c:v>0.18911054669198332</c:v>
                </c:pt>
                <c:pt idx="619">
                  <c:v>0.17376151356733882</c:v>
                </c:pt>
                <c:pt idx="620">
                  <c:v>0.17992737713224116</c:v>
                </c:pt>
                <c:pt idx="621">
                  <c:v>0.14348385007034911</c:v>
                </c:pt>
                <c:pt idx="622">
                  <c:v>0.15734610301332791</c:v>
                </c:pt>
                <c:pt idx="623">
                  <c:v>0.13339700423870002</c:v>
                </c:pt>
                <c:pt idx="624">
                  <c:v>0.12013247470101196</c:v>
                </c:pt>
                <c:pt idx="625">
                  <c:v>0.12912243498462936</c:v>
                </c:pt>
                <c:pt idx="626">
                  <c:v>0.13591350340189473</c:v>
                </c:pt>
                <c:pt idx="627">
                  <c:v>0.12665400291767309</c:v>
                </c:pt>
                <c:pt idx="628">
                  <c:v>0.12355998790118837</c:v>
                </c:pt>
                <c:pt idx="629">
                  <c:v>0.12438929399778147</c:v>
                </c:pt>
                <c:pt idx="630">
                  <c:v>0.14812331253826092</c:v>
                </c:pt>
                <c:pt idx="631">
                  <c:v>0.16915343200632948</c:v>
                </c:pt>
                <c:pt idx="632">
                  <c:v>0.22364161220482759</c:v>
                </c:pt>
                <c:pt idx="633">
                  <c:v>0.20937768638225429</c:v>
                </c:pt>
                <c:pt idx="634">
                  <c:v>0.21631629478246667</c:v>
                </c:pt>
                <c:pt idx="635">
                  <c:v>0.25692534875895606</c:v>
                </c:pt>
                <c:pt idx="636">
                  <c:v>0.33515772691037465</c:v>
                </c:pt>
                <c:pt idx="637">
                  <c:v>0.4164466990629736</c:v>
                </c:pt>
                <c:pt idx="638">
                  <c:v>0.42060712689901697</c:v>
                </c:pt>
                <c:pt idx="639">
                  <c:v>0.41648858308088516</c:v>
                </c:pt>
                <c:pt idx="640">
                  <c:v>0.36073994986052016</c:v>
                </c:pt>
                <c:pt idx="641">
                  <c:v>0.35411515923030795</c:v>
                </c:pt>
                <c:pt idx="642">
                  <c:v>0.30367819796287032</c:v>
                </c:pt>
                <c:pt idx="643">
                  <c:v>0.26904620300401155</c:v>
                </c:pt>
                <c:pt idx="644">
                  <c:v>0.2165888718591798</c:v>
                </c:pt>
                <c:pt idx="645">
                  <c:v>0.22819446551708122</c:v>
                </c:pt>
                <c:pt idx="646">
                  <c:v>0.22110712219159673</c:v>
                </c:pt>
                <c:pt idx="647">
                  <c:v>0.20331300192828539</c:v>
                </c:pt>
                <c:pt idx="648">
                  <c:v>0.20897581041369778</c:v>
                </c:pt>
                <c:pt idx="649">
                  <c:v>0.19848350226960901</c:v>
                </c:pt>
                <c:pt idx="650">
                  <c:v>0.18767601322395006</c:v>
                </c:pt>
                <c:pt idx="651">
                  <c:v>0.16614752767572052</c:v>
                </c:pt>
                <c:pt idx="652">
                  <c:v>0.15733149565663465</c:v>
                </c:pt>
                <c:pt idx="653">
                  <c:v>0.16961834458928851</c:v>
                </c:pt>
                <c:pt idx="654">
                  <c:v>0.17407053936927527</c:v>
                </c:pt>
                <c:pt idx="655">
                  <c:v>0.17684239036036753</c:v>
                </c:pt>
                <c:pt idx="656">
                  <c:v>0.21891005616990894</c:v>
                </c:pt>
                <c:pt idx="657">
                  <c:v>0.23163234972432398</c:v>
                </c:pt>
                <c:pt idx="658">
                  <c:v>0.20886242497536506</c:v>
                </c:pt>
                <c:pt idx="659">
                  <c:v>0.21836196958884557</c:v>
                </c:pt>
                <c:pt idx="660">
                  <c:v>0.22811328178321649</c:v>
                </c:pt>
                <c:pt idx="661">
                  <c:v>0.25248949774634943</c:v>
                </c:pt>
                <c:pt idx="662">
                  <c:v>0.35165900507635844</c:v>
                </c:pt>
                <c:pt idx="663">
                  <c:v>0.40868919921743235</c:v>
                </c:pt>
                <c:pt idx="664">
                  <c:v>0.37071311921611322</c:v>
                </c:pt>
                <c:pt idx="665">
                  <c:v>0.36677422676873433</c:v>
                </c:pt>
                <c:pt idx="666">
                  <c:v>0.3836968744903127</c:v>
                </c:pt>
                <c:pt idx="667">
                  <c:v>0.32556164177984542</c:v>
                </c:pt>
                <c:pt idx="668">
                  <c:v>0.30145321804624192</c:v>
                </c:pt>
                <c:pt idx="669">
                  <c:v>0.30885974599668692</c:v>
                </c:pt>
                <c:pt idx="670">
                  <c:v>0.37562064704560771</c:v>
                </c:pt>
                <c:pt idx="671">
                  <c:v>0.31151810568318938</c:v>
                </c:pt>
                <c:pt idx="672">
                  <c:v>0.24970889414021027</c:v>
                </c:pt>
                <c:pt idx="673">
                  <c:v>0.21353403591023451</c:v>
                </c:pt>
                <c:pt idx="674">
                  <c:v>0.17263069462758943</c:v>
                </c:pt>
                <c:pt idx="675">
                  <c:v>0.16014240161612961</c:v>
                </c:pt>
                <c:pt idx="676">
                  <c:v>0.15182124571403505</c:v>
                </c:pt>
                <c:pt idx="677">
                  <c:v>0.14518165873214733</c:v>
                </c:pt>
                <c:pt idx="678">
                  <c:v>0.1297915498972429</c:v>
                </c:pt>
                <c:pt idx="679">
                  <c:v>0.14535009382337627</c:v>
                </c:pt>
                <c:pt idx="680">
                  <c:v>0.13229152067274003</c:v>
                </c:pt>
                <c:pt idx="681">
                  <c:v>0.13733186090732391</c:v>
                </c:pt>
                <c:pt idx="682">
                  <c:v>0.1262707859859139</c:v>
                </c:pt>
                <c:pt idx="683">
                  <c:v>0.1121401952490912</c:v>
                </c:pt>
                <c:pt idx="684">
                  <c:v>0.11892573715727285</c:v>
                </c:pt>
                <c:pt idx="685">
                  <c:v>0.12898220756974513</c:v>
                </c:pt>
                <c:pt idx="686">
                  <c:v>0.13569057279865099</c:v>
                </c:pt>
                <c:pt idx="687">
                  <c:v>0.13559989248517967</c:v>
                </c:pt>
                <c:pt idx="688">
                  <c:v>0.13323631189159471</c:v>
                </c:pt>
                <c:pt idx="689">
                  <c:v>0.15194576502618498</c:v>
                </c:pt>
                <c:pt idx="690">
                  <c:v>0.19260447025428229</c:v>
                </c:pt>
                <c:pt idx="691">
                  <c:v>0.18367346938775511</c:v>
                </c:pt>
                <c:pt idx="692">
                  <c:v>0.19522220763523271</c:v>
                </c:pt>
                <c:pt idx="693">
                  <c:v>0.17551823744535022</c:v>
                </c:pt>
                <c:pt idx="694">
                  <c:v>0.17530873206306419</c:v>
                </c:pt>
                <c:pt idx="695">
                  <c:v>0.18752579820167917</c:v>
                </c:pt>
                <c:pt idx="696">
                  <c:v>0.17699972792817303</c:v>
                </c:pt>
                <c:pt idx="697">
                  <c:v>0.19495298403105987</c:v>
                </c:pt>
                <c:pt idx="698">
                  <c:v>0.20907262656256043</c:v>
                </c:pt>
                <c:pt idx="699">
                  <c:v>0.22771009741125353</c:v>
                </c:pt>
                <c:pt idx="700">
                  <c:v>0.22503590224316788</c:v>
                </c:pt>
                <c:pt idx="701">
                  <c:v>0.20748174875521463</c:v>
                </c:pt>
                <c:pt idx="702">
                  <c:v>0.19839791545797836</c:v>
                </c:pt>
                <c:pt idx="703">
                  <c:v>0.20748736849321145</c:v>
                </c:pt>
                <c:pt idx="704">
                  <c:v>0.21722708246543276</c:v>
                </c:pt>
                <c:pt idx="705">
                  <c:v>0.21731323782556505</c:v>
                </c:pt>
                <c:pt idx="706">
                  <c:v>0.20384738301666994</c:v>
                </c:pt>
                <c:pt idx="707">
                  <c:v>0.2165280145903957</c:v>
                </c:pt>
                <c:pt idx="708">
                  <c:v>0.17534780488023161</c:v>
                </c:pt>
                <c:pt idx="709">
                  <c:v>0.1668048232501676</c:v>
                </c:pt>
                <c:pt idx="710">
                  <c:v>0.17728625378007784</c:v>
                </c:pt>
                <c:pt idx="711">
                  <c:v>0.1947630469273437</c:v>
                </c:pt>
                <c:pt idx="712">
                  <c:v>0.19984288682783438</c:v>
                </c:pt>
                <c:pt idx="713">
                  <c:v>0.16567951850366996</c:v>
                </c:pt>
                <c:pt idx="714">
                  <c:v>0.15578589582631594</c:v>
                </c:pt>
                <c:pt idx="715">
                  <c:v>0.14492656194367468</c:v>
                </c:pt>
                <c:pt idx="716">
                  <c:v>0.11814798413780407</c:v>
                </c:pt>
                <c:pt idx="717">
                  <c:v>0.13909263914667669</c:v>
                </c:pt>
                <c:pt idx="718">
                  <c:v>0.15294468997353841</c:v>
                </c:pt>
                <c:pt idx="719">
                  <c:v>0.17584437520847676</c:v>
                </c:pt>
                <c:pt idx="720">
                  <c:v>0.19913828151876078</c:v>
                </c:pt>
                <c:pt idx="721">
                  <c:v>0.19874243095000488</c:v>
                </c:pt>
                <c:pt idx="722">
                  <c:v>0.20472746847592591</c:v>
                </c:pt>
                <c:pt idx="723">
                  <c:v>0.2180130042577392</c:v>
                </c:pt>
                <c:pt idx="724">
                  <c:v>0.24068205094236755</c:v>
                </c:pt>
                <c:pt idx="725">
                  <c:v>0.25059679406866614</c:v>
                </c:pt>
                <c:pt idx="726">
                  <c:v>0.30732599411123168</c:v>
                </c:pt>
                <c:pt idx="727">
                  <c:v>0.30699381538639386</c:v>
                </c:pt>
                <c:pt idx="728">
                  <c:v>0.31061287713983077</c:v>
                </c:pt>
                <c:pt idx="729">
                  <c:v>0.30953527673362841</c:v>
                </c:pt>
                <c:pt idx="730">
                  <c:v>0.25137704574482245</c:v>
                </c:pt>
                <c:pt idx="731">
                  <c:v>0.22634253995853676</c:v>
                </c:pt>
                <c:pt idx="732">
                  <c:v>0.19154778065210154</c:v>
                </c:pt>
                <c:pt idx="733">
                  <c:v>0.19267410967794274</c:v>
                </c:pt>
                <c:pt idx="734">
                  <c:v>0.19928856811444773</c:v>
                </c:pt>
                <c:pt idx="735">
                  <c:v>0.22232286133878529</c:v>
                </c:pt>
                <c:pt idx="736">
                  <c:v>0.23112339834493434</c:v>
                </c:pt>
                <c:pt idx="737">
                  <c:v>0.22268418245736241</c:v>
                </c:pt>
                <c:pt idx="738">
                  <c:v>0.21185220016160372</c:v>
                </c:pt>
                <c:pt idx="739">
                  <c:v>0.18341046930909191</c:v>
                </c:pt>
                <c:pt idx="740">
                  <c:v>0.31850614377761466</c:v>
                </c:pt>
                <c:pt idx="741">
                  <c:v>0.29147135975016486</c:v>
                </c:pt>
                <c:pt idx="742">
                  <c:v>0.2859537681984784</c:v>
                </c:pt>
                <c:pt idx="743">
                  <c:v>0.29295326266016308</c:v>
                </c:pt>
                <c:pt idx="744">
                  <c:v>0.29380276672108213</c:v>
                </c:pt>
                <c:pt idx="745">
                  <c:v>0.28963788517988803</c:v>
                </c:pt>
                <c:pt idx="746">
                  <c:v>0.25359768519885439</c:v>
                </c:pt>
                <c:pt idx="747">
                  <c:v>0.25789784136950711</c:v>
                </c:pt>
                <c:pt idx="748">
                  <c:v>0.2488405544272882</c:v>
                </c:pt>
                <c:pt idx="749">
                  <c:v>0.24439438147979067</c:v>
                </c:pt>
                <c:pt idx="750">
                  <c:v>0.21505351988713581</c:v>
                </c:pt>
                <c:pt idx="751">
                  <c:v>0.19651926312059681</c:v>
                </c:pt>
                <c:pt idx="752">
                  <c:v>0.18466857871255576</c:v>
                </c:pt>
                <c:pt idx="753">
                  <c:v>0.16534229541674628</c:v>
                </c:pt>
                <c:pt idx="754">
                  <c:v>0.14862976355352789</c:v>
                </c:pt>
                <c:pt idx="755">
                  <c:v>0.16292018342074938</c:v>
                </c:pt>
                <c:pt idx="756">
                  <c:v>0.16836589754111297</c:v>
                </c:pt>
                <c:pt idx="757">
                  <c:v>0.23955587624615293</c:v>
                </c:pt>
                <c:pt idx="758">
                  <c:v>0.22244315385372576</c:v>
                </c:pt>
                <c:pt idx="759">
                  <c:v>0.21456880511897378</c:v>
                </c:pt>
                <c:pt idx="760">
                  <c:v>0.20437799609398119</c:v>
                </c:pt>
                <c:pt idx="761">
                  <c:v>0.22533060425380438</c:v>
                </c:pt>
                <c:pt idx="762">
                  <c:v>0.24996731696566973</c:v>
                </c:pt>
                <c:pt idx="763">
                  <c:v>0.27908384696743133</c:v>
                </c:pt>
                <c:pt idx="764">
                  <c:v>0.22452949472353256</c:v>
                </c:pt>
                <c:pt idx="765">
                  <c:v>0.21639176939874397</c:v>
                </c:pt>
                <c:pt idx="766">
                  <c:v>0.236960065199674</c:v>
                </c:pt>
                <c:pt idx="767">
                  <c:v>0.22051406511896005</c:v>
                </c:pt>
                <c:pt idx="768">
                  <c:v>0.20409939577626235</c:v>
                </c:pt>
                <c:pt idx="769">
                  <c:v>0.21974388170516759</c:v>
                </c:pt>
                <c:pt idx="770">
                  <c:v>0.19272239152517776</c:v>
                </c:pt>
                <c:pt idx="771">
                  <c:v>0.17239769442100158</c:v>
                </c:pt>
                <c:pt idx="772">
                  <c:v>0.19305186258482243</c:v>
                </c:pt>
                <c:pt idx="773">
                  <c:v>0.16603820667091801</c:v>
                </c:pt>
                <c:pt idx="774">
                  <c:v>0.15207272437937619</c:v>
                </c:pt>
                <c:pt idx="775">
                  <c:v>0.14983508917992891</c:v>
                </c:pt>
                <c:pt idx="776">
                  <c:v>0.17829712603901385</c:v>
                </c:pt>
                <c:pt idx="777">
                  <c:v>0.27700074185318546</c:v>
                </c:pt>
                <c:pt idx="778">
                  <c:v>0.33685411251137948</c:v>
                </c:pt>
                <c:pt idx="779">
                  <c:v>0.33893103678880065</c:v>
                </c:pt>
                <c:pt idx="780">
                  <c:v>0.35723706948235612</c:v>
                </c:pt>
                <c:pt idx="781">
                  <c:v>0.33337142040991219</c:v>
                </c:pt>
                <c:pt idx="782">
                  <c:v>0.26224620140158222</c:v>
                </c:pt>
                <c:pt idx="783">
                  <c:v>0.24502939127918519</c:v>
                </c:pt>
                <c:pt idx="784">
                  <c:v>0.26769018797362465</c:v>
                </c:pt>
                <c:pt idx="785">
                  <c:v>0.17878592471772306</c:v>
                </c:pt>
                <c:pt idx="786">
                  <c:v>0.1320675824260914</c:v>
                </c:pt>
                <c:pt idx="787">
                  <c:v>0.10158673763949777</c:v>
                </c:pt>
                <c:pt idx="788">
                  <c:v>0.12188466263869192</c:v>
                </c:pt>
                <c:pt idx="789">
                  <c:v>9.0765853028541912E-2</c:v>
                </c:pt>
                <c:pt idx="790">
                  <c:v>0.10814623808888692</c:v>
                </c:pt>
                <c:pt idx="791">
                  <c:v>8.3679133313700818E-2</c:v>
                </c:pt>
                <c:pt idx="792">
                  <c:v>8.011286499919465E-2</c:v>
                </c:pt>
                <c:pt idx="793">
                  <c:v>0.14648496240601505</c:v>
                </c:pt>
                <c:pt idx="794">
                  <c:v>0.22846377747963648</c:v>
                </c:pt>
                <c:pt idx="795">
                  <c:v>0.23392392596696179</c:v>
                </c:pt>
                <c:pt idx="796">
                  <c:v>0.11945886845818628</c:v>
                </c:pt>
                <c:pt idx="797">
                  <c:v>0.11376698260754867</c:v>
                </c:pt>
                <c:pt idx="798">
                  <c:v>0.11600248971474549</c:v>
                </c:pt>
                <c:pt idx="799">
                  <c:v>0.17039367706955486</c:v>
                </c:pt>
                <c:pt idx="800">
                  <c:v>0.28199258774798341</c:v>
                </c:pt>
                <c:pt idx="801">
                  <c:v>0.34833320631049464</c:v>
                </c:pt>
                <c:pt idx="802">
                  <c:v>0.35425043910159493</c:v>
                </c:pt>
                <c:pt idx="803">
                  <c:v>0.30734256806848836</c:v>
                </c:pt>
                <c:pt idx="804">
                  <c:v>0.25315749720342789</c:v>
                </c:pt>
                <c:pt idx="805">
                  <c:v>0.23346477646603445</c:v>
                </c:pt>
                <c:pt idx="806">
                  <c:v>0.22321144047333547</c:v>
                </c:pt>
                <c:pt idx="807">
                  <c:v>0.20567982672361973</c:v>
                </c:pt>
                <c:pt idx="808">
                  <c:v>0.25040932444215824</c:v>
                </c:pt>
                <c:pt idx="809">
                  <c:v>0.2169126295328769</c:v>
                </c:pt>
                <c:pt idx="810">
                  <c:v>0.14218253226108099</c:v>
                </c:pt>
                <c:pt idx="811">
                  <c:v>0.18795361863769716</c:v>
                </c:pt>
                <c:pt idx="812">
                  <c:v>0.19639363316436897</c:v>
                </c:pt>
                <c:pt idx="813">
                  <c:v>0.1424615025275697</c:v>
                </c:pt>
                <c:pt idx="814">
                  <c:v>0.15735601551154588</c:v>
                </c:pt>
                <c:pt idx="815">
                  <c:v>0.14326212597849147</c:v>
                </c:pt>
                <c:pt idx="816">
                  <c:v>0.16085584992947469</c:v>
                </c:pt>
                <c:pt idx="817">
                  <c:v>0.18030058583370723</c:v>
                </c:pt>
                <c:pt idx="818">
                  <c:v>0.15261659052865967</c:v>
                </c:pt>
                <c:pt idx="819">
                  <c:v>0.13984796339902889</c:v>
                </c:pt>
                <c:pt idx="820">
                  <c:v>0.10769583770382378</c:v>
                </c:pt>
                <c:pt idx="821">
                  <c:v>0.15093619656752386</c:v>
                </c:pt>
                <c:pt idx="822">
                  <c:v>0.17361753782916481</c:v>
                </c:pt>
                <c:pt idx="823">
                  <c:v>0.25466479933228647</c:v>
                </c:pt>
                <c:pt idx="824">
                  <c:v>0.15289889129707085</c:v>
                </c:pt>
                <c:pt idx="825">
                  <c:v>0.15468443273186866</c:v>
                </c:pt>
                <c:pt idx="826">
                  <c:v>0.15797367626176531</c:v>
                </c:pt>
                <c:pt idx="827">
                  <c:v>0.18600144706396451</c:v>
                </c:pt>
                <c:pt idx="828">
                  <c:v>0.1862323204671959</c:v>
                </c:pt>
                <c:pt idx="829">
                  <c:v>0.20596094853904781</c:v>
                </c:pt>
                <c:pt idx="830">
                  <c:v>0.18724798578468968</c:v>
                </c:pt>
                <c:pt idx="831">
                  <c:v>0.24777918320466408</c:v>
                </c:pt>
                <c:pt idx="832">
                  <c:v>0.35046424801265424</c:v>
                </c:pt>
                <c:pt idx="833">
                  <c:v>0.23065774727783389</c:v>
                </c:pt>
                <c:pt idx="834">
                  <c:v>0.17561631730106955</c:v>
                </c:pt>
                <c:pt idx="835">
                  <c:v>0.25329436832644897</c:v>
                </c:pt>
                <c:pt idx="836">
                  <c:v>0.21137493221220235</c:v>
                </c:pt>
                <c:pt idx="837">
                  <c:v>0.20002915680149888</c:v>
                </c:pt>
                <c:pt idx="838">
                  <c:v>0.21978643947538745</c:v>
                </c:pt>
                <c:pt idx="839">
                  <c:v>0.18392072086045688</c:v>
                </c:pt>
                <c:pt idx="840">
                  <c:v>0.18975693625408208</c:v>
                </c:pt>
                <c:pt idx="841">
                  <c:v>0.15768433193859896</c:v>
                </c:pt>
                <c:pt idx="842">
                  <c:v>0.16694104269355634</c:v>
                </c:pt>
                <c:pt idx="843">
                  <c:v>0.18999211222752169</c:v>
                </c:pt>
                <c:pt idx="844">
                  <c:v>0.20522872137624326</c:v>
                </c:pt>
                <c:pt idx="845">
                  <c:v>0.20659084251155094</c:v>
                </c:pt>
                <c:pt idx="846">
                  <c:v>0.16811529070548609</c:v>
                </c:pt>
                <c:pt idx="847">
                  <c:v>0.16587421308671749</c:v>
                </c:pt>
                <c:pt idx="848">
                  <c:v>0.15963270628847953</c:v>
                </c:pt>
                <c:pt idx="849">
                  <c:v>0.17444657813052197</c:v>
                </c:pt>
                <c:pt idx="850">
                  <c:v>0.16643650359136111</c:v>
                </c:pt>
                <c:pt idx="851">
                  <c:v>0.18089211600205343</c:v>
                </c:pt>
                <c:pt idx="852">
                  <c:v>0.16309401946666205</c:v>
                </c:pt>
                <c:pt idx="853">
                  <c:v>0.20326762437766607</c:v>
                </c:pt>
                <c:pt idx="854">
                  <c:v>0.23130660109202925</c:v>
                </c:pt>
                <c:pt idx="855">
                  <c:v>0.31438849507269373</c:v>
                </c:pt>
                <c:pt idx="856">
                  <c:v>0.30241826022954021</c:v>
                </c:pt>
                <c:pt idx="857">
                  <c:v>0.45040620590134656</c:v>
                </c:pt>
                <c:pt idx="858">
                  <c:v>0.39601380187051666</c:v>
                </c:pt>
                <c:pt idx="859">
                  <c:v>0.28945000280294692</c:v>
                </c:pt>
                <c:pt idx="860">
                  <c:v>0.27689715750367194</c:v>
                </c:pt>
                <c:pt idx="861">
                  <c:v>0.24137634200339486</c:v>
                </c:pt>
                <c:pt idx="862">
                  <c:v>0.24486994555860592</c:v>
                </c:pt>
                <c:pt idx="863">
                  <c:v>0.27920020888963337</c:v>
                </c:pt>
                <c:pt idx="864">
                  <c:v>0.312506847099699</c:v>
                </c:pt>
                <c:pt idx="865">
                  <c:v>0.39521840647431472</c:v>
                </c:pt>
                <c:pt idx="866">
                  <c:v>0.47788268246906052</c:v>
                </c:pt>
                <c:pt idx="867">
                  <c:v>0.39632981501333114</c:v>
                </c:pt>
                <c:pt idx="868">
                  <c:v>0.41296541736007997</c:v>
                </c:pt>
                <c:pt idx="869">
                  <c:v>0.38556920170051961</c:v>
                </c:pt>
                <c:pt idx="870">
                  <c:v>0.46232677760968233</c:v>
                </c:pt>
                <c:pt idx="871">
                  <c:v>0.55294106587197878</c:v>
                </c:pt>
                <c:pt idx="872">
                  <c:v>0.54618497550429279</c:v>
                </c:pt>
                <c:pt idx="873">
                  <c:v>0.49836999993278353</c:v>
                </c:pt>
                <c:pt idx="874">
                  <c:v>0.46221467967755619</c:v>
                </c:pt>
                <c:pt idx="875">
                  <c:v>0.26712935571020263</c:v>
                </c:pt>
                <c:pt idx="876">
                  <c:v>0.30260797977125048</c:v>
                </c:pt>
                <c:pt idx="877">
                  <c:v>0.30078654914094399</c:v>
                </c:pt>
                <c:pt idx="878">
                  <c:v>0.33641893144176171</c:v>
                </c:pt>
                <c:pt idx="879">
                  <c:v>0.30043373325404876</c:v>
                </c:pt>
                <c:pt idx="880">
                  <c:v>0.35081679896157963</c:v>
                </c:pt>
                <c:pt idx="881">
                  <c:v>0.30142428203888422</c:v>
                </c:pt>
                <c:pt idx="882">
                  <c:v>0.29385733723966312</c:v>
                </c:pt>
                <c:pt idx="883">
                  <c:v>0.25879850893143025</c:v>
                </c:pt>
                <c:pt idx="884">
                  <c:v>0.2559513881300074</c:v>
                </c:pt>
                <c:pt idx="885">
                  <c:v>0.23625216205194549</c:v>
                </c:pt>
                <c:pt idx="886">
                  <c:v>0.2753141604115712</c:v>
                </c:pt>
                <c:pt idx="887">
                  <c:v>0.23722515296305105</c:v>
                </c:pt>
                <c:pt idx="888">
                  <c:v>0.21122426426834867</c:v>
                </c:pt>
                <c:pt idx="889">
                  <c:v>0.19833118672397854</c:v>
                </c:pt>
                <c:pt idx="890">
                  <c:v>0.19244628055540891</c:v>
                </c:pt>
                <c:pt idx="891">
                  <c:v>0.18787319722600834</c:v>
                </c:pt>
                <c:pt idx="892">
                  <c:v>0.18940080322684624</c:v>
                </c:pt>
                <c:pt idx="893">
                  <c:v>0.18284027873388375</c:v>
                </c:pt>
                <c:pt idx="894">
                  <c:v>0.20635088065784513</c:v>
                </c:pt>
                <c:pt idx="895">
                  <c:v>0.23419417085820915</c:v>
                </c:pt>
                <c:pt idx="896">
                  <c:v>0.30256916342585644</c:v>
                </c:pt>
                <c:pt idx="897">
                  <c:v>0.2911595368927995</c:v>
                </c:pt>
                <c:pt idx="898">
                  <c:v>0.24136025504782146</c:v>
                </c:pt>
                <c:pt idx="899">
                  <c:v>0.20277676808712325</c:v>
                </c:pt>
                <c:pt idx="900">
                  <c:v>0.17331469711974393</c:v>
                </c:pt>
                <c:pt idx="901">
                  <c:v>0.29749412098713851</c:v>
                </c:pt>
                <c:pt idx="902">
                  <c:v>0.36845234538392591</c:v>
                </c:pt>
                <c:pt idx="903">
                  <c:v>0.32485466921720119</c:v>
                </c:pt>
                <c:pt idx="904">
                  <c:v>0.32766316143034313</c:v>
                </c:pt>
                <c:pt idx="905">
                  <c:v>0.34916705882352939</c:v>
                </c:pt>
                <c:pt idx="906">
                  <c:v>0.29950045100089095</c:v>
                </c:pt>
                <c:pt idx="907">
                  <c:v>0.305090194677621</c:v>
                </c:pt>
                <c:pt idx="908">
                  <c:v>0.32328661013342769</c:v>
                </c:pt>
                <c:pt idx="909">
                  <c:v>0.32373176044955942</c:v>
                </c:pt>
                <c:pt idx="910">
                  <c:v>0.29777602397779573</c:v>
                </c:pt>
                <c:pt idx="911">
                  <c:v>0.24953296957366133</c:v>
                </c:pt>
                <c:pt idx="912">
                  <c:v>0.28561043076652992</c:v>
                </c:pt>
                <c:pt idx="913">
                  <c:v>0.2998687506310066</c:v>
                </c:pt>
                <c:pt idx="914">
                  <c:v>0.2556830672187852</c:v>
                </c:pt>
                <c:pt idx="915">
                  <c:v>0.24038317291699732</c:v>
                </c:pt>
                <c:pt idx="916">
                  <c:v>0.24416549394877568</c:v>
                </c:pt>
                <c:pt idx="917">
                  <c:v>0.22086086873013711</c:v>
                </c:pt>
                <c:pt idx="918">
                  <c:v>0.22566365359520701</c:v>
                </c:pt>
                <c:pt idx="919">
                  <c:v>0.26745431016022864</c:v>
                </c:pt>
                <c:pt idx="920">
                  <c:v>0.28413730826021699</c:v>
                </c:pt>
                <c:pt idx="921">
                  <c:v>0.27389602254932666</c:v>
                </c:pt>
                <c:pt idx="922">
                  <c:v>0.24490993979031517</c:v>
                </c:pt>
                <c:pt idx="923">
                  <c:v>0.26823329060859108</c:v>
                </c:pt>
                <c:pt idx="924">
                  <c:v>0.25341776117065312</c:v>
                </c:pt>
                <c:pt idx="925">
                  <c:v>0.25778867537207045</c:v>
                </c:pt>
                <c:pt idx="926">
                  <c:v>0.26663777683527262</c:v>
                </c:pt>
                <c:pt idx="927">
                  <c:v>0.32814243980084051</c:v>
                </c:pt>
                <c:pt idx="928">
                  <c:v>0.36263563845021629</c:v>
                </c:pt>
                <c:pt idx="929">
                  <c:v>0.44020467870016095</c:v>
                </c:pt>
                <c:pt idx="930">
                  <c:v>0.29525410876481545</c:v>
                </c:pt>
                <c:pt idx="931">
                  <c:v>0.32369730054127666</c:v>
                </c:pt>
                <c:pt idx="932">
                  <c:v>0.30355275659726033</c:v>
                </c:pt>
                <c:pt idx="933">
                  <c:v>0.29849860058242966</c:v>
                </c:pt>
                <c:pt idx="934">
                  <c:v>0.36154712845919956</c:v>
                </c:pt>
                <c:pt idx="935">
                  <c:v>0.34463538163509094</c:v>
                </c:pt>
                <c:pt idx="936">
                  <c:v>0.37908359298835853</c:v>
                </c:pt>
                <c:pt idx="937">
                  <c:v>0.45772026967924012</c:v>
                </c:pt>
                <c:pt idx="938">
                  <c:v>0.39536985612893283</c:v>
                </c:pt>
                <c:pt idx="939">
                  <c:v>0.36755902685012021</c:v>
                </c:pt>
                <c:pt idx="940">
                  <c:v>0.37890178166478694</c:v>
                </c:pt>
                <c:pt idx="941">
                  <c:v>0.31789192141794276</c:v>
                </c:pt>
                <c:pt idx="942">
                  <c:v>0.30156819860634571</c:v>
                </c:pt>
                <c:pt idx="943">
                  <c:v>0.29360597245579745</c:v>
                </c:pt>
                <c:pt idx="944">
                  <c:v>0.25121689932016572</c:v>
                </c:pt>
                <c:pt idx="945">
                  <c:v>0.25181476697282607</c:v>
                </c:pt>
                <c:pt idx="946">
                  <c:v>0.25032555464125078</c:v>
                </c:pt>
                <c:pt idx="947">
                  <c:v>0.20744672571330727</c:v>
                </c:pt>
                <c:pt idx="948">
                  <c:v>0.22954298102410167</c:v>
                </c:pt>
                <c:pt idx="949">
                  <c:v>0.17950144072907592</c:v>
                </c:pt>
                <c:pt idx="950">
                  <c:v>0.14815742489049877</c:v>
                </c:pt>
                <c:pt idx="951">
                  <c:v>0.18920365756212384</c:v>
                </c:pt>
                <c:pt idx="952">
                  <c:v>0.1042263150262073</c:v>
                </c:pt>
                <c:pt idx="953">
                  <c:v>0.10610220659961654</c:v>
                </c:pt>
                <c:pt idx="954">
                  <c:v>0.11706032731007057</c:v>
                </c:pt>
                <c:pt idx="955">
                  <c:v>0.13058514347009922</c:v>
                </c:pt>
                <c:pt idx="956">
                  <c:v>0.13308261027950721</c:v>
                </c:pt>
                <c:pt idx="957">
                  <c:v>0.15348237839940673</c:v>
                </c:pt>
                <c:pt idx="958">
                  <c:v>0.17114340629249328</c:v>
                </c:pt>
                <c:pt idx="959">
                  <c:v>0.17884588572037824</c:v>
                </c:pt>
                <c:pt idx="960">
                  <c:v>0.22041066641506801</c:v>
                </c:pt>
                <c:pt idx="961">
                  <c:v>0.24235277912851838</c:v>
                </c:pt>
                <c:pt idx="962">
                  <c:v>0.26209643990068898</c:v>
                </c:pt>
                <c:pt idx="963">
                  <c:v>0.31942283734450638</c:v>
                </c:pt>
                <c:pt idx="964">
                  <c:v>0.35219892452484214</c:v>
                </c:pt>
                <c:pt idx="965">
                  <c:v>0.38534726457033136</c:v>
                </c:pt>
                <c:pt idx="966">
                  <c:v>0.38912764054348004</c:v>
                </c:pt>
                <c:pt idx="967">
                  <c:v>0.32187159540511096</c:v>
                </c:pt>
                <c:pt idx="968">
                  <c:v>0.29456805496389993</c:v>
                </c:pt>
                <c:pt idx="969">
                  <c:v>0.27742070289459192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9D-4117-BC4D-38FDB217AA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9788559"/>
        <c:axId val="539790479"/>
      </c:lineChart>
      <c:dateAx>
        <c:axId val="539788559"/>
        <c:scaling>
          <c:orientation val="minMax"/>
        </c:scaling>
        <c:delete val="0"/>
        <c:axPos val="b"/>
        <c:numFmt formatCode="[$-409]d\-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790479"/>
        <c:crosses val="autoZero"/>
        <c:auto val="1"/>
        <c:lblOffset val="100"/>
        <c:baseTimeUnit val="days"/>
      </c:dateAx>
      <c:valAx>
        <c:axId val="539790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788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Sheet1!$AP$3</c:f>
          <c:strCache>
            <c:ptCount val="1"/>
            <c:pt idx="0">
              <c:v>WTI - Manage Money Short (%) - Last Value: 35.1%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Sheet1!$B$9:$B$978</c:f>
              <c:numCache>
                <c:formatCode>m/d/yyyy</c:formatCode>
                <c:ptCount val="970"/>
                <c:pt idx="0">
                  <c:v>39448</c:v>
                </c:pt>
                <c:pt idx="1">
                  <c:v>39455</c:v>
                </c:pt>
                <c:pt idx="2">
                  <c:v>39462</c:v>
                </c:pt>
                <c:pt idx="3">
                  <c:v>39469</c:v>
                </c:pt>
                <c:pt idx="4">
                  <c:v>39476</c:v>
                </c:pt>
                <c:pt idx="5">
                  <c:v>39483</c:v>
                </c:pt>
                <c:pt idx="6">
                  <c:v>39490</c:v>
                </c:pt>
                <c:pt idx="7">
                  <c:v>39497</c:v>
                </c:pt>
                <c:pt idx="8">
                  <c:v>39504</c:v>
                </c:pt>
                <c:pt idx="9">
                  <c:v>39511</c:v>
                </c:pt>
                <c:pt idx="10">
                  <c:v>39518</c:v>
                </c:pt>
                <c:pt idx="11">
                  <c:v>39525</c:v>
                </c:pt>
                <c:pt idx="12">
                  <c:v>39532</c:v>
                </c:pt>
                <c:pt idx="13">
                  <c:v>39539</c:v>
                </c:pt>
                <c:pt idx="14">
                  <c:v>39546</c:v>
                </c:pt>
                <c:pt idx="15">
                  <c:v>39553</c:v>
                </c:pt>
                <c:pt idx="16">
                  <c:v>39560</c:v>
                </c:pt>
                <c:pt idx="17">
                  <c:v>39567</c:v>
                </c:pt>
                <c:pt idx="18">
                  <c:v>39574</c:v>
                </c:pt>
                <c:pt idx="19">
                  <c:v>39581</c:v>
                </c:pt>
                <c:pt idx="20">
                  <c:v>39588</c:v>
                </c:pt>
                <c:pt idx="21">
                  <c:v>39595</c:v>
                </c:pt>
                <c:pt idx="22">
                  <c:v>39602</c:v>
                </c:pt>
                <c:pt idx="23">
                  <c:v>39609</c:v>
                </c:pt>
                <c:pt idx="24">
                  <c:v>39616</c:v>
                </c:pt>
                <c:pt idx="25">
                  <c:v>39623</c:v>
                </c:pt>
                <c:pt idx="26">
                  <c:v>39630</c:v>
                </c:pt>
                <c:pt idx="27">
                  <c:v>39637</c:v>
                </c:pt>
                <c:pt idx="28">
                  <c:v>39644</c:v>
                </c:pt>
                <c:pt idx="29">
                  <c:v>39651</c:v>
                </c:pt>
                <c:pt idx="30">
                  <c:v>39658</c:v>
                </c:pt>
                <c:pt idx="31">
                  <c:v>39665</c:v>
                </c:pt>
                <c:pt idx="32">
                  <c:v>39672</c:v>
                </c:pt>
                <c:pt idx="33">
                  <c:v>39679</c:v>
                </c:pt>
                <c:pt idx="34">
                  <c:v>39686</c:v>
                </c:pt>
                <c:pt idx="35">
                  <c:v>39693</c:v>
                </c:pt>
                <c:pt idx="36">
                  <c:v>39700</c:v>
                </c:pt>
                <c:pt idx="37">
                  <c:v>39707</c:v>
                </c:pt>
                <c:pt idx="38">
                  <c:v>39714</c:v>
                </c:pt>
                <c:pt idx="39">
                  <c:v>39721</c:v>
                </c:pt>
                <c:pt idx="40">
                  <c:v>39728</c:v>
                </c:pt>
                <c:pt idx="41">
                  <c:v>39735</c:v>
                </c:pt>
                <c:pt idx="42">
                  <c:v>39742</c:v>
                </c:pt>
                <c:pt idx="43">
                  <c:v>39749</c:v>
                </c:pt>
                <c:pt idx="44">
                  <c:v>39756</c:v>
                </c:pt>
                <c:pt idx="45">
                  <c:v>39763</c:v>
                </c:pt>
                <c:pt idx="46">
                  <c:v>39770</c:v>
                </c:pt>
                <c:pt idx="47">
                  <c:v>39777</c:v>
                </c:pt>
                <c:pt idx="48">
                  <c:v>39784</c:v>
                </c:pt>
                <c:pt idx="49">
                  <c:v>39791</c:v>
                </c:pt>
                <c:pt idx="50">
                  <c:v>39798</c:v>
                </c:pt>
                <c:pt idx="51">
                  <c:v>39805</c:v>
                </c:pt>
                <c:pt idx="52">
                  <c:v>39812</c:v>
                </c:pt>
                <c:pt idx="53">
                  <c:v>39819</c:v>
                </c:pt>
                <c:pt idx="54">
                  <c:v>39826</c:v>
                </c:pt>
                <c:pt idx="55">
                  <c:v>39833</c:v>
                </c:pt>
                <c:pt idx="56">
                  <c:v>39840</c:v>
                </c:pt>
                <c:pt idx="57">
                  <c:v>39847</c:v>
                </c:pt>
                <c:pt idx="58">
                  <c:v>39854</c:v>
                </c:pt>
                <c:pt idx="59">
                  <c:v>39861</c:v>
                </c:pt>
                <c:pt idx="60">
                  <c:v>39868</c:v>
                </c:pt>
                <c:pt idx="61">
                  <c:v>39875</c:v>
                </c:pt>
                <c:pt idx="62">
                  <c:v>39882</c:v>
                </c:pt>
                <c:pt idx="63">
                  <c:v>39889</c:v>
                </c:pt>
                <c:pt idx="64">
                  <c:v>39896</c:v>
                </c:pt>
                <c:pt idx="65">
                  <c:v>39903</c:v>
                </c:pt>
                <c:pt idx="66">
                  <c:v>39910</c:v>
                </c:pt>
                <c:pt idx="67">
                  <c:v>39917</c:v>
                </c:pt>
                <c:pt idx="68">
                  <c:v>39924</c:v>
                </c:pt>
                <c:pt idx="69">
                  <c:v>39931</c:v>
                </c:pt>
                <c:pt idx="70">
                  <c:v>39938</c:v>
                </c:pt>
                <c:pt idx="71">
                  <c:v>39945</c:v>
                </c:pt>
                <c:pt idx="72">
                  <c:v>39952</c:v>
                </c:pt>
                <c:pt idx="73">
                  <c:v>39959</c:v>
                </c:pt>
                <c:pt idx="74">
                  <c:v>39966</c:v>
                </c:pt>
                <c:pt idx="75">
                  <c:v>39973</c:v>
                </c:pt>
                <c:pt idx="76">
                  <c:v>39980</c:v>
                </c:pt>
                <c:pt idx="77">
                  <c:v>39987</c:v>
                </c:pt>
                <c:pt idx="78">
                  <c:v>39994</c:v>
                </c:pt>
                <c:pt idx="79">
                  <c:v>40001</c:v>
                </c:pt>
                <c:pt idx="80">
                  <c:v>40008</c:v>
                </c:pt>
                <c:pt idx="81">
                  <c:v>40015</c:v>
                </c:pt>
                <c:pt idx="82">
                  <c:v>40022</c:v>
                </c:pt>
                <c:pt idx="83">
                  <c:v>40029</c:v>
                </c:pt>
                <c:pt idx="84">
                  <c:v>40036</c:v>
                </c:pt>
                <c:pt idx="85">
                  <c:v>40043</c:v>
                </c:pt>
                <c:pt idx="86">
                  <c:v>40050</c:v>
                </c:pt>
                <c:pt idx="87">
                  <c:v>40057</c:v>
                </c:pt>
                <c:pt idx="88">
                  <c:v>40064</c:v>
                </c:pt>
                <c:pt idx="89">
                  <c:v>40071</c:v>
                </c:pt>
                <c:pt idx="90">
                  <c:v>40078</c:v>
                </c:pt>
                <c:pt idx="91">
                  <c:v>40085</c:v>
                </c:pt>
                <c:pt idx="92">
                  <c:v>40092</c:v>
                </c:pt>
                <c:pt idx="93">
                  <c:v>40099</c:v>
                </c:pt>
                <c:pt idx="94">
                  <c:v>40106</c:v>
                </c:pt>
                <c:pt idx="95">
                  <c:v>40113</c:v>
                </c:pt>
                <c:pt idx="96">
                  <c:v>40120</c:v>
                </c:pt>
                <c:pt idx="97">
                  <c:v>40127</c:v>
                </c:pt>
                <c:pt idx="98">
                  <c:v>40134</c:v>
                </c:pt>
                <c:pt idx="99">
                  <c:v>40141</c:v>
                </c:pt>
                <c:pt idx="100">
                  <c:v>40148</c:v>
                </c:pt>
                <c:pt idx="101">
                  <c:v>40155</c:v>
                </c:pt>
                <c:pt idx="102">
                  <c:v>40162</c:v>
                </c:pt>
                <c:pt idx="103">
                  <c:v>40169</c:v>
                </c:pt>
                <c:pt idx="104">
                  <c:v>40176</c:v>
                </c:pt>
                <c:pt idx="105">
                  <c:v>40183</c:v>
                </c:pt>
                <c:pt idx="106">
                  <c:v>40190</c:v>
                </c:pt>
                <c:pt idx="107">
                  <c:v>40197</c:v>
                </c:pt>
                <c:pt idx="108">
                  <c:v>40204</c:v>
                </c:pt>
                <c:pt idx="109">
                  <c:v>40211</c:v>
                </c:pt>
                <c:pt idx="110">
                  <c:v>40218</c:v>
                </c:pt>
                <c:pt idx="111">
                  <c:v>40225</c:v>
                </c:pt>
                <c:pt idx="112">
                  <c:v>40232</c:v>
                </c:pt>
                <c:pt idx="113">
                  <c:v>40239</c:v>
                </c:pt>
                <c:pt idx="114">
                  <c:v>40246</c:v>
                </c:pt>
                <c:pt idx="115">
                  <c:v>40253</c:v>
                </c:pt>
                <c:pt idx="116">
                  <c:v>40260</c:v>
                </c:pt>
                <c:pt idx="117">
                  <c:v>40267</c:v>
                </c:pt>
                <c:pt idx="118">
                  <c:v>40274</c:v>
                </c:pt>
                <c:pt idx="119">
                  <c:v>40281</c:v>
                </c:pt>
                <c:pt idx="120">
                  <c:v>40288</c:v>
                </c:pt>
                <c:pt idx="121">
                  <c:v>40295</c:v>
                </c:pt>
                <c:pt idx="122">
                  <c:v>40302</c:v>
                </c:pt>
                <c:pt idx="123">
                  <c:v>40309</c:v>
                </c:pt>
                <c:pt idx="124">
                  <c:v>40316</c:v>
                </c:pt>
                <c:pt idx="125">
                  <c:v>40323</c:v>
                </c:pt>
                <c:pt idx="126">
                  <c:v>40330</c:v>
                </c:pt>
                <c:pt idx="127">
                  <c:v>40337</c:v>
                </c:pt>
                <c:pt idx="128">
                  <c:v>40344</c:v>
                </c:pt>
                <c:pt idx="129">
                  <c:v>40351</c:v>
                </c:pt>
                <c:pt idx="130">
                  <c:v>40358</c:v>
                </c:pt>
                <c:pt idx="131">
                  <c:v>40365</c:v>
                </c:pt>
                <c:pt idx="132">
                  <c:v>40372</c:v>
                </c:pt>
                <c:pt idx="133">
                  <c:v>40379</c:v>
                </c:pt>
                <c:pt idx="134">
                  <c:v>40386</c:v>
                </c:pt>
                <c:pt idx="135">
                  <c:v>40393</c:v>
                </c:pt>
                <c:pt idx="136">
                  <c:v>40400</c:v>
                </c:pt>
                <c:pt idx="137">
                  <c:v>40407</c:v>
                </c:pt>
                <c:pt idx="138">
                  <c:v>40414</c:v>
                </c:pt>
                <c:pt idx="139">
                  <c:v>40421</c:v>
                </c:pt>
                <c:pt idx="140">
                  <c:v>40428</c:v>
                </c:pt>
                <c:pt idx="141">
                  <c:v>40435</c:v>
                </c:pt>
                <c:pt idx="142">
                  <c:v>40442</c:v>
                </c:pt>
                <c:pt idx="143">
                  <c:v>40449</c:v>
                </c:pt>
                <c:pt idx="144">
                  <c:v>40456</c:v>
                </c:pt>
                <c:pt idx="145">
                  <c:v>40463</c:v>
                </c:pt>
                <c:pt idx="146">
                  <c:v>40470</c:v>
                </c:pt>
                <c:pt idx="147">
                  <c:v>40477</c:v>
                </c:pt>
                <c:pt idx="148">
                  <c:v>40484</c:v>
                </c:pt>
                <c:pt idx="149">
                  <c:v>40491</c:v>
                </c:pt>
                <c:pt idx="150">
                  <c:v>40498</c:v>
                </c:pt>
                <c:pt idx="151">
                  <c:v>40505</c:v>
                </c:pt>
                <c:pt idx="152">
                  <c:v>40512</c:v>
                </c:pt>
                <c:pt idx="153">
                  <c:v>40519</c:v>
                </c:pt>
                <c:pt idx="154">
                  <c:v>40526</c:v>
                </c:pt>
                <c:pt idx="155">
                  <c:v>40533</c:v>
                </c:pt>
                <c:pt idx="156">
                  <c:v>40540</c:v>
                </c:pt>
                <c:pt idx="157">
                  <c:v>40547</c:v>
                </c:pt>
                <c:pt idx="158">
                  <c:v>40554</c:v>
                </c:pt>
                <c:pt idx="159">
                  <c:v>40561</c:v>
                </c:pt>
                <c:pt idx="160">
                  <c:v>40568</c:v>
                </c:pt>
                <c:pt idx="161">
                  <c:v>40575</c:v>
                </c:pt>
                <c:pt idx="162">
                  <c:v>40582</c:v>
                </c:pt>
                <c:pt idx="163">
                  <c:v>40589</c:v>
                </c:pt>
                <c:pt idx="164">
                  <c:v>40596</c:v>
                </c:pt>
                <c:pt idx="165">
                  <c:v>40603</c:v>
                </c:pt>
                <c:pt idx="166">
                  <c:v>40610</c:v>
                </c:pt>
                <c:pt idx="167">
                  <c:v>40617</c:v>
                </c:pt>
                <c:pt idx="168">
                  <c:v>40624</c:v>
                </c:pt>
                <c:pt idx="169">
                  <c:v>40631</c:v>
                </c:pt>
                <c:pt idx="170">
                  <c:v>40638</c:v>
                </c:pt>
                <c:pt idx="171">
                  <c:v>40645</c:v>
                </c:pt>
                <c:pt idx="172">
                  <c:v>40652</c:v>
                </c:pt>
                <c:pt idx="173">
                  <c:v>40659</c:v>
                </c:pt>
                <c:pt idx="174">
                  <c:v>40666</c:v>
                </c:pt>
                <c:pt idx="175">
                  <c:v>40673</c:v>
                </c:pt>
                <c:pt idx="176">
                  <c:v>40680</c:v>
                </c:pt>
                <c:pt idx="177">
                  <c:v>40687</c:v>
                </c:pt>
                <c:pt idx="178">
                  <c:v>40694</c:v>
                </c:pt>
                <c:pt idx="179">
                  <c:v>40701</c:v>
                </c:pt>
                <c:pt idx="180">
                  <c:v>40708</c:v>
                </c:pt>
                <c:pt idx="181">
                  <c:v>40715</c:v>
                </c:pt>
                <c:pt idx="182">
                  <c:v>40722</c:v>
                </c:pt>
                <c:pt idx="183">
                  <c:v>40729</c:v>
                </c:pt>
                <c:pt idx="184">
                  <c:v>40736</c:v>
                </c:pt>
                <c:pt idx="185">
                  <c:v>40743</c:v>
                </c:pt>
                <c:pt idx="186">
                  <c:v>40750</c:v>
                </c:pt>
                <c:pt idx="187">
                  <c:v>40757</c:v>
                </c:pt>
                <c:pt idx="188">
                  <c:v>40764</c:v>
                </c:pt>
                <c:pt idx="189">
                  <c:v>40771</c:v>
                </c:pt>
                <c:pt idx="190">
                  <c:v>40778</c:v>
                </c:pt>
                <c:pt idx="191">
                  <c:v>40785</c:v>
                </c:pt>
                <c:pt idx="192">
                  <c:v>40792</c:v>
                </c:pt>
                <c:pt idx="193">
                  <c:v>40799</c:v>
                </c:pt>
                <c:pt idx="194">
                  <c:v>40806</c:v>
                </c:pt>
                <c:pt idx="195">
                  <c:v>40813</c:v>
                </c:pt>
                <c:pt idx="196">
                  <c:v>40820</c:v>
                </c:pt>
                <c:pt idx="197">
                  <c:v>40827</c:v>
                </c:pt>
                <c:pt idx="198">
                  <c:v>40834</c:v>
                </c:pt>
                <c:pt idx="199">
                  <c:v>40841</c:v>
                </c:pt>
                <c:pt idx="200">
                  <c:v>40848</c:v>
                </c:pt>
                <c:pt idx="201">
                  <c:v>40855</c:v>
                </c:pt>
                <c:pt idx="202">
                  <c:v>40862</c:v>
                </c:pt>
                <c:pt idx="203">
                  <c:v>40869</c:v>
                </c:pt>
                <c:pt idx="204">
                  <c:v>40876</c:v>
                </c:pt>
                <c:pt idx="205">
                  <c:v>40883</c:v>
                </c:pt>
                <c:pt idx="206">
                  <c:v>40890</c:v>
                </c:pt>
                <c:pt idx="207">
                  <c:v>40897</c:v>
                </c:pt>
                <c:pt idx="208">
                  <c:v>40904</c:v>
                </c:pt>
                <c:pt idx="209">
                  <c:v>40911</c:v>
                </c:pt>
                <c:pt idx="210">
                  <c:v>40918</c:v>
                </c:pt>
                <c:pt idx="211">
                  <c:v>40925</c:v>
                </c:pt>
                <c:pt idx="212">
                  <c:v>40932</c:v>
                </c:pt>
                <c:pt idx="213">
                  <c:v>40939</c:v>
                </c:pt>
                <c:pt idx="214">
                  <c:v>40946</c:v>
                </c:pt>
                <c:pt idx="215">
                  <c:v>40953</c:v>
                </c:pt>
                <c:pt idx="216">
                  <c:v>40960</c:v>
                </c:pt>
                <c:pt idx="217">
                  <c:v>40967</c:v>
                </c:pt>
                <c:pt idx="218">
                  <c:v>40974</c:v>
                </c:pt>
                <c:pt idx="219">
                  <c:v>40981</c:v>
                </c:pt>
                <c:pt idx="220">
                  <c:v>40988</c:v>
                </c:pt>
                <c:pt idx="221">
                  <c:v>40995</c:v>
                </c:pt>
                <c:pt idx="222">
                  <c:v>41002</c:v>
                </c:pt>
                <c:pt idx="223">
                  <c:v>41009</c:v>
                </c:pt>
                <c:pt idx="224">
                  <c:v>41016</c:v>
                </c:pt>
                <c:pt idx="225">
                  <c:v>41023</c:v>
                </c:pt>
                <c:pt idx="226">
                  <c:v>41030</c:v>
                </c:pt>
                <c:pt idx="227">
                  <c:v>41037</c:v>
                </c:pt>
                <c:pt idx="228">
                  <c:v>41044</c:v>
                </c:pt>
                <c:pt idx="229">
                  <c:v>41051</c:v>
                </c:pt>
                <c:pt idx="230">
                  <c:v>41058</c:v>
                </c:pt>
                <c:pt idx="231">
                  <c:v>41065</c:v>
                </c:pt>
                <c:pt idx="232">
                  <c:v>41072</c:v>
                </c:pt>
                <c:pt idx="233">
                  <c:v>41079</c:v>
                </c:pt>
                <c:pt idx="234">
                  <c:v>41086</c:v>
                </c:pt>
                <c:pt idx="235">
                  <c:v>41093</c:v>
                </c:pt>
                <c:pt idx="236">
                  <c:v>41100</c:v>
                </c:pt>
                <c:pt idx="237">
                  <c:v>41107</c:v>
                </c:pt>
                <c:pt idx="238">
                  <c:v>41114</c:v>
                </c:pt>
                <c:pt idx="239">
                  <c:v>41121</c:v>
                </c:pt>
                <c:pt idx="240">
                  <c:v>41128</c:v>
                </c:pt>
                <c:pt idx="241">
                  <c:v>41135</c:v>
                </c:pt>
                <c:pt idx="242">
                  <c:v>41142</c:v>
                </c:pt>
                <c:pt idx="243">
                  <c:v>41149</c:v>
                </c:pt>
                <c:pt idx="244">
                  <c:v>41156</c:v>
                </c:pt>
                <c:pt idx="245">
                  <c:v>41163</c:v>
                </c:pt>
                <c:pt idx="246">
                  <c:v>41170</c:v>
                </c:pt>
                <c:pt idx="247">
                  <c:v>41177</c:v>
                </c:pt>
                <c:pt idx="248">
                  <c:v>41184</c:v>
                </c:pt>
                <c:pt idx="249">
                  <c:v>41191</c:v>
                </c:pt>
                <c:pt idx="250">
                  <c:v>41198</c:v>
                </c:pt>
                <c:pt idx="251">
                  <c:v>41205</c:v>
                </c:pt>
                <c:pt idx="252">
                  <c:v>41212</c:v>
                </c:pt>
                <c:pt idx="253">
                  <c:v>41219</c:v>
                </c:pt>
                <c:pt idx="254">
                  <c:v>41226</c:v>
                </c:pt>
                <c:pt idx="255">
                  <c:v>41233</c:v>
                </c:pt>
                <c:pt idx="256">
                  <c:v>41240</c:v>
                </c:pt>
                <c:pt idx="257">
                  <c:v>41247</c:v>
                </c:pt>
                <c:pt idx="258">
                  <c:v>41254</c:v>
                </c:pt>
                <c:pt idx="259">
                  <c:v>41261</c:v>
                </c:pt>
                <c:pt idx="260">
                  <c:v>41268</c:v>
                </c:pt>
                <c:pt idx="261">
                  <c:v>41275</c:v>
                </c:pt>
                <c:pt idx="262">
                  <c:v>41282</c:v>
                </c:pt>
                <c:pt idx="263">
                  <c:v>41289</c:v>
                </c:pt>
                <c:pt idx="264">
                  <c:v>41296</c:v>
                </c:pt>
                <c:pt idx="265">
                  <c:v>41303</c:v>
                </c:pt>
                <c:pt idx="266">
                  <c:v>41310</c:v>
                </c:pt>
                <c:pt idx="267">
                  <c:v>41317</c:v>
                </c:pt>
                <c:pt idx="268">
                  <c:v>41324</c:v>
                </c:pt>
                <c:pt idx="269">
                  <c:v>41331</c:v>
                </c:pt>
                <c:pt idx="270">
                  <c:v>41338</c:v>
                </c:pt>
                <c:pt idx="271">
                  <c:v>41345</c:v>
                </c:pt>
                <c:pt idx="272">
                  <c:v>41352</c:v>
                </c:pt>
                <c:pt idx="273">
                  <c:v>41359</c:v>
                </c:pt>
                <c:pt idx="274">
                  <c:v>41366</c:v>
                </c:pt>
                <c:pt idx="275">
                  <c:v>41373</c:v>
                </c:pt>
                <c:pt idx="276">
                  <c:v>41380</c:v>
                </c:pt>
                <c:pt idx="277">
                  <c:v>41387</c:v>
                </c:pt>
                <c:pt idx="278">
                  <c:v>41394</c:v>
                </c:pt>
                <c:pt idx="279">
                  <c:v>41401</c:v>
                </c:pt>
                <c:pt idx="280">
                  <c:v>41408</c:v>
                </c:pt>
                <c:pt idx="281">
                  <c:v>41415</c:v>
                </c:pt>
                <c:pt idx="282">
                  <c:v>41422</c:v>
                </c:pt>
                <c:pt idx="283">
                  <c:v>41429</c:v>
                </c:pt>
                <c:pt idx="284">
                  <c:v>41436</c:v>
                </c:pt>
                <c:pt idx="285">
                  <c:v>41443</c:v>
                </c:pt>
                <c:pt idx="286">
                  <c:v>41450</c:v>
                </c:pt>
                <c:pt idx="287">
                  <c:v>41457</c:v>
                </c:pt>
                <c:pt idx="288">
                  <c:v>41464</c:v>
                </c:pt>
                <c:pt idx="289">
                  <c:v>41471</c:v>
                </c:pt>
                <c:pt idx="290">
                  <c:v>41478</c:v>
                </c:pt>
                <c:pt idx="291">
                  <c:v>41485</c:v>
                </c:pt>
                <c:pt idx="292">
                  <c:v>41492</c:v>
                </c:pt>
                <c:pt idx="293">
                  <c:v>41499</c:v>
                </c:pt>
                <c:pt idx="294">
                  <c:v>41506</c:v>
                </c:pt>
                <c:pt idx="295">
                  <c:v>41513</c:v>
                </c:pt>
                <c:pt idx="296">
                  <c:v>41520</c:v>
                </c:pt>
                <c:pt idx="297">
                  <c:v>41527</c:v>
                </c:pt>
                <c:pt idx="298">
                  <c:v>41534</c:v>
                </c:pt>
                <c:pt idx="299">
                  <c:v>41541</c:v>
                </c:pt>
                <c:pt idx="300">
                  <c:v>41548</c:v>
                </c:pt>
                <c:pt idx="301">
                  <c:v>41555</c:v>
                </c:pt>
                <c:pt idx="302">
                  <c:v>41562</c:v>
                </c:pt>
                <c:pt idx="303">
                  <c:v>41569</c:v>
                </c:pt>
                <c:pt idx="304">
                  <c:v>41576</c:v>
                </c:pt>
                <c:pt idx="305">
                  <c:v>41583</c:v>
                </c:pt>
                <c:pt idx="306">
                  <c:v>41590</c:v>
                </c:pt>
                <c:pt idx="307">
                  <c:v>41597</c:v>
                </c:pt>
                <c:pt idx="308">
                  <c:v>41604</c:v>
                </c:pt>
                <c:pt idx="309">
                  <c:v>41611</c:v>
                </c:pt>
                <c:pt idx="310">
                  <c:v>41618</c:v>
                </c:pt>
                <c:pt idx="311">
                  <c:v>41625</c:v>
                </c:pt>
                <c:pt idx="312">
                  <c:v>41632</c:v>
                </c:pt>
                <c:pt idx="313">
                  <c:v>41639</c:v>
                </c:pt>
                <c:pt idx="314">
                  <c:v>41646</c:v>
                </c:pt>
                <c:pt idx="315">
                  <c:v>41653</c:v>
                </c:pt>
                <c:pt idx="316">
                  <c:v>41660</c:v>
                </c:pt>
                <c:pt idx="317">
                  <c:v>41667</c:v>
                </c:pt>
                <c:pt idx="318">
                  <c:v>41674</c:v>
                </c:pt>
                <c:pt idx="319">
                  <c:v>41681</c:v>
                </c:pt>
                <c:pt idx="320">
                  <c:v>41688</c:v>
                </c:pt>
                <c:pt idx="321">
                  <c:v>41695</c:v>
                </c:pt>
                <c:pt idx="322">
                  <c:v>41702</c:v>
                </c:pt>
                <c:pt idx="323">
                  <c:v>41709</c:v>
                </c:pt>
                <c:pt idx="324">
                  <c:v>41716</c:v>
                </c:pt>
                <c:pt idx="325">
                  <c:v>41723</c:v>
                </c:pt>
                <c:pt idx="326">
                  <c:v>41730</c:v>
                </c:pt>
                <c:pt idx="327">
                  <c:v>41737</c:v>
                </c:pt>
                <c:pt idx="328">
                  <c:v>41744</c:v>
                </c:pt>
                <c:pt idx="329">
                  <c:v>41751</c:v>
                </c:pt>
                <c:pt idx="330">
                  <c:v>41758</c:v>
                </c:pt>
                <c:pt idx="331">
                  <c:v>41765</c:v>
                </c:pt>
                <c:pt idx="332">
                  <c:v>41772</c:v>
                </c:pt>
                <c:pt idx="333">
                  <c:v>41779</c:v>
                </c:pt>
                <c:pt idx="334">
                  <c:v>41786</c:v>
                </c:pt>
                <c:pt idx="335">
                  <c:v>41793</c:v>
                </c:pt>
                <c:pt idx="336">
                  <c:v>41800</c:v>
                </c:pt>
                <c:pt idx="337">
                  <c:v>41807</c:v>
                </c:pt>
                <c:pt idx="338">
                  <c:v>41814</c:v>
                </c:pt>
                <c:pt idx="339">
                  <c:v>41821</c:v>
                </c:pt>
                <c:pt idx="340">
                  <c:v>41828</c:v>
                </c:pt>
                <c:pt idx="341">
                  <c:v>41835</c:v>
                </c:pt>
                <c:pt idx="342">
                  <c:v>41842</c:v>
                </c:pt>
                <c:pt idx="343">
                  <c:v>41849</c:v>
                </c:pt>
                <c:pt idx="344">
                  <c:v>41856</c:v>
                </c:pt>
                <c:pt idx="345">
                  <c:v>41863</c:v>
                </c:pt>
                <c:pt idx="346">
                  <c:v>41870</c:v>
                </c:pt>
                <c:pt idx="347">
                  <c:v>41877</c:v>
                </c:pt>
                <c:pt idx="348">
                  <c:v>41884</c:v>
                </c:pt>
                <c:pt idx="349">
                  <c:v>41891</c:v>
                </c:pt>
                <c:pt idx="350">
                  <c:v>41898</c:v>
                </c:pt>
                <c:pt idx="351">
                  <c:v>41905</c:v>
                </c:pt>
                <c:pt idx="352">
                  <c:v>41912</c:v>
                </c:pt>
                <c:pt idx="353">
                  <c:v>41919</c:v>
                </c:pt>
                <c:pt idx="354">
                  <c:v>41926</c:v>
                </c:pt>
                <c:pt idx="355">
                  <c:v>41933</c:v>
                </c:pt>
                <c:pt idx="356">
                  <c:v>41940</c:v>
                </c:pt>
                <c:pt idx="357">
                  <c:v>41947</c:v>
                </c:pt>
                <c:pt idx="358">
                  <c:v>41954</c:v>
                </c:pt>
                <c:pt idx="359">
                  <c:v>41961</c:v>
                </c:pt>
                <c:pt idx="360">
                  <c:v>41968</c:v>
                </c:pt>
                <c:pt idx="361">
                  <c:v>41975</c:v>
                </c:pt>
                <c:pt idx="362">
                  <c:v>41982</c:v>
                </c:pt>
                <c:pt idx="363">
                  <c:v>41989</c:v>
                </c:pt>
                <c:pt idx="364">
                  <c:v>41996</c:v>
                </c:pt>
                <c:pt idx="365">
                  <c:v>42003</c:v>
                </c:pt>
                <c:pt idx="366">
                  <c:v>42010</c:v>
                </c:pt>
                <c:pt idx="367">
                  <c:v>42017</c:v>
                </c:pt>
                <c:pt idx="368">
                  <c:v>42024</c:v>
                </c:pt>
                <c:pt idx="369">
                  <c:v>42031</c:v>
                </c:pt>
                <c:pt idx="370">
                  <c:v>42038</c:v>
                </c:pt>
                <c:pt idx="371">
                  <c:v>42045</c:v>
                </c:pt>
                <c:pt idx="372">
                  <c:v>42052</c:v>
                </c:pt>
                <c:pt idx="373">
                  <c:v>42059</c:v>
                </c:pt>
                <c:pt idx="374">
                  <c:v>42066</c:v>
                </c:pt>
                <c:pt idx="375">
                  <c:v>42073</c:v>
                </c:pt>
                <c:pt idx="376">
                  <c:v>42080</c:v>
                </c:pt>
                <c:pt idx="377">
                  <c:v>42087</c:v>
                </c:pt>
                <c:pt idx="378">
                  <c:v>42094</c:v>
                </c:pt>
                <c:pt idx="379">
                  <c:v>42101</c:v>
                </c:pt>
                <c:pt idx="380">
                  <c:v>42108</c:v>
                </c:pt>
                <c:pt idx="381">
                  <c:v>42115</c:v>
                </c:pt>
                <c:pt idx="382">
                  <c:v>42122</c:v>
                </c:pt>
                <c:pt idx="383">
                  <c:v>42129</c:v>
                </c:pt>
                <c:pt idx="384">
                  <c:v>42136</c:v>
                </c:pt>
                <c:pt idx="385">
                  <c:v>42143</c:v>
                </c:pt>
                <c:pt idx="386">
                  <c:v>42150</c:v>
                </c:pt>
                <c:pt idx="387">
                  <c:v>42157</c:v>
                </c:pt>
                <c:pt idx="388">
                  <c:v>42164</c:v>
                </c:pt>
                <c:pt idx="389">
                  <c:v>42171</c:v>
                </c:pt>
                <c:pt idx="390">
                  <c:v>42178</c:v>
                </c:pt>
                <c:pt idx="391">
                  <c:v>42185</c:v>
                </c:pt>
                <c:pt idx="392">
                  <c:v>42192</c:v>
                </c:pt>
                <c:pt idx="393">
                  <c:v>42199</c:v>
                </c:pt>
                <c:pt idx="394">
                  <c:v>42206</c:v>
                </c:pt>
                <c:pt idx="395">
                  <c:v>42213</c:v>
                </c:pt>
                <c:pt idx="396">
                  <c:v>42220</c:v>
                </c:pt>
                <c:pt idx="397">
                  <c:v>42227</c:v>
                </c:pt>
                <c:pt idx="398">
                  <c:v>42234</c:v>
                </c:pt>
                <c:pt idx="399">
                  <c:v>42241</c:v>
                </c:pt>
                <c:pt idx="400">
                  <c:v>42248</c:v>
                </c:pt>
                <c:pt idx="401">
                  <c:v>42255</c:v>
                </c:pt>
                <c:pt idx="402">
                  <c:v>42262</c:v>
                </c:pt>
                <c:pt idx="403">
                  <c:v>42269</c:v>
                </c:pt>
                <c:pt idx="404">
                  <c:v>42276</c:v>
                </c:pt>
                <c:pt idx="405">
                  <c:v>42283</c:v>
                </c:pt>
                <c:pt idx="406">
                  <c:v>42290</c:v>
                </c:pt>
                <c:pt idx="407">
                  <c:v>42297</c:v>
                </c:pt>
                <c:pt idx="408">
                  <c:v>42304</c:v>
                </c:pt>
                <c:pt idx="409">
                  <c:v>42311</c:v>
                </c:pt>
                <c:pt idx="410">
                  <c:v>42318</c:v>
                </c:pt>
                <c:pt idx="411">
                  <c:v>42325</c:v>
                </c:pt>
                <c:pt idx="412">
                  <c:v>42332</c:v>
                </c:pt>
                <c:pt idx="413">
                  <c:v>42339</c:v>
                </c:pt>
                <c:pt idx="414">
                  <c:v>42346</c:v>
                </c:pt>
                <c:pt idx="415">
                  <c:v>42353</c:v>
                </c:pt>
                <c:pt idx="416">
                  <c:v>42360</c:v>
                </c:pt>
                <c:pt idx="417">
                  <c:v>42367</c:v>
                </c:pt>
                <c:pt idx="418">
                  <c:v>42374</c:v>
                </c:pt>
                <c:pt idx="419">
                  <c:v>42381</c:v>
                </c:pt>
                <c:pt idx="420">
                  <c:v>42388</c:v>
                </c:pt>
                <c:pt idx="421">
                  <c:v>42395</c:v>
                </c:pt>
                <c:pt idx="422">
                  <c:v>42402</c:v>
                </c:pt>
                <c:pt idx="423">
                  <c:v>42409</c:v>
                </c:pt>
                <c:pt idx="424">
                  <c:v>42416</c:v>
                </c:pt>
                <c:pt idx="425">
                  <c:v>42423</c:v>
                </c:pt>
                <c:pt idx="426">
                  <c:v>42430</c:v>
                </c:pt>
                <c:pt idx="427">
                  <c:v>42437</c:v>
                </c:pt>
                <c:pt idx="428">
                  <c:v>42444</c:v>
                </c:pt>
                <c:pt idx="429">
                  <c:v>42451</c:v>
                </c:pt>
                <c:pt idx="430">
                  <c:v>42458</c:v>
                </c:pt>
                <c:pt idx="431">
                  <c:v>42465</c:v>
                </c:pt>
                <c:pt idx="432">
                  <c:v>42472</c:v>
                </c:pt>
                <c:pt idx="433">
                  <c:v>42479</c:v>
                </c:pt>
                <c:pt idx="434">
                  <c:v>42486</c:v>
                </c:pt>
                <c:pt idx="435">
                  <c:v>42493</c:v>
                </c:pt>
                <c:pt idx="436">
                  <c:v>42500</c:v>
                </c:pt>
                <c:pt idx="437">
                  <c:v>42507</c:v>
                </c:pt>
                <c:pt idx="438">
                  <c:v>42514</c:v>
                </c:pt>
                <c:pt idx="439">
                  <c:v>42521</c:v>
                </c:pt>
                <c:pt idx="440">
                  <c:v>42528</c:v>
                </c:pt>
                <c:pt idx="441">
                  <c:v>42535</c:v>
                </c:pt>
                <c:pt idx="442">
                  <c:v>42542</c:v>
                </c:pt>
                <c:pt idx="443">
                  <c:v>42549</c:v>
                </c:pt>
                <c:pt idx="444">
                  <c:v>42556</c:v>
                </c:pt>
                <c:pt idx="445">
                  <c:v>42563</c:v>
                </c:pt>
                <c:pt idx="446">
                  <c:v>42570</c:v>
                </c:pt>
                <c:pt idx="447">
                  <c:v>42577</c:v>
                </c:pt>
                <c:pt idx="448">
                  <c:v>42584</c:v>
                </c:pt>
                <c:pt idx="449">
                  <c:v>42591</c:v>
                </c:pt>
                <c:pt idx="450">
                  <c:v>42598</c:v>
                </c:pt>
                <c:pt idx="451">
                  <c:v>42605</c:v>
                </c:pt>
                <c:pt idx="452">
                  <c:v>42612</c:v>
                </c:pt>
                <c:pt idx="453">
                  <c:v>42619</c:v>
                </c:pt>
                <c:pt idx="454">
                  <c:v>42626</c:v>
                </c:pt>
                <c:pt idx="455">
                  <c:v>42633</c:v>
                </c:pt>
                <c:pt idx="456">
                  <c:v>42640</c:v>
                </c:pt>
                <c:pt idx="457">
                  <c:v>42647</c:v>
                </c:pt>
                <c:pt idx="458">
                  <c:v>42654</c:v>
                </c:pt>
                <c:pt idx="459">
                  <c:v>42661</c:v>
                </c:pt>
                <c:pt idx="460">
                  <c:v>42668</c:v>
                </c:pt>
                <c:pt idx="461">
                  <c:v>42675</c:v>
                </c:pt>
                <c:pt idx="462">
                  <c:v>42682</c:v>
                </c:pt>
                <c:pt idx="463">
                  <c:v>42689</c:v>
                </c:pt>
                <c:pt idx="464">
                  <c:v>42696</c:v>
                </c:pt>
                <c:pt idx="465">
                  <c:v>42703</c:v>
                </c:pt>
                <c:pt idx="466">
                  <c:v>42710</c:v>
                </c:pt>
                <c:pt idx="467">
                  <c:v>42717</c:v>
                </c:pt>
                <c:pt idx="468">
                  <c:v>42724</c:v>
                </c:pt>
                <c:pt idx="469">
                  <c:v>42731</c:v>
                </c:pt>
                <c:pt idx="470">
                  <c:v>42738</c:v>
                </c:pt>
                <c:pt idx="471">
                  <c:v>42745</c:v>
                </c:pt>
                <c:pt idx="472">
                  <c:v>42752</c:v>
                </c:pt>
                <c:pt idx="473">
                  <c:v>42759</c:v>
                </c:pt>
                <c:pt idx="474">
                  <c:v>42766</c:v>
                </c:pt>
                <c:pt idx="475">
                  <c:v>42773</c:v>
                </c:pt>
                <c:pt idx="476">
                  <c:v>42780</c:v>
                </c:pt>
                <c:pt idx="477">
                  <c:v>42787</c:v>
                </c:pt>
                <c:pt idx="478">
                  <c:v>42794</c:v>
                </c:pt>
                <c:pt idx="479">
                  <c:v>42801</c:v>
                </c:pt>
                <c:pt idx="480">
                  <c:v>42808</c:v>
                </c:pt>
                <c:pt idx="481">
                  <c:v>42815</c:v>
                </c:pt>
                <c:pt idx="482">
                  <c:v>42822</c:v>
                </c:pt>
                <c:pt idx="483">
                  <c:v>42829</c:v>
                </c:pt>
                <c:pt idx="484">
                  <c:v>42836</c:v>
                </c:pt>
                <c:pt idx="485">
                  <c:v>42843</c:v>
                </c:pt>
                <c:pt idx="486">
                  <c:v>42850</c:v>
                </c:pt>
                <c:pt idx="487">
                  <c:v>42857</c:v>
                </c:pt>
                <c:pt idx="488">
                  <c:v>42864</c:v>
                </c:pt>
                <c:pt idx="489">
                  <c:v>42871</c:v>
                </c:pt>
                <c:pt idx="490">
                  <c:v>42878</c:v>
                </c:pt>
                <c:pt idx="491">
                  <c:v>42885</c:v>
                </c:pt>
                <c:pt idx="492">
                  <c:v>42892</c:v>
                </c:pt>
                <c:pt idx="493">
                  <c:v>42899</c:v>
                </c:pt>
                <c:pt idx="494">
                  <c:v>42906</c:v>
                </c:pt>
                <c:pt idx="495">
                  <c:v>42913</c:v>
                </c:pt>
                <c:pt idx="496">
                  <c:v>42920</c:v>
                </c:pt>
                <c:pt idx="497">
                  <c:v>42927</c:v>
                </c:pt>
                <c:pt idx="498">
                  <c:v>42934</c:v>
                </c:pt>
                <c:pt idx="499">
                  <c:v>42941</c:v>
                </c:pt>
                <c:pt idx="500">
                  <c:v>42948</c:v>
                </c:pt>
                <c:pt idx="501">
                  <c:v>42955</c:v>
                </c:pt>
                <c:pt idx="502">
                  <c:v>42962</c:v>
                </c:pt>
                <c:pt idx="503">
                  <c:v>42969</c:v>
                </c:pt>
                <c:pt idx="504">
                  <c:v>42976</c:v>
                </c:pt>
                <c:pt idx="505">
                  <c:v>42983</c:v>
                </c:pt>
                <c:pt idx="506">
                  <c:v>42990</c:v>
                </c:pt>
                <c:pt idx="507">
                  <c:v>42997</c:v>
                </c:pt>
                <c:pt idx="508">
                  <c:v>43004</c:v>
                </c:pt>
                <c:pt idx="509">
                  <c:v>43011</c:v>
                </c:pt>
                <c:pt idx="510">
                  <c:v>43018</c:v>
                </c:pt>
                <c:pt idx="511">
                  <c:v>43025</c:v>
                </c:pt>
                <c:pt idx="512">
                  <c:v>43032</c:v>
                </c:pt>
                <c:pt idx="513">
                  <c:v>43039</c:v>
                </c:pt>
                <c:pt idx="514">
                  <c:v>43046</c:v>
                </c:pt>
                <c:pt idx="515">
                  <c:v>43053</c:v>
                </c:pt>
                <c:pt idx="516">
                  <c:v>43060</c:v>
                </c:pt>
                <c:pt idx="517">
                  <c:v>43067</c:v>
                </c:pt>
                <c:pt idx="518">
                  <c:v>43074</c:v>
                </c:pt>
                <c:pt idx="519">
                  <c:v>43081</c:v>
                </c:pt>
                <c:pt idx="520">
                  <c:v>43088</c:v>
                </c:pt>
                <c:pt idx="521">
                  <c:v>43095</c:v>
                </c:pt>
                <c:pt idx="522">
                  <c:v>43102</c:v>
                </c:pt>
                <c:pt idx="523">
                  <c:v>43109</c:v>
                </c:pt>
                <c:pt idx="524">
                  <c:v>43116</c:v>
                </c:pt>
                <c:pt idx="525">
                  <c:v>43123</c:v>
                </c:pt>
                <c:pt idx="526">
                  <c:v>43130</c:v>
                </c:pt>
                <c:pt idx="527">
                  <c:v>43137</c:v>
                </c:pt>
                <c:pt idx="528">
                  <c:v>43144</c:v>
                </c:pt>
                <c:pt idx="529">
                  <c:v>43151</c:v>
                </c:pt>
                <c:pt idx="530">
                  <c:v>43158</c:v>
                </c:pt>
                <c:pt idx="531">
                  <c:v>43165</c:v>
                </c:pt>
                <c:pt idx="532">
                  <c:v>43172</c:v>
                </c:pt>
                <c:pt idx="533">
                  <c:v>43179</c:v>
                </c:pt>
                <c:pt idx="534">
                  <c:v>43186</c:v>
                </c:pt>
                <c:pt idx="535">
                  <c:v>43193</c:v>
                </c:pt>
                <c:pt idx="536">
                  <c:v>43200</c:v>
                </c:pt>
                <c:pt idx="537">
                  <c:v>43207</c:v>
                </c:pt>
                <c:pt idx="538">
                  <c:v>43214</c:v>
                </c:pt>
                <c:pt idx="539">
                  <c:v>43221</c:v>
                </c:pt>
                <c:pt idx="540">
                  <c:v>43228</c:v>
                </c:pt>
                <c:pt idx="541">
                  <c:v>43235</c:v>
                </c:pt>
                <c:pt idx="542">
                  <c:v>43242</c:v>
                </c:pt>
                <c:pt idx="543">
                  <c:v>43249</c:v>
                </c:pt>
                <c:pt idx="544">
                  <c:v>43256</c:v>
                </c:pt>
                <c:pt idx="545">
                  <c:v>43263</c:v>
                </c:pt>
                <c:pt idx="546">
                  <c:v>43270</c:v>
                </c:pt>
                <c:pt idx="547">
                  <c:v>43277</c:v>
                </c:pt>
                <c:pt idx="548">
                  <c:v>43284</c:v>
                </c:pt>
                <c:pt idx="549">
                  <c:v>43291</c:v>
                </c:pt>
                <c:pt idx="550">
                  <c:v>43298</c:v>
                </c:pt>
                <c:pt idx="551">
                  <c:v>43305</c:v>
                </c:pt>
                <c:pt idx="552">
                  <c:v>43312</c:v>
                </c:pt>
                <c:pt idx="553">
                  <c:v>43319</c:v>
                </c:pt>
                <c:pt idx="554">
                  <c:v>43326</c:v>
                </c:pt>
                <c:pt idx="555">
                  <c:v>43333</c:v>
                </c:pt>
                <c:pt idx="556">
                  <c:v>43340</c:v>
                </c:pt>
                <c:pt idx="557">
                  <c:v>43347</c:v>
                </c:pt>
                <c:pt idx="558">
                  <c:v>43354</c:v>
                </c:pt>
                <c:pt idx="559">
                  <c:v>43361</c:v>
                </c:pt>
                <c:pt idx="560">
                  <c:v>43368</c:v>
                </c:pt>
                <c:pt idx="561">
                  <c:v>43375</c:v>
                </c:pt>
                <c:pt idx="562">
                  <c:v>43382</c:v>
                </c:pt>
                <c:pt idx="563">
                  <c:v>43389</c:v>
                </c:pt>
                <c:pt idx="564">
                  <c:v>43396</c:v>
                </c:pt>
                <c:pt idx="565">
                  <c:v>43403</c:v>
                </c:pt>
                <c:pt idx="566">
                  <c:v>43410</c:v>
                </c:pt>
                <c:pt idx="567">
                  <c:v>43417</c:v>
                </c:pt>
                <c:pt idx="568">
                  <c:v>43424</c:v>
                </c:pt>
                <c:pt idx="569">
                  <c:v>43431</c:v>
                </c:pt>
                <c:pt idx="570">
                  <c:v>43438</c:v>
                </c:pt>
                <c:pt idx="571">
                  <c:v>43445</c:v>
                </c:pt>
                <c:pt idx="572">
                  <c:v>43452</c:v>
                </c:pt>
                <c:pt idx="573">
                  <c:v>43459</c:v>
                </c:pt>
                <c:pt idx="574">
                  <c:v>43466</c:v>
                </c:pt>
                <c:pt idx="575">
                  <c:v>43473</c:v>
                </c:pt>
                <c:pt idx="576">
                  <c:v>43480</c:v>
                </c:pt>
                <c:pt idx="577">
                  <c:v>43487</c:v>
                </c:pt>
                <c:pt idx="578">
                  <c:v>43494</c:v>
                </c:pt>
                <c:pt idx="579">
                  <c:v>43501</c:v>
                </c:pt>
                <c:pt idx="580">
                  <c:v>43508</c:v>
                </c:pt>
                <c:pt idx="581">
                  <c:v>43515</c:v>
                </c:pt>
                <c:pt idx="582">
                  <c:v>43522</c:v>
                </c:pt>
                <c:pt idx="583">
                  <c:v>43529</c:v>
                </c:pt>
                <c:pt idx="584">
                  <c:v>43536</c:v>
                </c:pt>
                <c:pt idx="585">
                  <c:v>43543</c:v>
                </c:pt>
                <c:pt idx="586">
                  <c:v>43550</c:v>
                </c:pt>
                <c:pt idx="587">
                  <c:v>43557</c:v>
                </c:pt>
                <c:pt idx="588">
                  <c:v>43564</c:v>
                </c:pt>
                <c:pt idx="589">
                  <c:v>43571</c:v>
                </c:pt>
                <c:pt idx="590">
                  <c:v>43578</c:v>
                </c:pt>
                <c:pt idx="591">
                  <c:v>43585</c:v>
                </c:pt>
                <c:pt idx="592">
                  <c:v>43592</c:v>
                </c:pt>
                <c:pt idx="593">
                  <c:v>43599</c:v>
                </c:pt>
                <c:pt idx="594">
                  <c:v>43606</c:v>
                </c:pt>
                <c:pt idx="595">
                  <c:v>43613</c:v>
                </c:pt>
                <c:pt idx="596">
                  <c:v>43620</c:v>
                </c:pt>
                <c:pt idx="597">
                  <c:v>43627</c:v>
                </c:pt>
                <c:pt idx="598">
                  <c:v>43634</c:v>
                </c:pt>
                <c:pt idx="599">
                  <c:v>43641</c:v>
                </c:pt>
                <c:pt idx="600">
                  <c:v>43648</c:v>
                </c:pt>
                <c:pt idx="601">
                  <c:v>43655</c:v>
                </c:pt>
                <c:pt idx="602">
                  <c:v>43662</c:v>
                </c:pt>
                <c:pt idx="603">
                  <c:v>43669</c:v>
                </c:pt>
                <c:pt idx="604">
                  <c:v>43676</c:v>
                </c:pt>
                <c:pt idx="605">
                  <c:v>43683</c:v>
                </c:pt>
                <c:pt idx="606">
                  <c:v>43690</c:v>
                </c:pt>
                <c:pt idx="607">
                  <c:v>43697</c:v>
                </c:pt>
                <c:pt idx="608">
                  <c:v>43704</c:v>
                </c:pt>
                <c:pt idx="609">
                  <c:v>43711</c:v>
                </c:pt>
                <c:pt idx="610">
                  <c:v>43718</c:v>
                </c:pt>
                <c:pt idx="611">
                  <c:v>43725</c:v>
                </c:pt>
                <c:pt idx="612">
                  <c:v>43732</c:v>
                </c:pt>
                <c:pt idx="613">
                  <c:v>43739</c:v>
                </c:pt>
                <c:pt idx="614">
                  <c:v>43746</c:v>
                </c:pt>
                <c:pt idx="615">
                  <c:v>43753</c:v>
                </c:pt>
                <c:pt idx="616">
                  <c:v>43760</c:v>
                </c:pt>
                <c:pt idx="617">
                  <c:v>43767</c:v>
                </c:pt>
                <c:pt idx="618">
                  <c:v>43774</c:v>
                </c:pt>
                <c:pt idx="619">
                  <c:v>43781</c:v>
                </c:pt>
                <c:pt idx="620">
                  <c:v>43788</c:v>
                </c:pt>
                <c:pt idx="621">
                  <c:v>43795</c:v>
                </c:pt>
                <c:pt idx="622">
                  <c:v>43802</c:v>
                </c:pt>
                <c:pt idx="623">
                  <c:v>43809</c:v>
                </c:pt>
                <c:pt idx="624">
                  <c:v>43816</c:v>
                </c:pt>
                <c:pt idx="625">
                  <c:v>43823</c:v>
                </c:pt>
                <c:pt idx="626">
                  <c:v>43830</c:v>
                </c:pt>
                <c:pt idx="627">
                  <c:v>43837</c:v>
                </c:pt>
                <c:pt idx="628">
                  <c:v>43844</c:v>
                </c:pt>
                <c:pt idx="629">
                  <c:v>43851</c:v>
                </c:pt>
                <c:pt idx="630">
                  <c:v>43858</c:v>
                </c:pt>
                <c:pt idx="631">
                  <c:v>43865</c:v>
                </c:pt>
                <c:pt idx="632">
                  <c:v>43872</c:v>
                </c:pt>
                <c:pt idx="633">
                  <c:v>43879</c:v>
                </c:pt>
                <c:pt idx="634">
                  <c:v>43886</c:v>
                </c:pt>
                <c:pt idx="635">
                  <c:v>43893</c:v>
                </c:pt>
                <c:pt idx="636">
                  <c:v>43900</c:v>
                </c:pt>
                <c:pt idx="637">
                  <c:v>43907</c:v>
                </c:pt>
                <c:pt idx="638">
                  <c:v>43914</c:v>
                </c:pt>
                <c:pt idx="639">
                  <c:v>43921</c:v>
                </c:pt>
                <c:pt idx="640">
                  <c:v>43928</c:v>
                </c:pt>
                <c:pt idx="641">
                  <c:v>43935</c:v>
                </c:pt>
                <c:pt idx="642">
                  <c:v>43942</c:v>
                </c:pt>
                <c:pt idx="643">
                  <c:v>43949</c:v>
                </c:pt>
                <c:pt idx="644">
                  <c:v>43956</c:v>
                </c:pt>
                <c:pt idx="645">
                  <c:v>43963</c:v>
                </c:pt>
                <c:pt idx="646">
                  <c:v>43970</c:v>
                </c:pt>
                <c:pt idx="647">
                  <c:v>43977</c:v>
                </c:pt>
                <c:pt idx="648">
                  <c:v>43984</c:v>
                </c:pt>
                <c:pt idx="649">
                  <c:v>43991</c:v>
                </c:pt>
                <c:pt idx="650">
                  <c:v>43998</c:v>
                </c:pt>
                <c:pt idx="651">
                  <c:v>44005</c:v>
                </c:pt>
                <c:pt idx="652">
                  <c:v>44012</c:v>
                </c:pt>
                <c:pt idx="653">
                  <c:v>44019</c:v>
                </c:pt>
                <c:pt idx="654">
                  <c:v>44026</c:v>
                </c:pt>
                <c:pt idx="655">
                  <c:v>44033</c:v>
                </c:pt>
                <c:pt idx="656">
                  <c:v>44040</c:v>
                </c:pt>
                <c:pt idx="657">
                  <c:v>44047</c:v>
                </c:pt>
                <c:pt idx="658">
                  <c:v>44054</c:v>
                </c:pt>
                <c:pt idx="659">
                  <c:v>44061</c:v>
                </c:pt>
                <c:pt idx="660">
                  <c:v>44068</c:v>
                </c:pt>
                <c:pt idx="661">
                  <c:v>44075</c:v>
                </c:pt>
                <c:pt idx="662">
                  <c:v>44082</c:v>
                </c:pt>
                <c:pt idx="663">
                  <c:v>44089</c:v>
                </c:pt>
                <c:pt idx="664">
                  <c:v>44096</c:v>
                </c:pt>
                <c:pt idx="665">
                  <c:v>44103</c:v>
                </c:pt>
                <c:pt idx="666">
                  <c:v>44110</c:v>
                </c:pt>
                <c:pt idx="667">
                  <c:v>44117</c:v>
                </c:pt>
                <c:pt idx="668">
                  <c:v>44124</c:v>
                </c:pt>
                <c:pt idx="669">
                  <c:v>44131</c:v>
                </c:pt>
                <c:pt idx="670">
                  <c:v>44138</c:v>
                </c:pt>
                <c:pt idx="671">
                  <c:v>44145</c:v>
                </c:pt>
                <c:pt idx="672">
                  <c:v>44152</c:v>
                </c:pt>
                <c:pt idx="673">
                  <c:v>44159</c:v>
                </c:pt>
                <c:pt idx="674">
                  <c:v>44166</c:v>
                </c:pt>
                <c:pt idx="675">
                  <c:v>44173</c:v>
                </c:pt>
                <c:pt idx="676">
                  <c:v>44180</c:v>
                </c:pt>
                <c:pt idx="677">
                  <c:v>44187</c:v>
                </c:pt>
                <c:pt idx="678">
                  <c:v>44194</c:v>
                </c:pt>
                <c:pt idx="679">
                  <c:v>44201</c:v>
                </c:pt>
                <c:pt idx="680">
                  <c:v>44208</c:v>
                </c:pt>
                <c:pt idx="681">
                  <c:v>44215</c:v>
                </c:pt>
                <c:pt idx="682">
                  <c:v>44222</c:v>
                </c:pt>
                <c:pt idx="683">
                  <c:v>44229</c:v>
                </c:pt>
                <c:pt idx="684">
                  <c:v>44236</c:v>
                </c:pt>
                <c:pt idx="685">
                  <c:v>44243</c:v>
                </c:pt>
                <c:pt idx="686">
                  <c:v>44250</c:v>
                </c:pt>
                <c:pt idx="687">
                  <c:v>44257</c:v>
                </c:pt>
                <c:pt idx="688">
                  <c:v>44264</c:v>
                </c:pt>
                <c:pt idx="689">
                  <c:v>44271</c:v>
                </c:pt>
                <c:pt idx="690">
                  <c:v>44278</c:v>
                </c:pt>
                <c:pt idx="691">
                  <c:v>44285</c:v>
                </c:pt>
                <c:pt idx="692">
                  <c:v>44292</c:v>
                </c:pt>
                <c:pt idx="693">
                  <c:v>44299</c:v>
                </c:pt>
                <c:pt idx="694">
                  <c:v>44306</c:v>
                </c:pt>
                <c:pt idx="695">
                  <c:v>44313</c:v>
                </c:pt>
                <c:pt idx="696">
                  <c:v>44320</c:v>
                </c:pt>
                <c:pt idx="697">
                  <c:v>44327</c:v>
                </c:pt>
                <c:pt idx="698">
                  <c:v>44334</c:v>
                </c:pt>
                <c:pt idx="699">
                  <c:v>44341</c:v>
                </c:pt>
                <c:pt idx="700">
                  <c:v>44348</c:v>
                </c:pt>
                <c:pt idx="701">
                  <c:v>44355</c:v>
                </c:pt>
                <c:pt idx="702">
                  <c:v>44362</c:v>
                </c:pt>
                <c:pt idx="703">
                  <c:v>44369</c:v>
                </c:pt>
                <c:pt idx="704">
                  <c:v>44376</c:v>
                </c:pt>
                <c:pt idx="705">
                  <c:v>44383</c:v>
                </c:pt>
                <c:pt idx="706">
                  <c:v>44390</c:v>
                </c:pt>
                <c:pt idx="707">
                  <c:v>44397</c:v>
                </c:pt>
                <c:pt idx="708">
                  <c:v>44404</c:v>
                </c:pt>
                <c:pt idx="709">
                  <c:v>44411</c:v>
                </c:pt>
                <c:pt idx="710">
                  <c:v>44418</c:v>
                </c:pt>
                <c:pt idx="711">
                  <c:v>44425</c:v>
                </c:pt>
                <c:pt idx="712">
                  <c:v>44432</c:v>
                </c:pt>
                <c:pt idx="713">
                  <c:v>44439</c:v>
                </c:pt>
                <c:pt idx="714">
                  <c:v>44446</c:v>
                </c:pt>
                <c:pt idx="715">
                  <c:v>44453</c:v>
                </c:pt>
                <c:pt idx="716">
                  <c:v>44460</c:v>
                </c:pt>
                <c:pt idx="717">
                  <c:v>44467</c:v>
                </c:pt>
                <c:pt idx="718">
                  <c:v>44474</c:v>
                </c:pt>
                <c:pt idx="719">
                  <c:v>44481</c:v>
                </c:pt>
                <c:pt idx="720">
                  <c:v>44488</c:v>
                </c:pt>
                <c:pt idx="721">
                  <c:v>44495</c:v>
                </c:pt>
                <c:pt idx="722">
                  <c:v>44502</c:v>
                </c:pt>
                <c:pt idx="723">
                  <c:v>44509</c:v>
                </c:pt>
                <c:pt idx="724">
                  <c:v>44516</c:v>
                </c:pt>
                <c:pt idx="725">
                  <c:v>44523</c:v>
                </c:pt>
                <c:pt idx="726">
                  <c:v>44530</c:v>
                </c:pt>
                <c:pt idx="727">
                  <c:v>44537</c:v>
                </c:pt>
                <c:pt idx="728">
                  <c:v>44544</c:v>
                </c:pt>
                <c:pt idx="729">
                  <c:v>44551</c:v>
                </c:pt>
                <c:pt idx="730">
                  <c:v>44558</c:v>
                </c:pt>
                <c:pt idx="731">
                  <c:v>44565</c:v>
                </c:pt>
                <c:pt idx="732">
                  <c:v>44572</c:v>
                </c:pt>
                <c:pt idx="733">
                  <c:v>44579</c:v>
                </c:pt>
                <c:pt idx="734">
                  <c:v>44586</c:v>
                </c:pt>
                <c:pt idx="735">
                  <c:v>44593</c:v>
                </c:pt>
                <c:pt idx="736">
                  <c:v>44600</c:v>
                </c:pt>
                <c:pt idx="737">
                  <c:v>44607</c:v>
                </c:pt>
                <c:pt idx="738">
                  <c:v>44614</c:v>
                </c:pt>
                <c:pt idx="739">
                  <c:v>44621</c:v>
                </c:pt>
                <c:pt idx="740">
                  <c:v>44628</c:v>
                </c:pt>
                <c:pt idx="741">
                  <c:v>44635</c:v>
                </c:pt>
                <c:pt idx="742">
                  <c:v>44642</c:v>
                </c:pt>
                <c:pt idx="743">
                  <c:v>44649</c:v>
                </c:pt>
                <c:pt idx="744">
                  <c:v>44656</c:v>
                </c:pt>
                <c:pt idx="745">
                  <c:v>44663</c:v>
                </c:pt>
                <c:pt idx="746">
                  <c:v>44670</c:v>
                </c:pt>
                <c:pt idx="747">
                  <c:v>44677</c:v>
                </c:pt>
                <c:pt idx="748">
                  <c:v>44684</c:v>
                </c:pt>
                <c:pt idx="749">
                  <c:v>44691</c:v>
                </c:pt>
                <c:pt idx="750">
                  <c:v>44698</c:v>
                </c:pt>
                <c:pt idx="751">
                  <c:v>44705</c:v>
                </c:pt>
                <c:pt idx="752">
                  <c:v>44712</c:v>
                </c:pt>
                <c:pt idx="753">
                  <c:v>44719</c:v>
                </c:pt>
                <c:pt idx="754">
                  <c:v>44726</c:v>
                </c:pt>
                <c:pt idx="755">
                  <c:v>44733</c:v>
                </c:pt>
                <c:pt idx="756">
                  <c:v>44740</c:v>
                </c:pt>
                <c:pt idx="757">
                  <c:v>44747</c:v>
                </c:pt>
                <c:pt idx="758">
                  <c:v>44754</c:v>
                </c:pt>
                <c:pt idx="759">
                  <c:v>44761</c:v>
                </c:pt>
                <c:pt idx="760">
                  <c:v>44768</c:v>
                </c:pt>
                <c:pt idx="761">
                  <c:v>44775</c:v>
                </c:pt>
                <c:pt idx="762">
                  <c:v>44782</c:v>
                </c:pt>
                <c:pt idx="763">
                  <c:v>44789</c:v>
                </c:pt>
                <c:pt idx="764">
                  <c:v>44796</c:v>
                </c:pt>
                <c:pt idx="765">
                  <c:v>44803</c:v>
                </c:pt>
                <c:pt idx="766">
                  <c:v>44810</c:v>
                </c:pt>
                <c:pt idx="767">
                  <c:v>44817</c:v>
                </c:pt>
                <c:pt idx="768">
                  <c:v>44824</c:v>
                </c:pt>
                <c:pt idx="769">
                  <c:v>44831</c:v>
                </c:pt>
                <c:pt idx="770">
                  <c:v>44838</c:v>
                </c:pt>
                <c:pt idx="771">
                  <c:v>44845</c:v>
                </c:pt>
                <c:pt idx="772">
                  <c:v>44852</c:v>
                </c:pt>
                <c:pt idx="773">
                  <c:v>44859</c:v>
                </c:pt>
                <c:pt idx="774">
                  <c:v>44866</c:v>
                </c:pt>
                <c:pt idx="775">
                  <c:v>44873</c:v>
                </c:pt>
                <c:pt idx="776">
                  <c:v>44880</c:v>
                </c:pt>
                <c:pt idx="777">
                  <c:v>44887</c:v>
                </c:pt>
                <c:pt idx="778">
                  <c:v>44894</c:v>
                </c:pt>
                <c:pt idx="779">
                  <c:v>44901</c:v>
                </c:pt>
                <c:pt idx="780">
                  <c:v>44908</c:v>
                </c:pt>
                <c:pt idx="781">
                  <c:v>44915</c:v>
                </c:pt>
                <c:pt idx="782">
                  <c:v>44922</c:v>
                </c:pt>
                <c:pt idx="783">
                  <c:v>44929</c:v>
                </c:pt>
                <c:pt idx="784">
                  <c:v>44936</c:v>
                </c:pt>
                <c:pt idx="785">
                  <c:v>44943</c:v>
                </c:pt>
                <c:pt idx="786">
                  <c:v>44950</c:v>
                </c:pt>
                <c:pt idx="787">
                  <c:v>44957</c:v>
                </c:pt>
                <c:pt idx="788">
                  <c:v>44964</c:v>
                </c:pt>
                <c:pt idx="789">
                  <c:v>44971</c:v>
                </c:pt>
                <c:pt idx="790">
                  <c:v>44978</c:v>
                </c:pt>
                <c:pt idx="791">
                  <c:v>44985</c:v>
                </c:pt>
                <c:pt idx="792">
                  <c:v>44992</c:v>
                </c:pt>
                <c:pt idx="793">
                  <c:v>44999</c:v>
                </c:pt>
                <c:pt idx="794">
                  <c:v>45006</c:v>
                </c:pt>
                <c:pt idx="795">
                  <c:v>45013</c:v>
                </c:pt>
                <c:pt idx="796">
                  <c:v>45020</c:v>
                </c:pt>
                <c:pt idx="797">
                  <c:v>45027</c:v>
                </c:pt>
                <c:pt idx="798">
                  <c:v>45034</c:v>
                </c:pt>
                <c:pt idx="799">
                  <c:v>45041</c:v>
                </c:pt>
                <c:pt idx="800">
                  <c:v>45048</c:v>
                </c:pt>
                <c:pt idx="801">
                  <c:v>45055</c:v>
                </c:pt>
                <c:pt idx="802">
                  <c:v>45062</c:v>
                </c:pt>
                <c:pt idx="803">
                  <c:v>45069</c:v>
                </c:pt>
                <c:pt idx="804">
                  <c:v>45076</c:v>
                </c:pt>
                <c:pt idx="805">
                  <c:v>45083</c:v>
                </c:pt>
                <c:pt idx="806">
                  <c:v>45090</c:v>
                </c:pt>
                <c:pt idx="807">
                  <c:v>45097</c:v>
                </c:pt>
                <c:pt idx="808">
                  <c:v>45104</c:v>
                </c:pt>
                <c:pt idx="809">
                  <c:v>45111</c:v>
                </c:pt>
                <c:pt idx="810">
                  <c:v>45118</c:v>
                </c:pt>
                <c:pt idx="811">
                  <c:v>45125</c:v>
                </c:pt>
                <c:pt idx="812">
                  <c:v>45132</c:v>
                </c:pt>
                <c:pt idx="813">
                  <c:v>45139</c:v>
                </c:pt>
                <c:pt idx="814">
                  <c:v>45146</c:v>
                </c:pt>
                <c:pt idx="815">
                  <c:v>45153</c:v>
                </c:pt>
                <c:pt idx="816">
                  <c:v>45160</c:v>
                </c:pt>
                <c:pt idx="817">
                  <c:v>45167</c:v>
                </c:pt>
                <c:pt idx="818">
                  <c:v>45174</c:v>
                </c:pt>
                <c:pt idx="819">
                  <c:v>45181</c:v>
                </c:pt>
                <c:pt idx="820">
                  <c:v>45188</c:v>
                </c:pt>
                <c:pt idx="821">
                  <c:v>45195</c:v>
                </c:pt>
                <c:pt idx="822">
                  <c:v>45202</c:v>
                </c:pt>
                <c:pt idx="823">
                  <c:v>45209</c:v>
                </c:pt>
                <c:pt idx="824">
                  <c:v>45216</c:v>
                </c:pt>
                <c:pt idx="825">
                  <c:v>45223</c:v>
                </c:pt>
                <c:pt idx="826">
                  <c:v>45230</c:v>
                </c:pt>
                <c:pt idx="827">
                  <c:v>45237</c:v>
                </c:pt>
                <c:pt idx="828">
                  <c:v>45244</c:v>
                </c:pt>
                <c:pt idx="829">
                  <c:v>45251</c:v>
                </c:pt>
                <c:pt idx="830">
                  <c:v>45258</c:v>
                </c:pt>
                <c:pt idx="831">
                  <c:v>45265</c:v>
                </c:pt>
                <c:pt idx="832">
                  <c:v>45272</c:v>
                </c:pt>
                <c:pt idx="833">
                  <c:v>45279</c:v>
                </c:pt>
                <c:pt idx="834">
                  <c:v>45286</c:v>
                </c:pt>
                <c:pt idx="835">
                  <c:v>45293</c:v>
                </c:pt>
                <c:pt idx="836">
                  <c:v>45300</c:v>
                </c:pt>
                <c:pt idx="837">
                  <c:v>45307</c:v>
                </c:pt>
                <c:pt idx="838">
                  <c:v>45314</c:v>
                </c:pt>
                <c:pt idx="839">
                  <c:v>45321</c:v>
                </c:pt>
                <c:pt idx="840">
                  <c:v>45328</c:v>
                </c:pt>
                <c:pt idx="841">
                  <c:v>45335</c:v>
                </c:pt>
                <c:pt idx="842">
                  <c:v>45342</c:v>
                </c:pt>
                <c:pt idx="843">
                  <c:v>45349</c:v>
                </c:pt>
                <c:pt idx="844">
                  <c:v>45356</c:v>
                </c:pt>
                <c:pt idx="845">
                  <c:v>45363</c:v>
                </c:pt>
                <c:pt idx="846">
                  <c:v>45370</c:v>
                </c:pt>
                <c:pt idx="847">
                  <c:v>45377</c:v>
                </c:pt>
                <c:pt idx="848">
                  <c:v>45384</c:v>
                </c:pt>
                <c:pt idx="849">
                  <c:v>45391</c:v>
                </c:pt>
                <c:pt idx="850">
                  <c:v>45398</c:v>
                </c:pt>
                <c:pt idx="851">
                  <c:v>45405</c:v>
                </c:pt>
                <c:pt idx="852">
                  <c:v>45412</c:v>
                </c:pt>
                <c:pt idx="853">
                  <c:v>45419</c:v>
                </c:pt>
                <c:pt idx="854">
                  <c:v>45426</c:v>
                </c:pt>
                <c:pt idx="855">
                  <c:v>45433</c:v>
                </c:pt>
                <c:pt idx="856">
                  <c:v>45440</c:v>
                </c:pt>
                <c:pt idx="857">
                  <c:v>45447</c:v>
                </c:pt>
                <c:pt idx="858">
                  <c:v>45454</c:v>
                </c:pt>
                <c:pt idx="859">
                  <c:v>45461</c:v>
                </c:pt>
                <c:pt idx="860">
                  <c:v>45468</c:v>
                </c:pt>
                <c:pt idx="861">
                  <c:v>45475</c:v>
                </c:pt>
                <c:pt idx="862">
                  <c:v>45482</c:v>
                </c:pt>
                <c:pt idx="863">
                  <c:v>45489</c:v>
                </c:pt>
                <c:pt idx="864">
                  <c:v>45496</c:v>
                </c:pt>
                <c:pt idx="865">
                  <c:v>45503</c:v>
                </c:pt>
                <c:pt idx="866">
                  <c:v>45510</c:v>
                </c:pt>
                <c:pt idx="867">
                  <c:v>45517</c:v>
                </c:pt>
                <c:pt idx="868">
                  <c:v>45524</c:v>
                </c:pt>
                <c:pt idx="869">
                  <c:v>45531</c:v>
                </c:pt>
                <c:pt idx="870">
                  <c:v>45538</c:v>
                </c:pt>
                <c:pt idx="871">
                  <c:v>45545</c:v>
                </c:pt>
                <c:pt idx="872">
                  <c:v>45552</c:v>
                </c:pt>
                <c:pt idx="873">
                  <c:v>45559</c:v>
                </c:pt>
                <c:pt idx="874">
                  <c:v>45566</c:v>
                </c:pt>
                <c:pt idx="875">
                  <c:v>45573</c:v>
                </c:pt>
                <c:pt idx="876">
                  <c:v>45580</c:v>
                </c:pt>
                <c:pt idx="877">
                  <c:v>45587</c:v>
                </c:pt>
                <c:pt idx="878">
                  <c:v>45594</c:v>
                </c:pt>
                <c:pt idx="879">
                  <c:v>45601</c:v>
                </c:pt>
                <c:pt idx="880">
                  <c:v>45608</c:v>
                </c:pt>
                <c:pt idx="881">
                  <c:v>45615</c:v>
                </c:pt>
                <c:pt idx="882">
                  <c:v>45622</c:v>
                </c:pt>
                <c:pt idx="883">
                  <c:v>45629</c:v>
                </c:pt>
                <c:pt idx="884">
                  <c:v>45636</c:v>
                </c:pt>
                <c:pt idx="885">
                  <c:v>45643</c:v>
                </c:pt>
                <c:pt idx="886">
                  <c:v>45650</c:v>
                </c:pt>
                <c:pt idx="887">
                  <c:v>45657</c:v>
                </c:pt>
                <c:pt idx="888">
                  <c:v>45664</c:v>
                </c:pt>
                <c:pt idx="889">
                  <c:v>45671</c:v>
                </c:pt>
                <c:pt idx="890">
                  <c:v>45678</c:v>
                </c:pt>
                <c:pt idx="891">
                  <c:v>45685</c:v>
                </c:pt>
                <c:pt idx="892">
                  <c:v>45692</c:v>
                </c:pt>
                <c:pt idx="893">
                  <c:v>45699</c:v>
                </c:pt>
                <c:pt idx="894">
                  <c:v>45706</c:v>
                </c:pt>
                <c:pt idx="895">
                  <c:v>45713</c:v>
                </c:pt>
                <c:pt idx="896">
                  <c:v>45720</c:v>
                </c:pt>
                <c:pt idx="897">
                  <c:v>45727</c:v>
                </c:pt>
                <c:pt idx="898">
                  <c:v>45734</c:v>
                </c:pt>
                <c:pt idx="899">
                  <c:v>45741</c:v>
                </c:pt>
                <c:pt idx="900">
                  <c:v>45748</c:v>
                </c:pt>
                <c:pt idx="901">
                  <c:v>45755</c:v>
                </c:pt>
                <c:pt idx="902">
                  <c:v>45762</c:v>
                </c:pt>
                <c:pt idx="903">
                  <c:v>45769</c:v>
                </c:pt>
                <c:pt idx="904">
                  <c:v>45776</c:v>
                </c:pt>
                <c:pt idx="905">
                  <c:v>45783</c:v>
                </c:pt>
                <c:pt idx="906">
                  <c:v>45790</c:v>
                </c:pt>
                <c:pt idx="907">
                  <c:v>45797</c:v>
                </c:pt>
                <c:pt idx="908">
                  <c:v>45804</c:v>
                </c:pt>
                <c:pt idx="909">
                  <c:v>45811</c:v>
                </c:pt>
                <c:pt idx="910">
                  <c:v>45818</c:v>
                </c:pt>
                <c:pt idx="911">
                  <c:v>45825</c:v>
                </c:pt>
                <c:pt idx="912">
                  <c:v>45832</c:v>
                </c:pt>
                <c:pt idx="913">
                  <c:v>45839</c:v>
                </c:pt>
                <c:pt idx="914">
                  <c:v>45846</c:v>
                </c:pt>
                <c:pt idx="915">
                  <c:v>45853</c:v>
                </c:pt>
                <c:pt idx="916">
                  <c:v>45860</c:v>
                </c:pt>
                <c:pt idx="917">
                  <c:v>45867</c:v>
                </c:pt>
                <c:pt idx="918">
                  <c:v>45874</c:v>
                </c:pt>
                <c:pt idx="919">
                  <c:v>45881</c:v>
                </c:pt>
                <c:pt idx="920">
                  <c:v>45888</c:v>
                </c:pt>
                <c:pt idx="921">
                  <c:v>45895</c:v>
                </c:pt>
                <c:pt idx="922">
                  <c:v>45902</c:v>
                </c:pt>
                <c:pt idx="923">
                  <c:v>45909</c:v>
                </c:pt>
                <c:pt idx="924">
                  <c:v>45916</c:v>
                </c:pt>
                <c:pt idx="925">
                  <c:v>45923</c:v>
                </c:pt>
                <c:pt idx="926">
                  <c:v>45930</c:v>
                </c:pt>
                <c:pt idx="927">
                  <c:v>45937</c:v>
                </c:pt>
                <c:pt idx="928">
                  <c:v>45944</c:v>
                </c:pt>
                <c:pt idx="929">
                  <c:v>45951</c:v>
                </c:pt>
                <c:pt idx="930">
                  <c:v>45958</c:v>
                </c:pt>
                <c:pt idx="931">
                  <c:v>45965</c:v>
                </c:pt>
                <c:pt idx="932">
                  <c:v>45972</c:v>
                </c:pt>
                <c:pt idx="933">
                  <c:v>45979</c:v>
                </c:pt>
                <c:pt idx="934">
                  <c:v>45986</c:v>
                </c:pt>
                <c:pt idx="935">
                  <c:v>45993</c:v>
                </c:pt>
                <c:pt idx="936">
                  <c:v>46000</c:v>
                </c:pt>
                <c:pt idx="937">
                  <c:v>46007</c:v>
                </c:pt>
                <c:pt idx="938">
                  <c:v>46014</c:v>
                </c:pt>
                <c:pt idx="939">
                  <c:v>46021</c:v>
                </c:pt>
                <c:pt idx="940">
                  <c:v>46028</c:v>
                </c:pt>
                <c:pt idx="941">
                  <c:v>46035</c:v>
                </c:pt>
                <c:pt idx="942">
                  <c:v>46042</c:v>
                </c:pt>
                <c:pt idx="943">
                  <c:v>46049</c:v>
                </c:pt>
                <c:pt idx="944">
                  <c:v>46056</c:v>
                </c:pt>
                <c:pt idx="945">
                  <c:v>46063</c:v>
                </c:pt>
                <c:pt idx="946">
                  <c:v>46070</c:v>
                </c:pt>
                <c:pt idx="947">
                  <c:v>46077</c:v>
                </c:pt>
                <c:pt idx="948">
                  <c:v>46084</c:v>
                </c:pt>
                <c:pt idx="949">
                  <c:v>46091</c:v>
                </c:pt>
                <c:pt idx="950">
                  <c:v>46098</c:v>
                </c:pt>
                <c:pt idx="951">
                  <c:v>46105</c:v>
                </c:pt>
                <c:pt idx="952">
                  <c:v>46112</c:v>
                </c:pt>
                <c:pt idx="953">
                  <c:v>46119</c:v>
                </c:pt>
                <c:pt idx="954">
                  <c:v>46126</c:v>
                </c:pt>
                <c:pt idx="955">
                  <c:v>46133</c:v>
                </c:pt>
                <c:pt idx="956">
                  <c:v>46140</c:v>
                </c:pt>
                <c:pt idx="957">
                  <c:v>46147</c:v>
                </c:pt>
                <c:pt idx="958">
                  <c:v>46154</c:v>
                </c:pt>
                <c:pt idx="959">
                  <c:v>46161</c:v>
                </c:pt>
                <c:pt idx="960">
                  <c:v>46168</c:v>
                </c:pt>
                <c:pt idx="961">
                  <c:v>46175</c:v>
                </c:pt>
                <c:pt idx="962">
                  <c:v>46182</c:v>
                </c:pt>
                <c:pt idx="963">
                  <c:v>46189</c:v>
                </c:pt>
                <c:pt idx="964">
                  <c:v>46196</c:v>
                </c:pt>
                <c:pt idx="965">
                  <c:v>46203</c:v>
                </c:pt>
                <c:pt idx="966">
                  <c:v>46210</c:v>
                </c:pt>
                <c:pt idx="967">
                  <c:v>46217</c:v>
                </c:pt>
                <c:pt idx="968">
                  <c:v>46224</c:v>
                </c:pt>
                <c:pt idx="969">
                  <c:v>46231</c:v>
                </c:pt>
              </c:numCache>
            </c:numRef>
          </c:cat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56-45DE-9D7E-728CF085A7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9788559"/>
        <c:axId val="539790479"/>
      </c:lineChart>
      <c:dateAx>
        <c:axId val="539788559"/>
        <c:scaling>
          <c:orientation val="minMax"/>
        </c:scaling>
        <c:delete val="0"/>
        <c:axPos val="b"/>
        <c:numFmt formatCode="[$-409]d\-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790479"/>
        <c:crosses val="autoZero"/>
        <c:auto val="1"/>
        <c:lblOffset val="100"/>
        <c:baseTimeUnit val="days"/>
      </c:dateAx>
      <c:valAx>
        <c:axId val="539790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788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Sheet1!$AK$97</c:f>
          <c:strCache>
            <c:ptCount val="1"/>
            <c:pt idx="0">
              <c:v>All Crude (F) - Manage Money Short (%) - Last Value: 27.0%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Sheet1!$B$9:$B$985</c:f>
              <c:numCache>
                <c:formatCode>m/d/yyyy</c:formatCode>
                <c:ptCount val="977"/>
                <c:pt idx="0">
                  <c:v>39448</c:v>
                </c:pt>
                <c:pt idx="1">
                  <c:v>39455</c:v>
                </c:pt>
                <c:pt idx="2">
                  <c:v>39462</c:v>
                </c:pt>
                <c:pt idx="3">
                  <c:v>39469</c:v>
                </c:pt>
                <c:pt idx="4">
                  <c:v>39476</c:v>
                </c:pt>
                <c:pt idx="5">
                  <c:v>39483</c:v>
                </c:pt>
                <c:pt idx="6">
                  <c:v>39490</c:v>
                </c:pt>
                <c:pt idx="7">
                  <c:v>39497</c:v>
                </c:pt>
                <c:pt idx="8">
                  <c:v>39504</c:v>
                </c:pt>
                <c:pt idx="9">
                  <c:v>39511</c:v>
                </c:pt>
                <c:pt idx="10">
                  <c:v>39518</c:v>
                </c:pt>
                <c:pt idx="11">
                  <c:v>39525</c:v>
                </c:pt>
                <c:pt idx="12">
                  <c:v>39532</c:v>
                </c:pt>
                <c:pt idx="13">
                  <c:v>39539</c:v>
                </c:pt>
                <c:pt idx="14">
                  <c:v>39546</c:v>
                </c:pt>
                <c:pt idx="15">
                  <c:v>39553</c:v>
                </c:pt>
                <c:pt idx="16">
                  <c:v>39560</c:v>
                </c:pt>
                <c:pt idx="17">
                  <c:v>39567</c:v>
                </c:pt>
                <c:pt idx="18">
                  <c:v>39574</c:v>
                </c:pt>
                <c:pt idx="19">
                  <c:v>39581</c:v>
                </c:pt>
                <c:pt idx="20">
                  <c:v>39588</c:v>
                </c:pt>
                <c:pt idx="21">
                  <c:v>39595</c:v>
                </c:pt>
                <c:pt idx="22">
                  <c:v>39602</c:v>
                </c:pt>
                <c:pt idx="23">
                  <c:v>39609</c:v>
                </c:pt>
                <c:pt idx="24">
                  <c:v>39616</c:v>
                </c:pt>
                <c:pt idx="25">
                  <c:v>39623</c:v>
                </c:pt>
                <c:pt idx="26">
                  <c:v>39630</c:v>
                </c:pt>
                <c:pt idx="27">
                  <c:v>39637</c:v>
                </c:pt>
                <c:pt idx="28">
                  <c:v>39644</c:v>
                </c:pt>
                <c:pt idx="29">
                  <c:v>39651</c:v>
                </c:pt>
                <c:pt idx="30">
                  <c:v>39658</c:v>
                </c:pt>
                <c:pt idx="31">
                  <c:v>39665</c:v>
                </c:pt>
                <c:pt idx="32">
                  <c:v>39672</c:v>
                </c:pt>
                <c:pt idx="33">
                  <c:v>39679</c:v>
                </c:pt>
                <c:pt idx="34">
                  <c:v>39686</c:v>
                </c:pt>
                <c:pt idx="35">
                  <c:v>39693</c:v>
                </c:pt>
                <c:pt idx="36">
                  <c:v>39700</c:v>
                </c:pt>
                <c:pt idx="37">
                  <c:v>39707</c:v>
                </c:pt>
                <c:pt idx="38">
                  <c:v>39714</c:v>
                </c:pt>
                <c:pt idx="39">
                  <c:v>39721</c:v>
                </c:pt>
                <c:pt idx="40">
                  <c:v>39728</c:v>
                </c:pt>
                <c:pt idx="41">
                  <c:v>39735</c:v>
                </c:pt>
                <c:pt idx="42">
                  <c:v>39742</c:v>
                </c:pt>
                <c:pt idx="43">
                  <c:v>39749</c:v>
                </c:pt>
                <c:pt idx="44">
                  <c:v>39756</c:v>
                </c:pt>
                <c:pt idx="45">
                  <c:v>39763</c:v>
                </c:pt>
                <c:pt idx="46">
                  <c:v>39770</c:v>
                </c:pt>
                <c:pt idx="47">
                  <c:v>39777</c:v>
                </c:pt>
                <c:pt idx="48">
                  <c:v>39784</c:v>
                </c:pt>
                <c:pt idx="49">
                  <c:v>39791</c:v>
                </c:pt>
                <c:pt idx="50">
                  <c:v>39798</c:v>
                </c:pt>
                <c:pt idx="51">
                  <c:v>39805</c:v>
                </c:pt>
                <c:pt idx="52">
                  <c:v>39812</c:v>
                </c:pt>
                <c:pt idx="53">
                  <c:v>39819</c:v>
                </c:pt>
                <c:pt idx="54">
                  <c:v>39826</c:v>
                </c:pt>
                <c:pt idx="55">
                  <c:v>39833</c:v>
                </c:pt>
                <c:pt idx="56">
                  <c:v>39840</c:v>
                </c:pt>
                <c:pt idx="57">
                  <c:v>39847</c:v>
                </c:pt>
                <c:pt idx="58">
                  <c:v>39854</c:v>
                </c:pt>
                <c:pt idx="59">
                  <c:v>39861</c:v>
                </c:pt>
                <c:pt idx="60">
                  <c:v>39868</c:v>
                </c:pt>
                <c:pt idx="61">
                  <c:v>39875</c:v>
                </c:pt>
                <c:pt idx="62">
                  <c:v>39882</c:v>
                </c:pt>
                <c:pt idx="63">
                  <c:v>39889</c:v>
                </c:pt>
                <c:pt idx="64">
                  <c:v>39896</c:v>
                </c:pt>
                <c:pt idx="65">
                  <c:v>39903</c:v>
                </c:pt>
                <c:pt idx="66">
                  <c:v>39910</c:v>
                </c:pt>
                <c:pt idx="67">
                  <c:v>39917</c:v>
                </c:pt>
                <c:pt idx="68">
                  <c:v>39924</c:v>
                </c:pt>
                <c:pt idx="69">
                  <c:v>39931</c:v>
                </c:pt>
                <c:pt idx="70">
                  <c:v>39938</c:v>
                </c:pt>
                <c:pt idx="71">
                  <c:v>39945</c:v>
                </c:pt>
                <c:pt idx="72">
                  <c:v>39952</c:v>
                </c:pt>
                <c:pt idx="73">
                  <c:v>39959</c:v>
                </c:pt>
                <c:pt idx="74">
                  <c:v>39966</c:v>
                </c:pt>
                <c:pt idx="75">
                  <c:v>39973</c:v>
                </c:pt>
                <c:pt idx="76">
                  <c:v>39980</c:v>
                </c:pt>
                <c:pt idx="77">
                  <c:v>39987</c:v>
                </c:pt>
                <c:pt idx="78">
                  <c:v>39994</c:v>
                </c:pt>
                <c:pt idx="79">
                  <c:v>40001</c:v>
                </c:pt>
                <c:pt idx="80">
                  <c:v>40008</c:v>
                </c:pt>
                <c:pt idx="81">
                  <c:v>40015</c:v>
                </c:pt>
                <c:pt idx="82">
                  <c:v>40022</c:v>
                </c:pt>
                <c:pt idx="83">
                  <c:v>40029</c:v>
                </c:pt>
                <c:pt idx="84">
                  <c:v>40036</c:v>
                </c:pt>
                <c:pt idx="85">
                  <c:v>40043</c:v>
                </c:pt>
                <c:pt idx="86">
                  <c:v>40050</c:v>
                </c:pt>
                <c:pt idx="87">
                  <c:v>40057</c:v>
                </c:pt>
                <c:pt idx="88">
                  <c:v>40064</c:v>
                </c:pt>
                <c:pt idx="89">
                  <c:v>40071</c:v>
                </c:pt>
                <c:pt idx="90">
                  <c:v>40078</c:v>
                </c:pt>
                <c:pt idx="91">
                  <c:v>40085</c:v>
                </c:pt>
                <c:pt idx="92">
                  <c:v>40092</c:v>
                </c:pt>
                <c:pt idx="93">
                  <c:v>40099</c:v>
                </c:pt>
                <c:pt idx="94">
                  <c:v>40106</c:v>
                </c:pt>
                <c:pt idx="95">
                  <c:v>40113</c:v>
                </c:pt>
                <c:pt idx="96">
                  <c:v>40120</c:v>
                </c:pt>
                <c:pt idx="97">
                  <c:v>40127</c:v>
                </c:pt>
                <c:pt idx="98">
                  <c:v>40134</c:v>
                </c:pt>
                <c:pt idx="99">
                  <c:v>40141</c:v>
                </c:pt>
                <c:pt idx="100">
                  <c:v>40148</c:v>
                </c:pt>
                <c:pt idx="101">
                  <c:v>40155</c:v>
                </c:pt>
                <c:pt idx="102">
                  <c:v>40162</c:v>
                </c:pt>
                <c:pt idx="103">
                  <c:v>40169</c:v>
                </c:pt>
                <c:pt idx="104">
                  <c:v>40176</c:v>
                </c:pt>
                <c:pt idx="105">
                  <c:v>40183</c:v>
                </c:pt>
                <c:pt idx="106">
                  <c:v>40190</c:v>
                </c:pt>
                <c:pt idx="107">
                  <c:v>40197</c:v>
                </c:pt>
                <c:pt idx="108">
                  <c:v>40204</c:v>
                </c:pt>
                <c:pt idx="109">
                  <c:v>40211</c:v>
                </c:pt>
                <c:pt idx="110">
                  <c:v>40218</c:v>
                </c:pt>
                <c:pt idx="111">
                  <c:v>40225</c:v>
                </c:pt>
                <c:pt idx="112">
                  <c:v>40232</c:v>
                </c:pt>
                <c:pt idx="113">
                  <c:v>40239</c:v>
                </c:pt>
                <c:pt idx="114">
                  <c:v>40246</c:v>
                </c:pt>
                <c:pt idx="115">
                  <c:v>40253</c:v>
                </c:pt>
                <c:pt idx="116">
                  <c:v>40260</c:v>
                </c:pt>
                <c:pt idx="117">
                  <c:v>40267</c:v>
                </c:pt>
                <c:pt idx="118">
                  <c:v>40274</c:v>
                </c:pt>
                <c:pt idx="119">
                  <c:v>40281</c:v>
                </c:pt>
                <c:pt idx="120">
                  <c:v>40288</c:v>
                </c:pt>
                <c:pt idx="121">
                  <c:v>40295</c:v>
                </c:pt>
                <c:pt idx="122">
                  <c:v>40302</c:v>
                </c:pt>
                <c:pt idx="123">
                  <c:v>40309</c:v>
                </c:pt>
                <c:pt idx="124">
                  <c:v>40316</c:v>
                </c:pt>
                <c:pt idx="125">
                  <c:v>40323</c:v>
                </c:pt>
                <c:pt idx="126">
                  <c:v>40330</c:v>
                </c:pt>
                <c:pt idx="127">
                  <c:v>40337</c:v>
                </c:pt>
                <c:pt idx="128">
                  <c:v>40344</c:v>
                </c:pt>
                <c:pt idx="129">
                  <c:v>40351</c:v>
                </c:pt>
                <c:pt idx="130">
                  <c:v>40358</c:v>
                </c:pt>
                <c:pt idx="131">
                  <c:v>40365</c:v>
                </c:pt>
                <c:pt idx="132">
                  <c:v>40372</c:v>
                </c:pt>
                <c:pt idx="133">
                  <c:v>40379</c:v>
                </c:pt>
                <c:pt idx="134">
                  <c:v>40386</c:v>
                </c:pt>
                <c:pt idx="135">
                  <c:v>40393</c:v>
                </c:pt>
                <c:pt idx="136">
                  <c:v>40400</c:v>
                </c:pt>
                <c:pt idx="137">
                  <c:v>40407</c:v>
                </c:pt>
                <c:pt idx="138">
                  <c:v>40414</c:v>
                </c:pt>
                <c:pt idx="139">
                  <c:v>40421</c:v>
                </c:pt>
                <c:pt idx="140">
                  <c:v>40428</c:v>
                </c:pt>
                <c:pt idx="141">
                  <c:v>40435</c:v>
                </c:pt>
                <c:pt idx="142">
                  <c:v>40442</c:v>
                </c:pt>
                <c:pt idx="143">
                  <c:v>40449</c:v>
                </c:pt>
                <c:pt idx="144">
                  <c:v>40456</c:v>
                </c:pt>
                <c:pt idx="145">
                  <c:v>40463</c:v>
                </c:pt>
                <c:pt idx="146">
                  <c:v>40470</c:v>
                </c:pt>
                <c:pt idx="147">
                  <c:v>40477</c:v>
                </c:pt>
                <c:pt idx="148">
                  <c:v>40484</c:v>
                </c:pt>
                <c:pt idx="149">
                  <c:v>40491</c:v>
                </c:pt>
                <c:pt idx="150">
                  <c:v>40498</c:v>
                </c:pt>
                <c:pt idx="151">
                  <c:v>40505</c:v>
                </c:pt>
                <c:pt idx="152">
                  <c:v>40512</c:v>
                </c:pt>
                <c:pt idx="153">
                  <c:v>40519</c:v>
                </c:pt>
                <c:pt idx="154">
                  <c:v>40526</c:v>
                </c:pt>
                <c:pt idx="155">
                  <c:v>40533</c:v>
                </c:pt>
                <c:pt idx="156">
                  <c:v>40540</c:v>
                </c:pt>
                <c:pt idx="157">
                  <c:v>40547</c:v>
                </c:pt>
                <c:pt idx="158">
                  <c:v>40554</c:v>
                </c:pt>
                <c:pt idx="159">
                  <c:v>40561</c:v>
                </c:pt>
                <c:pt idx="160">
                  <c:v>40568</c:v>
                </c:pt>
                <c:pt idx="161">
                  <c:v>40575</c:v>
                </c:pt>
                <c:pt idx="162">
                  <c:v>40582</c:v>
                </c:pt>
                <c:pt idx="163">
                  <c:v>40589</c:v>
                </c:pt>
                <c:pt idx="164">
                  <c:v>40596</c:v>
                </c:pt>
                <c:pt idx="165">
                  <c:v>40603</c:v>
                </c:pt>
                <c:pt idx="166">
                  <c:v>40610</c:v>
                </c:pt>
                <c:pt idx="167">
                  <c:v>40617</c:v>
                </c:pt>
                <c:pt idx="168">
                  <c:v>40624</c:v>
                </c:pt>
                <c:pt idx="169">
                  <c:v>40631</c:v>
                </c:pt>
                <c:pt idx="170">
                  <c:v>40638</c:v>
                </c:pt>
                <c:pt idx="171">
                  <c:v>40645</c:v>
                </c:pt>
                <c:pt idx="172">
                  <c:v>40652</c:v>
                </c:pt>
                <c:pt idx="173">
                  <c:v>40659</c:v>
                </c:pt>
                <c:pt idx="174">
                  <c:v>40666</c:v>
                </c:pt>
                <c:pt idx="175">
                  <c:v>40673</c:v>
                </c:pt>
                <c:pt idx="176">
                  <c:v>40680</c:v>
                </c:pt>
                <c:pt idx="177">
                  <c:v>40687</c:v>
                </c:pt>
                <c:pt idx="178">
                  <c:v>40694</c:v>
                </c:pt>
                <c:pt idx="179">
                  <c:v>40701</c:v>
                </c:pt>
                <c:pt idx="180">
                  <c:v>40708</c:v>
                </c:pt>
                <c:pt idx="181">
                  <c:v>40715</c:v>
                </c:pt>
                <c:pt idx="182">
                  <c:v>40722</c:v>
                </c:pt>
                <c:pt idx="183">
                  <c:v>40729</c:v>
                </c:pt>
                <c:pt idx="184">
                  <c:v>40736</c:v>
                </c:pt>
                <c:pt idx="185">
                  <c:v>40743</c:v>
                </c:pt>
                <c:pt idx="186">
                  <c:v>40750</c:v>
                </c:pt>
                <c:pt idx="187">
                  <c:v>40757</c:v>
                </c:pt>
                <c:pt idx="188">
                  <c:v>40764</c:v>
                </c:pt>
                <c:pt idx="189">
                  <c:v>40771</c:v>
                </c:pt>
                <c:pt idx="190">
                  <c:v>40778</c:v>
                </c:pt>
                <c:pt idx="191">
                  <c:v>40785</c:v>
                </c:pt>
                <c:pt idx="192">
                  <c:v>40792</c:v>
                </c:pt>
                <c:pt idx="193">
                  <c:v>40799</c:v>
                </c:pt>
                <c:pt idx="194">
                  <c:v>40806</c:v>
                </c:pt>
                <c:pt idx="195">
                  <c:v>40813</c:v>
                </c:pt>
                <c:pt idx="196">
                  <c:v>40820</c:v>
                </c:pt>
                <c:pt idx="197">
                  <c:v>40827</c:v>
                </c:pt>
                <c:pt idx="198">
                  <c:v>40834</c:v>
                </c:pt>
                <c:pt idx="199">
                  <c:v>40841</c:v>
                </c:pt>
                <c:pt idx="200">
                  <c:v>40848</c:v>
                </c:pt>
                <c:pt idx="201">
                  <c:v>40855</c:v>
                </c:pt>
                <c:pt idx="202">
                  <c:v>40862</c:v>
                </c:pt>
                <c:pt idx="203">
                  <c:v>40869</c:v>
                </c:pt>
                <c:pt idx="204">
                  <c:v>40876</c:v>
                </c:pt>
                <c:pt idx="205">
                  <c:v>40883</c:v>
                </c:pt>
                <c:pt idx="206">
                  <c:v>40890</c:v>
                </c:pt>
                <c:pt idx="207">
                  <c:v>40897</c:v>
                </c:pt>
                <c:pt idx="208">
                  <c:v>40904</c:v>
                </c:pt>
                <c:pt idx="209">
                  <c:v>40911</c:v>
                </c:pt>
                <c:pt idx="210">
                  <c:v>40918</c:v>
                </c:pt>
                <c:pt idx="211">
                  <c:v>40925</c:v>
                </c:pt>
                <c:pt idx="212">
                  <c:v>40932</c:v>
                </c:pt>
                <c:pt idx="213">
                  <c:v>40939</c:v>
                </c:pt>
                <c:pt idx="214">
                  <c:v>40946</c:v>
                </c:pt>
                <c:pt idx="215">
                  <c:v>40953</c:v>
                </c:pt>
                <c:pt idx="216">
                  <c:v>40960</c:v>
                </c:pt>
                <c:pt idx="217">
                  <c:v>40967</c:v>
                </c:pt>
                <c:pt idx="218">
                  <c:v>40974</c:v>
                </c:pt>
                <c:pt idx="219">
                  <c:v>40981</c:v>
                </c:pt>
                <c:pt idx="220">
                  <c:v>40988</c:v>
                </c:pt>
                <c:pt idx="221">
                  <c:v>40995</c:v>
                </c:pt>
                <c:pt idx="222">
                  <c:v>41002</c:v>
                </c:pt>
                <c:pt idx="223">
                  <c:v>41009</c:v>
                </c:pt>
                <c:pt idx="224">
                  <c:v>41016</c:v>
                </c:pt>
                <c:pt idx="225">
                  <c:v>41023</c:v>
                </c:pt>
                <c:pt idx="226">
                  <c:v>41030</c:v>
                </c:pt>
                <c:pt idx="227">
                  <c:v>41037</c:v>
                </c:pt>
                <c:pt idx="228">
                  <c:v>41044</c:v>
                </c:pt>
                <c:pt idx="229">
                  <c:v>41051</c:v>
                </c:pt>
                <c:pt idx="230">
                  <c:v>41058</c:v>
                </c:pt>
                <c:pt idx="231">
                  <c:v>41065</c:v>
                </c:pt>
                <c:pt idx="232">
                  <c:v>41072</c:v>
                </c:pt>
                <c:pt idx="233">
                  <c:v>41079</c:v>
                </c:pt>
                <c:pt idx="234">
                  <c:v>41086</c:v>
                </c:pt>
                <c:pt idx="235">
                  <c:v>41093</c:v>
                </c:pt>
                <c:pt idx="236">
                  <c:v>41100</c:v>
                </c:pt>
                <c:pt idx="237">
                  <c:v>41107</c:v>
                </c:pt>
                <c:pt idx="238">
                  <c:v>41114</c:v>
                </c:pt>
                <c:pt idx="239">
                  <c:v>41121</c:v>
                </c:pt>
                <c:pt idx="240">
                  <c:v>41128</c:v>
                </c:pt>
                <c:pt idx="241">
                  <c:v>41135</c:v>
                </c:pt>
                <c:pt idx="242">
                  <c:v>41142</c:v>
                </c:pt>
                <c:pt idx="243">
                  <c:v>41149</c:v>
                </c:pt>
                <c:pt idx="244">
                  <c:v>41156</c:v>
                </c:pt>
                <c:pt idx="245">
                  <c:v>41163</c:v>
                </c:pt>
                <c:pt idx="246">
                  <c:v>41170</c:v>
                </c:pt>
                <c:pt idx="247">
                  <c:v>41177</c:v>
                </c:pt>
                <c:pt idx="248">
                  <c:v>41184</c:v>
                </c:pt>
                <c:pt idx="249">
                  <c:v>41191</c:v>
                </c:pt>
                <c:pt idx="250">
                  <c:v>41198</c:v>
                </c:pt>
                <c:pt idx="251">
                  <c:v>41205</c:v>
                </c:pt>
                <c:pt idx="252">
                  <c:v>41212</c:v>
                </c:pt>
                <c:pt idx="253">
                  <c:v>41219</c:v>
                </c:pt>
                <c:pt idx="254">
                  <c:v>41226</c:v>
                </c:pt>
                <c:pt idx="255">
                  <c:v>41233</c:v>
                </c:pt>
                <c:pt idx="256">
                  <c:v>41240</c:v>
                </c:pt>
                <c:pt idx="257">
                  <c:v>41247</c:v>
                </c:pt>
                <c:pt idx="258">
                  <c:v>41254</c:v>
                </c:pt>
                <c:pt idx="259">
                  <c:v>41261</c:v>
                </c:pt>
                <c:pt idx="260">
                  <c:v>41268</c:v>
                </c:pt>
                <c:pt idx="261">
                  <c:v>41275</c:v>
                </c:pt>
                <c:pt idx="262">
                  <c:v>41282</c:v>
                </c:pt>
                <c:pt idx="263">
                  <c:v>41289</c:v>
                </c:pt>
                <c:pt idx="264">
                  <c:v>41296</c:v>
                </c:pt>
                <c:pt idx="265">
                  <c:v>41303</c:v>
                </c:pt>
                <c:pt idx="266">
                  <c:v>41310</c:v>
                </c:pt>
                <c:pt idx="267">
                  <c:v>41317</c:v>
                </c:pt>
                <c:pt idx="268">
                  <c:v>41324</c:v>
                </c:pt>
                <c:pt idx="269">
                  <c:v>41331</c:v>
                </c:pt>
                <c:pt idx="270">
                  <c:v>41338</c:v>
                </c:pt>
                <c:pt idx="271">
                  <c:v>41345</c:v>
                </c:pt>
                <c:pt idx="272">
                  <c:v>41352</c:v>
                </c:pt>
                <c:pt idx="273">
                  <c:v>41359</c:v>
                </c:pt>
                <c:pt idx="274">
                  <c:v>41366</c:v>
                </c:pt>
                <c:pt idx="275">
                  <c:v>41373</c:v>
                </c:pt>
                <c:pt idx="276">
                  <c:v>41380</c:v>
                </c:pt>
                <c:pt idx="277">
                  <c:v>41387</c:v>
                </c:pt>
                <c:pt idx="278">
                  <c:v>41394</c:v>
                </c:pt>
                <c:pt idx="279">
                  <c:v>41401</c:v>
                </c:pt>
                <c:pt idx="280">
                  <c:v>41408</c:v>
                </c:pt>
                <c:pt idx="281">
                  <c:v>41415</c:v>
                </c:pt>
                <c:pt idx="282">
                  <c:v>41422</c:v>
                </c:pt>
                <c:pt idx="283">
                  <c:v>41429</c:v>
                </c:pt>
                <c:pt idx="284">
                  <c:v>41436</c:v>
                </c:pt>
                <c:pt idx="285">
                  <c:v>41443</c:v>
                </c:pt>
                <c:pt idx="286">
                  <c:v>41450</c:v>
                </c:pt>
                <c:pt idx="287">
                  <c:v>41457</c:v>
                </c:pt>
                <c:pt idx="288">
                  <c:v>41464</c:v>
                </c:pt>
                <c:pt idx="289">
                  <c:v>41471</c:v>
                </c:pt>
                <c:pt idx="290">
                  <c:v>41478</c:v>
                </c:pt>
                <c:pt idx="291">
                  <c:v>41485</c:v>
                </c:pt>
                <c:pt idx="292">
                  <c:v>41492</c:v>
                </c:pt>
                <c:pt idx="293">
                  <c:v>41499</c:v>
                </c:pt>
                <c:pt idx="294">
                  <c:v>41506</c:v>
                </c:pt>
                <c:pt idx="295">
                  <c:v>41513</c:v>
                </c:pt>
                <c:pt idx="296">
                  <c:v>41520</c:v>
                </c:pt>
                <c:pt idx="297">
                  <c:v>41527</c:v>
                </c:pt>
                <c:pt idx="298">
                  <c:v>41534</c:v>
                </c:pt>
                <c:pt idx="299">
                  <c:v>41541</c:v>
                </c:pt>
                <c:pt idx="300">
                  <c:v>41548</c:v>
                </c:pt>
                <c:pt idx="301">
                  <c:v>41555</c:v>
                </c:pt>
                <c:pt idx="302">
                  <c:v>41562</c:v>
                </c:pt>
                <c:pt idx="303">
                  <c:v>41569</c:v>
                </c:pt>
                <c:pt idx="304">
                  <c:v>41576</c:v>
                </c:pt>
                <c:pt idx="305">
                  <c:v>41583</c:v>
                </c:pt>
                <c:pt idx="306">
                  <c:v>41590</c:v>
                </c:pt>
                <c:pt idx="307">
                  <c:v>41597</c:v>
                </c:pt>
                <c:pt idx="308">
                  <c:v>41604</c:v>
                </c:pt>
                <c:pt idx="309">
                  <c:v>41611</c:v>
                </c:pt>
                <c:pt idx="310">
                  <c:v>41618</c:v>
                </c:pt>
                <c:pt idx="311">
                  <c:v>41625</c:v>
                </c:pt>
                <c:pt idx="312">
                  <c:v>41632</c:v>
                </c:pt>
                <c:pt idx="313">
                  <c:v>41639</c:v>
                </c:pt>
                <c:pt idx="314">
                  <c:v>41646</c:v>
                </c:pt>
                <c:pt idx="315">
                  <c:v>41653</c:v>
                </c:pt>
                <c:pt idx="316">
                  <c:v>41660</c:v>
                </c:pt>
                <c:pt idx="317">
                  <c:v>41667</c:v>
                </c:pt>
                <c:pt idx="318">
                  <c:v>41674</c:v>
                </c:pt>
                <c:pt idx="319">
                  <c:v>41681</c:v>
                </c:pt>
                <c:pt idx="320">
                  <c:v>41688</c:v>
                </c:pt>
                <c:pt idx="321">
                  <c:v>41695</c:v>
                </c:pt>
                <c:pt idx="322">
                  <c:v>41702</c:v>
                </c:pt>
                <c:pt idx="323">
                  <c:v>41709</c:v>
                </c:pt>
                <c:pt idx="324">
                  <c:v>41716</c:v>
                </c:pt>
                <c:pt idx="325">
                  <c:v>41723</c:v>
                </c:pt>
                <c:pt idx="326">
                  <c:v>41730</c:v>
                </c:pt>
                <c:pt idx="327">
                  <c:v>41737</c:v>
                </c:pt>
                <c:pt idx="328">
                  <c:v>41744</c:v>
                </c:pt>
                <c:pt idx="329">
                  <c:v>41751</c:v>
                </c:pt>
                <c:pt idx="330">
                  <c:v>41758</c:v>
                </c:pt>
                <c:pt idx="331">
                  <c:v>41765</c:v>
                </c:pt>
                <c:pt idx="332">
                  <c:v>41772</c:v>
                </c:pt>
                <c:pt idx="333">
                  <c:v>41779</c:v>
                </c:pt>
                <c:pt idx="334">
                  <c:v>41786</c:v>
                </c:pt>
                <c:pt idx="335">
                  <c:v>41793</c:v>
                </c:pt>
                <c:pt idx="336">
                  <c:v>41800</c:v>
                </c:pt>
                <c:pt idx="337">
                  <c:v>41807</c:v>
                </c:pt>
                <c:pt idx="338">
                  <c:v>41814</c:v>
                </c:pt>
                <c:pt idx="339">
                  <c:v>41821</c:v>
                </c:pt>
                <c:pt idx="340">
                  <c:v>41828</c:v>
                </c:pt>
                <c:pt idx="341">
                  <c:v>41835</c:v>
                </c:pt>
                <c:pt idx="342">
                  <c:v>41842</c:v>
                </c:pt>
                <c:pt idx="343">
                  <c:v>41849</c:v>
                </c:pt>
                <c:pt idx="344">
                  <c:v>41856</c:v>
                </c:pt>
                <c:pt idx="345">
                  <c:v>41863</c:v>
                </c:pt>
                <c:pt idx="346">
                  <c:v>41870</c:v>
                </c:pt>
                <c:pt idx="347">
                  <c:v>41877</c:v>
                </c:pt>
                <c:pt idx="348">
                  <c:v>41884</c:v>
                </c:pt>
                <c:pt idx="349">
                  <c:v>41891</c:v>
                </c:pt>
                <c:pt idx="350">
                  <c:v>41898</c:v>
                </c:pt>
                <c:pt idx="351">
                  <c:v>41905</c:v>
                </c:pt>
                <c:pt idx="352">
                  <c:v>41912</c:v>
                </c:pt>
                <c:pt idx="353">
                  <c:v>41919</c:v>
                </c:pt>
                <c:pt idx="354">
                  <c:v>41926</c:v>
                </c:pt>
                <c:pt idx="355">
                  <c:v>41933</c:v>
                </c:pt>
                <c:pt idx="356">
                  <c:v>41940</c:v>
                </c:pt>
                <c:pt idx="357">
                  <c:v>41947</c:v>
                </c:pt>
                <c:pt idx="358">
                  <c:v>41954</c:v>
                </c:pt>
                <c:pt idx="359">
                  <c:v>41961</c:v>
                </c:pt>
                <c:pt idx="360">
                  <c:v>41968</c:v>
                </c:pt>
                <c:pt idx="361">
                  <c:v>41975</c:v>
                </c:pt>
                <c:pt idx="362">
                  <c:v>41982</c:v>
                </c:pt>
                <c:pt idx="363">
                  <c:v>41989</c:v>
                </c:pt>
                <c:pt idx="364">
                  <c:v>41996</c:v>
                </c:pt>
                <c:pt idx="365">
                  <c:v>42003</c:v>
                </c:pt>
                <c:pt idx="366">
                  <c:v>42010</c:v>
                </c:pt>
                <c:pt idx="367">
                  <c:v>42017</c:v>
                </c:pt>
                <c:pt idx="368">
                  <c:v>42024</c:v>
                </c:pt>
                <c:pt idx="369">
                  <c:v>42031</c:v>
                </c:pt>
                <c:pt idx="370">
                  <c:v>42038</c:v>
                </c:pt>
                <c:pt idx="371">
                  <c:v>42045</c:v>
                </c:pt>
                <c:pt idx="372">
                  <c:v>42052</c:v>
                </c:pt>
                <c:pt idx="373">
                  <c:v>42059</c:v>
                </c:pt>
                <c:pt idx="374">
                  <c:v>42066</c:v>
                </c:pt>
                <c:pt idx="375">
                  <c:v>42073</c:v>
                </c:pt>
                <c:pt idx="376">
                  <c:v>42080</c:v>
                </c:pt>
                <c:pt idx="377">
                  <c:v>42087</c:v>
                </c:pt>
                <c:pt idx="378">
                  <c:v>42094</c:v>
                </c:pt>
                <c:pt idx="379">
                  <c:v>42101</c:v>
                </c:pt>
                <c:pt idx="380">
                  <c:v>42108</c:v>
                </c:pt>
                <c:pt idx="381">
                  <c:v>42115</c:v>
                </c:pt>
                <c:pt idx="382">
                  <c:v>42122</c:v>
                </c:pt>
                <c:pt idx="383">
                  <c:v>42129</c:v>
                </c:pt>
                <c:pt idx="384">
                  <c:v>42136</c:v>
                </c:pt>
                <c:pt idx="385">
                  <c:v>42143</c:v>
                </c:pt>
                <c:pt idx="386">
                  <c:v>42150</c:v>
                </c:pt>
                <c:pt idx="387">
                  <c:v>42157</c:v>
                </c:pt>
                <c:pt idx="388">
                  <c:v>42164</c:v>
                </c:pt>
                <c:pt idx="389">
                  <c:v>42171</c:v>
                </c:pt>
                <c:pt idx="390">
                  <c:v>42178</c:v>
                </c:pt>
                <c:pt idx="391">
                  <c:v>42185</c:v>
                </c:pt>
                <c:pt idx="392">
                  <c:v>42192</c:v>
                </c:pt>
                <c:pt idx="393">
                  <c:v>42199</c:v>
                </c:pt>
                <c:pt idx="394">
                  <c:v>42206</c:v>
                </c:pt>
                <c:pt idx="395">
                  <c:v>42213</c:v>
                </c:pt>
                <c:pt idx="396">
                  <c:v>42220</c:v>
                </c:pt>
                <c:pt idx="397">
                  <c:v>42227</c:v>
                </c:pt>
                <c:pt idx="398">
                  <c:v>42234</c:v>
                </c:pt>
                <c:pt idx="399">
                  <c:v>42241</c:v>
                </c:pt>
                <c:pt idx="400">
                  <c:v>42248</c:v>
                </c:pt>
                <c:pt idx="401">
                  <c:v>42255</c:v>
                </c:pt>
                <c:pt idx="402">
                  <c:v>42262</c:v>
                </c:pt>
                <c:pt idx="403">
                  <c:v>42269</c:v>
                </c:pt>
                <c:pt idx="404">
                  <c:v>42276</c:v>
                </c:pt>
                <c:pt idx="405">
                  <c:v>42283</c:v>
                </c:pt>
                <c:pt idx="406">
                  <c:v>42290</c:v>
                </c:pt>
                <c:pt idx="407">
                  <c:v>42297</c:v>
                </c:pt>
                <c:pt idx="408">
                  <c:v>42304</c:v>
                </c:pt>
                <c:pt idx="409">
                  <c:v>42311</c:v>
                </c:pt>
                <c:pt idx="410">
                  <c:v>42318</c:v>
                </c:pt>
                <c:pt idx="411">
                  <c:v>42325</c:v>
                </c:pt>
                <c:pt idx="412">
                  <c:v>42332</c:v>
                </c:pt>
                <c:pt idx="413">
                  <c:v>42339</c:v>
                </c:pt>
                <c:pt idx="414">
                  <c:v>42346</c:v>
                </c:pt>
                <c:pt idx="415">
                  <c:v>42353</c:v>
                </c:pt>
                <c:pt idx="416">
                  <c:v>42360</c:v>
                </c:pt>
                <c:pt idx="417">
                  <c:v>42367</c:v>
                </c:pt>
                <c:pt idx="418">
                  <c:v>42374</c:v>
                </c:pt>
                <c:pt idx="419">
                  <c:v>42381</c:v>
                </c:pt>
                <c:pt idx="420">
                  <c:v>42388</c:v>
                </c:pt>
                <c:pt idx="421">
                  <c:v>42395</c:v>
                </c:pt>
                <c:pt idx="422">
                  <c:v>42402</c:v>
                </c:pt>
                <c:pt idx="423">
                  <c:v>42409</c:v>
                </c:pt>
                <c:pt idx="424">
                  <c:v>42416</c:v>
                </c:pt>
                <c:pt idx="425">
                  <c:v>42423</c:v>
                </c:pt>
                <c:pt idx="426">
                  <c:v>42430</c:v>
                </c:pt>
                <c:pt idx="427">
                  <c:v>42437</c:v>
                </c:pt>
                <c:pt idx="428">
                  <c:v>42444</c:v>
                </c:pt>
                <c:pt idx="429">
                  <c:v>42451</c:v>
                </c:pt>
                <c:pt idx="430">
                  <c:v>42458</c:v>
                </c:pt>
                <c:pt idx="431">
                  <c:v>42465</c:v>
                </c:pt>
                <c:pt idx="432">
                  <c:v>42472</c:v>
                </c:pt>
                <c:pt idx="433">
                  <c:v>42479</c:v>
                </c:pt>
                <c:pt idx="434">
                  <c:v>42486</c:v>
                </c:pt>
                <c:pt idx="435">
                  <c:v>42493</c:v>
                </c:pt>
                <c:pt idx="436">
                  <c:v>42500</c:v>
                </c:pt>
                <c:pt idx="437">
                  <c:v>42507</c:v>
                </c:pt>
                <c:pt idx="438">
                  <c:v>42514</c:v>
                </c:pt>
                <c:pt idx="439">
                  <c:v>42521</c:v>
                </c:pt>
                <c:pt idx="440">
                  <c:v>42528</c:v>
                </c:pt>
                <c:pt idx="441">
                  <c:v>42535</c:v>
                </c:pt>
                <c:pt idx="442">
                  <c:v>42542</c:v>
                </c:pt>
                <c:pt idx="443">
                  <c:v>42549</c:v>
                </c:pt>
                <c:pt idx="444">
                  <c:v>42556</c:v>
                </c:pt>
                <c:pt idx="445">
                  <c:v>42563</c:v>
                </c:pt>
                <c:pt idx="446">
                  <c:v>42570</c:v>
                </c:pt>
                <c:pt idx="447">
                  <c:v>42577</c:v>
                </c:pt>
                <c:pt idx="448">
                  <c:v>42584</c:v>
                </c:pt>
                <c:pt idx="449">
                  <c:v>42591</c:v>
                </c:pt>
                <c:pt idx="450">
                  <c:v>42598</c:v>
                </c:pt>
                <c:pt idx="451">
                  <c:v>42605</c:v>
                </c:pt>
                <c:pt idx="452">
                  <c:v>42612</c:v>
                </c:pt>
                <c:pt idx="453">
                  <c:v>42619</c:v>
                </c:pt>
                <c:pt idx="454">
                  <c:v>42626</c:v>
                </c:pt>
                <c:pt idx="455">
                  <c:v>42633</c:v>
                </c:pt>
                <c:pt idx="456">
                  <c:v>42640</c:v>
                </c:pt>
                <c:pt idx="457">
                  <c:v>42647</c:v>
                </c:pt>
                <c:pt idx="458">
                  <c:v>42654</c:v>
                </c:pt>
                <c:pt idx="459">
                  <c:v>42661</c:v>
                </c:pt>
                <c:pt idx="460">
                  <c:v>42668</c:v>
                </c:pt>
                <c:pt idx="461">
                  <c:v>42675</c:v>
                </c:pt>
                <c:pt idx="462">
                  <c:v>42682</c:v>
                </c:pt>
                <c:pt idx="463">
                  <c:v>42689</c:v>
                </c:pt>
                <c:pt idx="464">
                  <c:v>42696</c:v>
                </c:pt>
                <c:pt idx="465">
                  <c:v>42703</c:v>
                </c:pt>
                <c:pt idx="466">
                  <c:v>42710</c:v>
                </c:pt>
                <c:pt idx="467">
                  <c:v>42717</c:v>
                </c:pt>
                <c:pt idx="468">
                  <c:v>42724</c:v>
                </c:pt>
                <c:pt idx="469">
                  <c:v>42731</c:v>
                </c:pt>
                <c:pt idx="470">
                  <c:v>42738</c:v>
                </c:pt>
                <c:pt idx="471">
                  <c:v>42745</c:v>
                </c:pt>
                <c:pt idx="472">
                  <c:v>42752</c:v>
                </c:pt>
                <c:pt idx="473">
                  <c:v>42759</c:v>
                </c:pt>
                <c:pt idx="474">
                  <c:v>42766</c:v>
                </c:pt>
                <c:pt idx="475">
                  <c:v>42773</c:v>
                </c:pt>
                <c:pt idx="476">
                  <c:v>42780</c:v>
                </c:pt>
                <c:pt idx="477">
                  <c:v>42787</c:v>
                </c:pt>
                <c:pt idx="478">
                  <c:v>42794</c:v>
                </c:pt>
                <c:pt idx="479">
                  <c:v>42801</c:v>
                </c:pt>
                <c:pt idx="480">
                  <c:v>42808</c:v>
                </c:pt>
                <c:pt idx="481">
                  <c:v>42815</c:v>
                </c:pt>
                <c:pt idx="482">
                  <c:v>42822</c:v>
                </c:pt>
                <c:pt idx="483">
                  <c:v>42829</c:v>
                </c:pt>
                <c:pt idx="484">
                  <c:v>42836</c:v>
                </c:pt>
                <c:pt idx="485">
                  <c:v>42843</c:v>
                </c:pt>
                <c:pt idx="486">
                  <c:v>42850</c:v>
                </c:pt>
                <c:pt idx="487">
                  <c:v>42857</c:v>
                </c:pt>
                <c:pt idx="488">
                  <c:v>42864</c:v>
                </c:pt>
                <c:pt idx="489">
                  <c:v>42871</c:v>
                </c:pt>
                <c:pt idx="490">
                  <c:v>42878</c:v>
                </c:pt>
                <c:pt idx="491">
                  <c:v>42885</c:v>
                </c:pt>
                <c:pt idx="492">
                  <c:v>42892</c:v>
                </c:pt>
                <c:pt idx="493">
                  <c:v>42899</c:v>
                </c:pt>
                <c:pt idx="494">
                  <c:v>42906</c:v>
                </c:pt>
                <c:pt idx="495">
                  <c:v>42913</c:v>
                </c:pt>
                <c:pt idx="496">
                  <c:v>42920</c:v>
                </c:pt>
                <c:pt idx="497">
                  <c:v>42927</c:v>
                </c:pt>
                <c:pt idx="498">
                  <c:v>42934</c:v>
                </c:pt>
                <c:pt idx="499">
                  <c:v>42941</c:v>
                </c:pt>
                <c:pt idx="500">
                  <c:v>42948</c:v>
                </c:pt>
                <c:pt idx="501">
                  <c:v>42955</c:v>
                </c:pt>
                <c:pt idx="502">
                  <c:v>42962</c:v>
                </c:pt>
                <c:pt idx="503">
                  <c:v>42969</c:v>
                </c:pt>
                <c:pt idx="504">
                  <c:v>42976</c:v>
                </c:pt>
                <c:pt idx="505">
                  <c:v>42983</c:v>
                </c:pt>
                <c:pt idx="506">
                  <c:v>42990</c:v>
                </c:pt>
                <c:pt idx="507">
                  <c:v>42997</c:v>
                </c:pt>
                <c:pt idx="508">
                  <c:v>43004</c:v>
                </c:pt>
                <c:pt idx="509">
                  <c:v>43011</c:v>
                </c:pt>
                <c:pt idx="510">
                  <c:v>43018</c:v>
                </c:pt>
                <c:pt idx="511">
                  <c:v>43025</c:v>
                </c:pt>
                <c:pt idx="512">
                  <c:v>43032</c:v>
                </c:pt>
                <c:pt idx="513">
                  <c:v>43039</c:v>
                </c:pt>
                <c:pt idx="514">
                  <c:v>43046</c:v>
                </c:pt>
                <c:pt idx="515">
                  <c:v>43053</c:v>
                </c:pt>
                <c:pt idx="516">
                  <c:v>43060</c:v>
                </c:pt>
                <c:pt idx="517">
                  <c:v>43067</c:v>
                </c:pt>
                <c:pt idx="518">
                  <c:v>43074</c:v>
                </c:pt>
                <c:pt idx="519">
                  <c:v>43081</c:v>
                </c:pt>
                <c:pt idx="520">
                  <c:v>43088</c:v>
                </c:pt>
                <c:pt idx="521">
                  <c:v>43095</c:v>
                </c:pt>
                <c:pt idx="522">
                  <c:v>43102</c:v>
                </c:pt>
                <c:pt idx="523">
                  <c:v>43109</c:v>
                </c:pt>
                <c:pt idx="524">
                  <c:v>43116</c:v>
                </c:pt>
                <c:pt idx="525">
                  <c:v>43123</c:v>
                </c:pt>
                <c:pt idx="526">
                  <c:v>43130</c:v>
                </c:pt>
                <c:pt idx="527">
                  <c:v>43137</c:v>
                </c:pt>
                <c:pt idx="528">
                  <c:v>43144</c:v>
                </c:pt>
                <c:pt idx="529">
                  <c:v>43151</c:v>
                </c:pt>
                <c:pt idx="530">
                  <c:v>43158</c:v>
                </c:pt>
                <c:pt idx="531">
                  <c:v>43165</c:v>
                </c:pt>
                <c:pt idx="532">
                  <c:v>43172</c:v>
                </c:pt>
                <c:pt idx="533">
                  <c:v>43179</c:v>
                </c:pt>
                <c:pt idx="534">
                  <c:v>43186</c:v>
                </c:pt>
                <c:pt idx="535">
                  <c:v>43193</c:v>
                </c:pt>
                <c:pt idx="536">
                  <c:v>43200</c:v>
                </c:pt>
                <c:pt idx="537">
                  <c:v>43207</c:v>
                </c:pt>
                <c:pt idx="538">
                  <c:v>43214</c:v>
                </c:pt>
                <c:pt idx="539">
                  <c:v>43221</c:v>
                </c:pt>
                <c:pt idx="540">
                  <c:v>43228</c:v>
                </c:pt>
                <c:pt idx="541">
                  <c:v>43235</c:v>
                </c:pt>
                <c:pt idx="542">
                  <c:v>43242</c:v>
                </c:pt>
                <c:pt idx="543">
                  <c:v>43249</c:v>
                </c:pt>
                <c:pt idx="544">
                  <c:v>43256</c:v>
                </c:pt>
                <c:pt idx="545">
                  <c:v>43263</c:v>
                </c:pt>
                <c:pt idx="546">
                  <c:v>43270</c:v>
                </c:pt>
                <c:pt idx="547">
                  <c:v>43277</c:v>
                </c:pt>
                <c:pt idx="548">
                  <c:v>43284</c:v>
                </c:pt>
                <c:pt idx="549">
                  <c:v>43291</c:v>
                </c:pt>
                <c:pt idx="550">
                  <c:v>43298</c:v>
                </c:pt>
                <c:pt idx="551">
                  <c:v>43305</c:v>
                </c:pt>
                <c:pt idx="552">
                  <c:v>43312</c:v>
                </c:pt>
                <c:pt idx="553">
                  <c:v>43319</c:v>
                </c:pt>
                <c:pt idx="554">
                  <c:v>43326</c:v>
                </c:pt>
                <c:pt idx="555">
                  <c:v>43333</c:v>
                </c:pt>
                <c:pt idx="556">
                  <c:v>43340</c:v>
                </c:pt>
                <c:pt idx="557">
                  <c:v>43347</c:v>
                </c:pt>
                <c:pt idx="558">
                  <c:v>43354</c:v>
                </c:pt>
                <c:pt idx="559">
                  <c:v>43361</c:v>
                </c:pt>
                <c:pt idx="560">
                  <c:v>43368</c:v>
                </c:pt>
                <c:pt idx="561">
                  <c:v>43375</c:v>
                </c:pt>
                <c:pt idx="562">
                  <c:v>43382</c:v>
                </c:pt>
                <c:pt idx="563">
                  <c:v>43389</c:v>
                </c:pt>
                <c:pt idx="564">
                  <c:v>43396</c:v>
                </c:pt>
                <c:pt idx="565">
                  <c:v>43403</c:v>
                </c:pt>
                <c:pt idx="566">
                  <c:v>43410</c:v>
                </c:pt>
                <c:pt idx="567">
                  <c:v>43417</c:v>
                </c:pt>
                <c:pt idx="568">
                  <c:v>43424</c:v>
                </c:pt>
                <c:pt idx="569">
                  <c:v>43431</c:v>
                </c:pt>
                <c:pt idx="570">
                  <c:v>43438</c:v>
                </c:pt>
                <c:pt idx="571">
                  <c:v>43445</c:v>
                </c:pt>
                <c:pt idx="572">
                  <c:v>43452</c:v>
                </c:pt>
                <c:pt idx="573">
                  <c:v>43459</c:v>
                </c:pt>
                <c:pt idx="574">
                  <c:v>43466</c:v>
                </c:pt>
                <c:pt idx="575">
                  <c:v>43473</c:v>
                </c:pt>
                <c:pt idx="576">
                  <c:v>43480</c:v>
                </c:pt>
                <c:pt idx="577">
                  <c:v>43487</c:v>
                </c:pt>
                <c:pt idx="578">
                  <c:v>43494</c:v>
                </c:pt>
                <c:pt idx="579">
                  <c:v>43501</c:v>
                </c:pt>
                <c:pt idx="580">
                  <c:v>43508</c:v>
                </c:pt>
                <c:pt idx="581">
                  <c:v>43515</c:v>
                </c:pt>
                <c:pt idx="582">
                  <c:v>43522</c:v>
                </c:pt>
                <c:pt idx="583">
                  <c:v>43529</c:v>
                </c:pt>
                <c:pt idx="584">
                  <c:v>43536</c:v>
                </c:pt>
                <c:pt idx="585">
                  <c:v>43543</c:v>
                </c:pt>
                <c:pt idx="586">
                  <c:v>43550</c:v>
                </c:pt>
                <c:pt idx="587">
                  <c:v>43557</c:v>
                </c:pt>
                <c:pt idx="588">
                  <c:v>43564</c:v>
                </c:pt>
                <c:pt idx="589">
                  <c:v>43571</c:v>
                </c:pt>
                <c:pt idx="590">
                  <c:v>43578</c:v>
                </c:pt>
                <c:pt idx="591">
                  <c:v>43585</c:v>
                </c:pt>
                <c:pt idx="592">
                  <c:v>43592</c:v>
                </c:pt>
                <c:pt idx="593">
                  <c:v>43599</c:v>
                </c:pt>
                <c:pt idx="594">
                  <c:v>43606</c:v>
                </c:pt>
                <c:pt idx="595">
                  <c:v>43613</c:v>
                </c:pt>
                <c:pt idx="596">
                  <c:v>43620</c:v>
                </c:pt>
                <c:pt idx="597">
                  <c:v>43627</c:v>
                </c:pt>
                <c:pt idx="598">
                  <c:v>43634</c:v>
                </c:pt>
                <c:pt idx="599">
                  <c:v>43641</c:v>
                </c:pt>
                <c:pt idx="600">
                  <c:v>43648</c:v>
                </c:pt>
                <c:pt idx="601">
                  <c:v>43655</c:v>
                </c:pt>
                <c:pt idx="602">
                  <c:v>43662</c:v>
                </c:pt>
                <c:pt idx="603">
                  <c:v>43669</c:v>
                </c:pt>
                <c:pt idx="604">
                  <c:v>43676</c:v>
                </c:pt>
                <c:pt idx="605">
                  <c:v>43683</c:v>
                </c:pt>
                <c:pt idx="606">
                  <c:v>43690</c:v>
                </c:pt>
                <c:pt idx="607">
                  <c:v>43697</c:v>
                </c:pt>
                <c:pt idx="608">
                  <c:v>43704</c:v>
                </c:pt>
                <c:pt idx="609">
                  <c:v>43711</c:v>
                </c:pt>
                <c:pt idx="610">
                  <c:v>43718</c:v>
                </c:pt>
                <c:pt idx="611">
                  <c:v>43725</c:v>
                </c:pt>
                <c:pt idx="612">
                  <c:v>43732</c:v>
                </c:pt>
                <c:pt idx="613">
                  <c:v>43739</c:v>
                </c:pt>
                <c:pt idx="614">
                  <c:v>43746</c:v>
                </c:pt>
                <c:pt idx="615">
                  <c:v>43753</c:v>
                </c:pt>
                <c:pt idx="616">
                  <c:v>43760</c:v>
                </c:pt>
                <c:pt idx="617">
                  <c:v>43767</c:v>
                </c:pt>
                <c:pt idx="618">
                  <c:v>43774</c:v>
                </c:pt>
                <c:pt idx="619">
                  <c:v>43781</c:v>
                </c:pt>
                <c:pt idx="620">
                  <c:v>43788</c:v>
                </c:pt>
                <c:pt idx="621">
                  <c:v>43795</c:v>
                </c:pt>
                <c:pt idx="622">
                  <c:v>43802</c:v>
                </c:pt>
                <c:pt idx="623">
                  <c:v>43809</c:v>
                </c:pt>
                <c:pt idx="624">
                  <c:v>43816</c:v>
                </c:pt>
                <c:pt idx="625">
                  <c:v>43823</c:v>
                </c:pt>
                <c:pt idx="626">
                  <c:v>43830</c:v>
                </c:pt>
                <c:pt idx="627">
                  <c:v>43837</c:v>
                </c:pt>
                <c:pt idx="628">
                  <c:v>43844</c:v>
                </c:pt>
                <c:pt idx="629">
                  <c:v>43851</c:v>
                </c:pt>
                <c:pt idx="630">
                  <c:v>43858</c:v>
                </c:pt>
                <c:pt idx="631">
                  <c:v>43865</c:v>
                </c:pt>
                <c:pt idx="632">
                  <c:v>43872</c:v>
                </c:pt>
                <c:pt idx="633">
                  <c:v>43879</c:v>
                </c:pt>
                <c:pt idx="634">
                  <c:v>43886</c:v>
                </c:pt>
                <c:pt idx="635">
                  <c:v>43893</c:v>
                </c:pt>
                <c:pt idx="636">
                  <c:v>43900</c:v>
                </c:pt>
                <c:pt idx="637">
                  <c:v>43907</c:v>
                </c:pt>
                <c:pt idx="638">
                  <c:v>43914</c:v>
                </c:pt>
                <c:pt idx="639">
                  <c:v>43921</c:v>
                </c:pt>
                <c:pt idx="640">
                  <c:v>43928</c:v>
                </c:pt>
                <c:pt idx="641">
                  <c:v>43935</c:v>
                </c:pt>
                <c:pt idx="642">
                  <c:v>43942</c:v>
                </c:pt>
                <c:pt idx="643">
                  <c:v>43949</c:v>
                </c:pt>
                <c:pt idx="644">
                  <c:v>43956</c:v>
                </c:pt>
                <c:pt idx="645">
                  <c:v>43963</c:v>
                </c:pt>
                <c:pt idx="646">
                  <c:v>43970</c:v>
                </c:pt>
                <c:pt idx="647">
                  <c:v>43977</c:v>
                </c:pt>
                <c:pt idx="648">
                  <c:v>43984</c:v>
                </c:pt>
                <c:pt idx="649">
                  <c:v>43991</c:v>
                </c:pt>
                <c:pt idx="650">
                  <c:v>43998</c:v>
                </c:pt>
                <c:pt idx="651">
                  <c:v>44005</c:v>
                </c:pt>
                <c:pt idx="652">
                  <c:v>44012</c:v>
                </c:pt>
                <c:pt idx="653">
                  <c:v>44019</c:v>
                </c:pt>
                <c:pt idx="654">
                  <c:v>44026</c:v>
                </c:pt>
                <c:pt idx="655">
                  <c:v>44033</c:v>
                </c:pt>
                <c:pt idx="656">
                  <c:v>44040</c:v>
                </c:pt>
                <c:pt idx="657">
                  <c:v>44047</c:v>
                </c:pt>
                <c:pt idx="658">
                  <c:v>44054</c:v>
                </c:pt>
                <c:pt idx="659">
                  <c:v>44061</c:v>
                </c:pt>
                <c:pt idx="660">
                  <c:v>44068</c:v>
                </c:pt>
                <c:pt idx="661">
                  <c:v>44075</c:v>
                </c:pt>
                <c:pt idx="662">
                  <c:v>44082</c:v>
                </c:pt>
                <c:pt idx="663">
                  <c:v>44089</c:v>
                </c:pt>
                <c:pt idx="664">
                  <c:v>44096</c:v>
                </c:pt>
                <c:pt idx="665">
                  <c:v>44103</c:v>
                </c:pt>
                <c:pt idx="666">
                  <c:v>44110</c:v>
                </c:pt>
                <c:pt idx="667">
                  <c:v>44117</c:v>
                </c:pt>
                <c:pt idx="668">
                  <c:v>44124</c:v>
                </c:pt>
                <c:pt idx="669">
                  <c:v>44131</c:v>
                </c:pt>
                <c:pt idx="670">
                  <c:v>44138</c:v>
                </c:pt>
                <c:pt idx="671">
                  <c:v>44145</c:v>
                </c:pt>
                <c:pt idx="672">
                  <c:v>44152</c:v>
                </c:pt>
                <c:pt idx="673">
                  <c:v>44159</c:v>
                </c:pt>
                <c:pt idx="674">
                  <c:v>44166</c:v>
                </c:pt>
                <c:pt idx="675">
                  <c:v>44173</c:v>
                </c:pt>
                <c:pt idx="676">
                  <c:v>44180</c:v>
                </c:pt>
                <c:pt idx="677">
                  <c:v>44187</c:v>
                </c:pt>
                <c:pt idx="678">
                  <c:v>44194</c:v>
                </c:pt>
                <c:pt idx="679">
                  <c:v>44201</c:v>
                </c:pt>
                <c:pt idx="680">
                  <c:v>44208</c:v>
                </c:pt>
                <c:pt idx="681">
                  <c:v>44215</c:v>
                </c:pt>
                <c:pt idx="682">
                  <c:v>44222</c:v>
                </c:pt>
                <c:pt idx="683">
                  <c:v>44229</c:v>
                </c:pt>
                <c:pt idx="684">
                  <c:v>44236</c:v>
                </c:pt>
                <c:pt idx="685">
                  <c:v>44243</c:v>
                </c:pt>
                <c:pt idx="686">
                  <c:v>44250</c:v>
                </c:pt>
                <c:pt idx="687">
                  <c:v>44257</c:v>
                </c:pt>
                <c:pt idx="688">
                  <c:v>44264</c:v>
                </c:pt>
                <c:pt idx="689">
                  <c:v>44271</c:v>
                </c:pt>
                <c:pt idx="690">
                  <c:v>44278</c:v>
                </c:pt>
                <c:pt idx="691">
                  <c:v>44285</c:v>
                </c:pt>
                <c:pt idx="692">
                  <c:v>44292</c:v>
                </c:pt>
                <c:pt idx="693">
                  <c:v>44299</c:v>
                </c:pt>
                <c:pt idx="694">
                  <c:v>44306</c:v>
                </c:pt>
                <c:pt idx="695">
                  <c:v>44313</c:v>
                </c:pt>
                <c:pt idx="696">
                  <c:v>44320</c:v>
                </c:pt>
                <c:pt idx="697">
                  <c:v>44327</c:v>
                </c:pt>
                <c:pt idx="698">
                  <c:v>44334</c:v>
                </c:pt>
                <c:pt idx="699">
                  <c:v>44341</c:v>
                </c:pt>
                <c:pt idx="700">
                  <c:v>44348</c:v>
                </c:pt>
                <c:pt idx="701">
                  <c:v>44355</c:v>
                </c:pt>
                <c:pt idx="702">
                  <c:v>44362</c:v>
                </c:pt>
                <c:pt idx="703">
                  <c:v>44369</c:v>
                </c:pt>
                <c:pt idx="704">
                  <c:v>44376</c:v>
                </c:pt>
                <c:pt idx="705">
                  <c:v>44383</c:v>
                </c:pt>
                <c:pt idx="706">
                  <c:v>44390</c:v>
                </c:pt>
                <c:pt idx="707">
                  <c:v>44397</c:v>
                </c:pt>
                <c:pt idx="708">
                  <c:v>44404</c:v>
                </c:pt>
                <c:pt idx="709">
                  <c:v>44411</c:v>
                </c:pt>
                <c:pt idx="710">
                  <c:v>44418</c:v>
                </c:pt>
                <c:pt idx="711">
                  <c:v>44425</c:v>
                </c:pt>
                <c:pt idx="712">
                  <c:v>44432</c:v>
                </c:pt>
                <c:pt idx="713">
                  <c:v>44439</c:v>
                </c:pt>
                <c:pt idx="714">
                  <c:v>44446</c:v>
                </c:pt>
                <c:pt idx="715">
                  <c:v>44453</c:v>
                </c:pt>
                <c:pt idx="716">
                  <c:v>44460</c:v>
                </c:pt>
                <c:pt idx="717">
                  <c:v>44467</c:v>
                </c:pt>
                <c:pt idx="718">
                  <c:v>44474</c:v>
                </c:pt>
                <c:pt idx="719">
                  <c:v>44481</c:v>
                </c:pt>
                <c:pt idx="720">
                  <c:v>44488</c:v>
                </c:pt>
                <c:pt idx="721">
                  <c:v>44495</c:v>
                </c:pt>
                <c:pt idx="722">
                  <c:v>44502</c:v>
                </c:pt>
                <c:pt idx="723">
                  <c:v>44509</c:v>
                </c:pt>
                <c:pt idx="724">
                  <c:v>44516</c:v>
                </c:pt>
                <c:pt idx="725">
                  <c:v>44523</c:v>
                </c:pt>
                <c:pt idx="726">
                  <c:v>44530</c:v>
                </c:pt>
                <c:pt idx="727">
                  <c:v>44537</c:v>
                </c:pt>
                <c:pt idx="728">
                  <c:v>44544</c:v>
                </c:pt>
                <c:pt idx="729">
                  <c:v>44551</c:v>
                </c:pt>
                <c:pt idx="730">
                  <c:v>44558</c:v>
                </c:pt>
                <c:pt idx="731">
                  <c:v>44565</c:v>
                </c:pt>
                <c:pt idx="732">
                  <c:v>44572</c:v>
                </c:pt>
                <c:pt idx="733">
                  <c:v>44579</c:v>
                </c:pt>
                <c:pt idx="734">
                  <c:v>44586</c:v>
                </c:pt>
                <c:pt idx="735">
                  <c:v>44593</c:v>
                </c:pt>
                <c:pt idx="736">
                  <c:v>44600</c:v>
                </c:pt>
                <c:pt idx="737">
                  <c:v>44607</c:v>
                </c:pt>
                <c:pt idx="738">
                  <c:v>44614</c:v>
                </c:pt>
                <c:pt idx="739">
                  <c:v>44621</c:v>
                </c:pt>
                <c:pt idx="740">
                  <c:v>44628</c:v>
                </c:pt>
                <c:pt idx="741">
                  <c:v>44635</c:v>
                </c:pt>
                <c:pt idx="742">
                  <c:v>44642</c:v>
                </c:pt>
                <c:pt idx="743">
                  <c:v>44649</c:v>
                </c:pt>
                <c:pt idx="744">
                  <c:v>44656</c:v>
                </c:pt>
                <c:pt idx="745">
                  <c:v>44663</c:v>
                </c:pt>
                <c:pt idx="746">
                  <c:v>44670</c:v>
                </c:pt>
                <c:pt idx="747">
                  <c:v>44677</c:v>
                </c:pt>
                <c:pt idx="748">
                  <c:v>44684</c:v>
                </c:pt>
                <c:pt idx="749">
                  <c:v>44691</c:v>
                </c:pt>
                <c:pt idx="750">
                  <c:v>44698</c:v>
                </c:pt>
                <c:pt idx="751">
                  <c:v>44705</c:v>
                </c:pt>
                <c:pt idx="752">
                  <c:v>44712</c:v>
                </c:pt>
                <c:pt idx="753">
                  <c:v>44719</c:v>
                </c:pt>
                <c:pt idx="754">
                  <c:v>44726</c:v>
                </c:pt>
                <c:pt idx="755">
                  <c:v>44733</c:v>
                </c:pt>
                <c:pt idx="756">
                  <c:v>44740</c:v>
                </c:pt>
                <c:pt idx="757">
                  <c:v>44747</c:v>
                </c:pt>
                <c:pt idx="758">
                  <c:v>44754</c:v>
                </c:pt>
                <c:pt idx="759">
                  <c:v>44761</c:v>
                </c:pt>
                <c:pt idx="760">
                  <c:v>44768</c:v>
                </c:pt>
                <c:pt idx="761">
                  <c:v>44775</c:v>
                </c:pt>
                <c:pt idx="762">
                  <c:v>44782</c:v>
                </c:pt>
                <c:pt idx="763">
                  <c:v>44789</c:v>
                </c:pt>
                <c:pt idx="764">
                  <c:v>44796</c:v>
                </c:pt>
                <c:pt idx="765">
                  <c:v>44803</c:v>
                </c:pt>
                <c:pt idx="766">
                  <c:v>44810</c:v>
                </c:pt>
                <c:pt idx="767">
                  <c:v>44817</c:v>
                </c:pt>
                <c:pt idx="768">
                  <c:v>44824</c:v>
                </c:pt>
                <c:pt idx="769">
                  <c:v>44831</c:v>
                </c:pt>
                <c:pt idx="770">
                  <c:v>44838</c:v>
                </c:pt>
                <c:pt idx="771">
                  <c:v>44845</c:v>
                </c:pt>
                <c:pt idx="772">
                  <c:v>44852</c:v>
                </c:pt>
                <c:pt idx="773">
                  <c:v>44859</c:v>
                </c:pt>
                <c:pt idx="774">
                  <c:v>44866</c:v>
                </c:pt>
                <c:pt idx="775">
                  <c:v>44873</c:v>
                </c:pt>
                <c:pt idx="776">
                  <c:v>44880</c:v>
                </c:pt>
                <c:pt idx="777">
                  <c:v>44887</c:v>
                </c:pt>
                <c:pt idx="778">
                  <c:v>44894</c:v>
                </c:pt>
                <c:pt idx="779">
                  <c:v>44901</c:v>
                </c:pt>
                <c:pt idx="780">
                  <c:v>44908</c:v>
                </c:pt>
                <c:pt idx="781">
                  <c:v>44915</c:v>
                </c:pt>
                <c:pt idx="782">
                  <c:v>44922</c:v>
                </c:pt>
                <c:pt idx="783">
                  <c:v>44929</c:v>
                </c:pt>
                <c:pt idx="784">
                  <c:v>44936</c:v>
                </c:pt>
                <c:pt idx="785">
                  <c:v>44943</c:v>
                </c:pt>
                <c:pt idx="786">
                  <c:v>44950</c:v>
                </c:pt>
                <c:pt idx="787">
                  <c:v>44957</c:v>
                </c:pt>
                <c:pt idx="788">
                  <c:v>44964</c:v>
                </c:pt>
                <c:pt idx="789">
                  <c:v>44971</c:v>
                </c:pt>
                <c:pt idx="790">
                  <c:v>44978</c:v>
                </c:pt>
                <c:pt idx="791">
                  <c:v>44985</c:v>
                </c:pt>
                <c:pt idx="792">
                  <c:v>44992</c:v>
                </c:pt>
                <c:pt idx="793">
                  <c:v>44999</c:v>
                </c:pt>
                <c:pt idx="794">
                  <c:v>45006</c:v>
                </c:pt>
                <c:pt idx="795">
                  <c:v>45013</c:v>
                </c:pt>
                <c:pt idx="796">
                  <c:v>45020</c:v>
                </c:pt>
                <c:pt idx="797">
                  <c:v>45027</c:v>
                </c:pt>
                <c:pt idx="798">
                  <c:v>45034</c:v>
                </c:pt>
                <c:pt idx="799">
                  <c:v>45041</c:v>
                </c:pt>
                <c:pt idx="800">
                  <c:v>45048</c:v>
                </c:pt>
                <c:pt idx="801">
                  <c:v>45055</c:v>
                </c:pt>
                <c:pt idx="802">
                  <c:v>45062</c:v>
                </c:pt>
                <c:pt idx="803">
                  <c:v>45069</c:v>
                </c:pt>
                <c:pt idx="804">
                  <c:v>45076</c:v>
                </c:pt>
                <c:pt idx="805">
                  <c:v>45083</c:v>
                </c:pt>
                <c:pt idx="806">
                  <c:v>45090</c:v>
                </c:pt>
                <c:pt idx="807">
                  <c:v>45097</c:v>
                </c:pt>
                <c:pt idx="808">
                  <c:v>45104</c:v>
                </c:pt>
                <c:pt idx="809">
                  <c:v>45111</c:v>
                </c:pt>
                <c:pt idx="810">
                  <c:v>45118</c:v>
                </c:pt>
                <c:pt idx="811">
                  <c:v>45125</c:v>
                </c:pt>
                <c:pt idx="812">
                  <c:v>45132</c:v>
                </c:pt>
                <c:pt idx="813">
                  <c:v>45139</c:v>
                </c:pt>
                <c:pt idx="814">
                  <c:v>45146</c:v>
                </c:pt>
                <c:pt idx="815">
                  <c:v>45153</c:v>
                </c:pt>
                <c:pt idx="816">
                  <c:v>45160</c:v>
                </c:pt>
                <c:pt idx="817">
                  <c:v>45167</c:v>
                </c:pt>
                <c:pt idx="818">
                  <c:v>45174</c:v>
                </c:pt>
                <c:pt idx="819">
                  <c:v>45181</c:v>
                </c:pt>
                <c:pt idx="820">
                  <c:v>45188</c:v>
                </c:pt>
                <c:pt idx="821">
                  <c:v>45195</c:v>
                </c:pt>
                <c:pt idx="822">
                  <c:v>45202</c:v>
                </c:pt>
                <c:pt idx="823">
                  <c:v>45209</c:v>
                </c:pt>
                <c:pt idx="824">
                  <c:v>45216</c:v>
                </c:pt>
                <c:pt idx="825">
                  <c:v>45223</c:v>
                </c:pt>
                <c:pt idx="826">
                  <c:v>45230</c:v>
                </c:pt>
                <c:pt idx="827">
                  <c:v>45237</c:v>
                </c:pt>
                <c:pt idx="828">
                  <c:v>45244</c:v>
                </c:pt>
                <c:pt idx="829">
                  <c:v>45251</c:v>
                </c:pt>
                <c:pt idx="830">
                  <c:v>45258</c:v>
                </c:pt>
                <c:pt idx="831">
                  <c:v>45265</c:v>
                </c:pt>
                <c:pt idx="832">
                  <c:v>45272</c:v>
                </c:pt>
                <c:pt idx="833">
                  <c:v>45279</c:v>
                </c:pt>
                <c:pt idx="834">
                  <c:v>45286</c:v>
                </c:pt>
                <c:pt idx="835">
                  <c:v>45293</c:v>
                </c:pt>
                <c:pt idx="836">
                  <c:v>45300</c:v>
                </c:pt>
                <c:pt idx="837">
                  <c:v>45307</c:v>
                </c:pt>
                <c:pt idx="838">
                  <c:v>45314</c:v>
                </c:pt>
                <c:pt idx="839">
                  <c:v>45321</c:v>
                </c:pt>
                <c:pt idx="840">
                  <c:v>45328</c:v>
                </c:pt>
                <c:pt idx="841">
                  <c:v>45335</c:v>
                </c:pt>
                <c:pt idx="842">
                  <c:v>45342</c:v>
                </c:pt>
                <c:pt idx="843">
                  <c:v>45349</c:v>
                </c:pt>
                <c:pt idx="844">
                  <c:v>45356</c:v>
                </c:pt>
                <c:pt idx="845">
                  <c:v>45363</c:v>
                </c:pt>
                <c:pt idx="846">
                  <c:v>45370</c:v>
                </c:pt>
                <c:pt idx="847">
                  <c:v>45377</c:v>
                </c:pt>
                <c:pt idx="848">
                  <c:v>45384</c:v>
                </c:pt>
                <c:pt idx="849">
                  <c:v>45391</c:v>
                </c:pt>
                <c:pt idx="850">
                  <c:v>45398</c:v>
                </c:pt>
                <c:pt idx="851">
                  <c:v>45405</c:v>
                </c:pt>
                <c:pt idx="852">
                  <c:v>45412</c:v>
                </c:pt>
                <c:pt idx="853">
                  <c:v>45419</c:v>
                </c:pt>
                <c:pt idx="854">
                  <c:v>45426</c:v>
                </c:pt>
                <c:pt idx="855">
                  <c:v>45433</c:v>
                </c:pt>
                <c:pt idx="856">
                  <c:v>45440</c:v>
                </c:pt>
                <c:pt idx="857">
                  <c:v>45447</c:v>
                </c:pt>
                <c:pt idx="858">
                  <c:v>45454</c:v>
                </c:pt>
                <c:pt idx="859">
                  <c:v>45461</c:v>
                </c:pt>
                <c:pt idx="860">
                  <c:v>45468</c:v>
                </c:pt>
                <c:pt idx="861">
                  <c:v>45475</c:v>
                </c:pt>
                <c:pt idx="862">
                  <c:v>45482</c:v>
                </c:pt>
                <c:pt idx="863">
                  <c:v>45489</c:v>
                </c:pt>
                <c:pt idx="864">
                  <c:v>45496</c:v>
                </c:pt>
                <c:pt idx="865">
                  <c:v>45503</c:v>
                </c:pt>
                <c:pt idx="866">
                  <c:v>45510</c:v>
                </c:pt>
                <c:pt idx="867">
                  <c:v>45517</c:v>
                </c:pt>
                <c:pt idx="868">
                  <c:v>45524</c:v>
                </c:pt>
                <c:pt idx="869">
                  <c:v>45531</c:v>
                </c:pt>
                <c:pt idx="870">
                  <c:v>45538</c:v>
                </c:pt>
                <c:pt idx="871">
                  <c:v>45545</c:v>
                </c:pt>
                <c:pt idx="872">
                  <c:v>45552</c:v>
                </c:pt>
                <c:pt idx="873">
                  <c:v>45559</c:v>
                </c:pt>
                <c:pt idx="874">
                  <c:v>45566</c:v>
                </c:pt>
                <c:pt idx="875">
                  <c:v>45573</c:v>
                </c:pt>
                <c:pt idx="876">
                  <c:v>45580</c:v>
                </c:pt>
                <c:pt idx="877">
                  <c:v>45587</c:v>
                </c:pt>
                <c:pt idx="878">
                  <c:v>45594</c:v>
                </c:pt>
                <c:pt idx="879">
                  <c:v>45601</c:v>
                </c:pt>
                <c:pt idx="880">
                  <c:v>45608</c:v>
                </c:pt>
                <c:pt idx="881">
                  <c:v>45615</c:v>
                </c:pt>
                <c:pt idx="882">
                  <c:v>45622</c:v>
                </c:pt>
                <c:pt idx="883">
                  <c:v>45629</c:v>
                </c:pt>
                <c:pt idx="884">
                  <c:v>45636</c:v>
                </c:pt>
                <c:pt idx="885">
                  <c:v>45643</c:v>
                </c:pt>
                <c:pt idx="886">
                  <c:v>45650</c:v>
                </c:pt>
                <c:pt idx="887">
                  <c:v>45657</c:v>
                </c:pt>
                <c:pt idx="888">
                  <c:v>45664</c:v>
                </c:pt>
                <c:pt idx="889">
                  <c:v>45671</c:v>
                </c:pt>
                <c:pt idx="890">
                  <c:v>45678</c:v>
                </c:pt>
                <c:pt idx="891">
                  <c:v>45685</c:v>
                </c:pt>
                <c:pt idx="892">
                  <c:v>45692</c:v>
                </c:pt>
                <c:pt idx="893">
                  <c:v>45699</c:v>
                </c:pt>
                <c:pt idx="894">
                  <c:v>45706</c:v>
                </c:pt>
                <c:pt idx="895">
                  <c:v>45713</c:v>
                </c:pt>
                <c:pt idx="896">
                  <c:v>45720</c:v>
                </c:pt>
                <c:pt idx="897">
                  <c:v>45727</c:v>
                </c:pt>
                <c:pt idx="898">
                  <c:v>45734</c:v>
                </c:pt>
                <c:pt idx="899">
                  <c:v>45741</c:v>
                </c:pt>
                <c:pt idx="900">
                  <c:v>45748</c:v>
                </c:pt>
                <c:pt idx="901">
                  <c:v>45755</c:v>
                </c:pt>
                <c:pt idx="902">
                  <c:v>45762</c:v>
                </c:pt>
                <c:pt idx="903">
                  <c:v>45769</c:v>
                </c:pt>
                <c:pt idx="904">
                  <c:v>45776</c:v>
                </c:pt>
                <c:pt idx="905">
                  <c:v>45783</c:v>
                </c:pt>
                <c:pt idx="906">
                  <c:v>45790</c:v>
                </c:pt>
                <c:pt idx="907">
                  <c:v>45797</c:v>
                </c:pt>
                <c:pt idx="908">
                  <c:v>45804</c:v>
                </c:pt>
                <c:pt idx="909">
                  <c:v>45811</c:v>
                </c:pt>
                <c:pt idx="910">
                  <c:v>45818</c:v>
                </c:pt>
                <c:pt idx="911">
                  <c:v>45825</c:v>
                </c:pt>
                <c:pt idx="912">
                  <c:v>45832</c:v>
                </c:pt>
                <c:pt idx="913">
                  <c:v>45839</c:v>
                </c:pt>
                <c:pt idx="914">
                  <c:v>45846</c:v>
                </c:pt>
                <c:pt idx="915">
                  <c:v>45853</c:v>
                </c:pt>
                <c:pt idx="916">
                  <c:v>45860</c:v>
                </c:pt>
                <c:pt idx="917">
                  <c:v>45867</c:v>
                </c:pt>
                <c:pt idx="918">
                  <c:v>45874</c:v>
                </c:pt>
                <c:pt idx="919">
                  <c:v>45881</c:v>
                </c:pt>
                <c:pt idx="920">
                  <c:v>45888</c:v>
                </c:pt>
                <c:pt idx="921">
                  <c:v>45895</c:v>
                </c:pt>
                <c:pt idx="922">
                  <c:v>45902</c:v>
                </c:pt>
                <c:pt idx="923">
                  <c:v>45909</c:v>
                </c:pt>
                <c:pt idx="924">
                  <c:v>45916</c:v>
                </c:pt>
                <c:pt idx="925">
                  <c:v>45923</c:v>
                </c:pt>
                <c:pt idx="926">
                  <c:v>45930</c:v>
                </c:pt>
                <c:pt idx="927">
                  <c:v>45937</c:v>
                </c:pt>
                <c:pt idx="928">
                  <c:v>45944</c:v>
                </c:pt>
                <c:pt idx="929">
                  <c:v>45951</c:v>
                </c:pt>
                <c:pt idx="930">
                  <c:v>45958</c:v>
                </c:pt>
                <c:pt idx="931">
                  <c:v>45965</c:v>
                </c:pt>
                <c:pt idx="932">
                  <c:v>45972</c:v>
                </c:pt>
                <c:pt idx="933">
                  <c:v>45979</c:v>
                </c:pt>
                <c:pt idx="934">
                  <c:v>45986</c:v>
                </c:pt>
                <c:pt idx="935">
                  <c:v>45993</c:v>
                </c:pt>
                <c:pt idx="936">
                  <c:v>46000</c:v>
                </c:pt>
                <c:pt idx="937">
                  <c:v>46007</c:v>
                </c:pt>
                <c:pt idx="938">
                  <c:v>46014</c:v>
                </c:pt>
                <c:pt idx="939">
                  <c:v>46021</c:v>
                </c:pt>
                <c:pt idx="940">
                  <c:v>46028</c:v>
                </c:pt>
                <c:pt idx="941">
                  <c:v>46035</c:v>
                </c:pt>
                <c:pt idx="942">
                  <c:v>46042</c:v>
                </c:pt>
                <c:pt idx="943">
                  <c:v>46049</c:v>
                </c:pt>
                <c:pt idx="944">
                  <c:v>46056</c:v>
                </c:pt>
                <c:pt idx="945">
                  <c:v>46063</c:v>
                </c:pt>
                <c:pt idx="946">
                  <c:v>46070</c:v>
                </c:pt>
                <c:pt idx="947">
                  <c:v>46077</c:v>
                </c:pt>
                <c:pt idx="948">
                  <c:v>46084</c:v>
                </c:pt>
                <c:pt idx="949">
                  <c:v>46091</c:v>
                </c:pt>
                <c:pt idx="950">
                  <c:v>46098</c:v>
                </c:pt>
                <c:pt idx="951">
                  <c:v>46105</c:v>
                </c:pt>
                <c:pt idx="952">
                  <c:v>46112</c:v>
                </c:pt>
                <c:pt idx="953">
                  <c:v>46119</c:v>
                </c:pt>
                <c:pt idx="954">
                  <c:v>46126</c:v>
                </c:pt>
                <c:pt idx="955">
                  <c:v>46133</c:v>
                </c:pt>
                <c:pt idx="956">
                  <c:v>46140</c:v>
                </c:pt>
                <c:pt idx="957">
                  <c:v>46147</c:v>
                </c:pt>
                <c:pt idx="958">
                  <c:v>46154</c:v>
                </c:pt>
                <c:pt idx="959">
                  <c:v>46161</c:v>
                </c:pt>
                <c:pt idx="960">
                  <c:v>46168</c:v>
                </c:pt>
                <c:pt idx="961">
                  <c:v>46175</c:v>
                </c:pt>
                <c:pt idx="962">
                  <c:v>46182</c:v>
                </c:pt>
                <c:pt idx="963">
                  <c:v>46189</c:v>
                </c:pt>
                <c:pt idx="964">
                  <c:v>46196</c:v>
                </c:pt>
                <c:pt idx="965">
                  <c:v>46203</c:v>
                </c:pt>
                <c:pt idx="966">
                  <c:v>46210</c:v>
                </c:pt>
                <c:pt idx="967">
                  <c:v>46217</c:v>
                </c:pt>
                <c:pt idx="968">
                  <c:v>46224</c:v>
                </c:pt>
                <c:pt idx="969">
                  <c:v>46231</c:v>
                </c:pt>
                <c:pt idx="970">
                  <c:v>46238</c:v>
                </c:pt>
                <c:pt idx="971">
                  <c:v>46245</c:v>
                </c:pt>
                <c:pt idx="972">
                  <c:v>46252</c:v>
                </c:pt>
                <c:pt idx="973">
                  <c:v>46259</c:v>
                </c:pt>
                <c:pt idx="974">
                  <c:v>46266</c:v>
                </c:pt>
                <c:pt idx="975">
                  <c:v>46273</c:v>
                </c:pt>
              </c:numCache>
            </c:numRef>
          </c:cat>
          <c:val>
            <c:numRef>
              <c:f>Sheet1!$AC$11:$AC$995</c:f>
              <c:numCache>
                <c:formatCode>0.00%</c:formatCode>
                <c:ptCount val="985"/>
                <c:pt idx="0">
                  <c:v>0.32850839001695248</c:v>
                </c:pt>
                <c:pt idx="1">
                  <c:v>0.37607217961135397</c:v>
                </c:pt>
                <c:pt idx="2">
                  <c:v>0.40207274960323475</c:v>
                </c:pt>
                <c:pt idx="3">
                  <c:v>0.40477869827424301</c:v>
                </c:pt>
                <c:pt idx="4">
                  <c:v>0.36489568645621545</c:v>
                </c:pt>
                <c:pt idx="5">
                  <c:v>0.34652076955059152</c:v>
                </c:pt>
                <c:pt idx="6">
                  <c:v>0.3180700654441963</c:v>
                </c:pt>
                <c:pt idx="7">
                  <c:v>0.30077234143320342</c:v>
                </c:pt>
                <c:pt idx="8">
                  <c:v>0.3046113347311713</c:v>
                </c:pt>
                <c:pt idx="9">
                  <c:v>0.32456085928108885</c:v>
                </c:pt>
                <c:pt idx="10">
                  <c:v>0.34649133668474447</c:v>
                </c:pt>
                <c:pt idx="11">
                  <c:v>0.37802422146697739</c:v>
                </c:pt>
                <c:pt idx="12">
                  <c:v>0.33221958369629639</c:v>
                </c:pt>
                <c:pt idx="13">
                  <c:v>0.32306343468050919</c:v>
                </c:pt>
                <c:pt idx="14">
                  <c:v>0.28121710877556932</c:v>
                </c:pt>
                <c:pt idx="15">
                  <c:v>0.30715218522280457</c:v>
                </c:pt>
                <c:pt idx="16">
                  <c:v>0.30020336972333245</c:v>
                </c:pt>
                <c:pt idx="17">
                  <c:v>0.31298892138360251</c:v>
                </c:pt>
                <c:pt idx="18">
                  <c:v>0.33354703017624365</c:v>
                </c:pt>
                <c:pt idx="19">
                  <c:v>0.34949254474514424</c:v>
                </c:pt>
                <c:pt idx="20">
                  <c:v>0.34318395755483927</c:v>
                </c:pt>
                <c:pt idx="21">
                  <c:v>0.34779080215143698</c:v>
                </c:pt>
                <c:pt idx="22">
                  <c:v>0.37657110067370836</c:v>
                </c:pt>
                <c:pt idx="23">
                  <c:v>0.36616082801204564</c:v>
                </c:pt>
                <c:pt idx="24">
                  <c:v>0.34305847088875918</c:v>
                </c:pt>
                <c:pt idx="25">
                  <c:v>0.37879398307890527</c:v>
                </c:pt>
                <c:pt idx="26">
                  <c:v>0.35308992802713146</c:v>
                </c:pt>
                <c:pt idx="27">
                  <c:v>0.37358042464616642</c:v>
                </c:pt>
                <c:pt idx="28">
                  <c:v>0.35061110083519487</c:v>
                </c:pt>
                <c:pt idx="29">
                  <c:v>0.37321859402014124</c:v>
                </c:pt>
                <c:pt idx="30">
                  <c:v>0.38629021437344535</c:v>
                </c:pt>
                <c:pt idx="31">
                  <c:v>0.39728286212880926</c:v>
                </c:pt>
                <c:pt idx="32">
                  <c:v>0.38123016889694722</c:v>
                </c:pt>
                <c:pt idx="33">
                  <c:v>0.39914749127762089</c:v>
                </c:pt>
                <c:pt idx="34">
                  <c:v>0.45734749922588441</c:v>
                </c:pt>
                <c:pt idx="35">
                  <c:v>0.47277067882511792</c:v>
                </c:pt>
                <c:pt idx="36">
                  <c:v>0.44208947243346008</c:v>
                </c:pt>
                <c:pt idx="37">
                  <c:v>0.42745878309721286</c:v>
                </c:pt>
                <c:pt idx="38">
                  <c:v>0.46995196605442258</c:v>
                </c:pt>
                <c:pt idx="39">
                  <c:v>0.49358954929833598</c:v>
                </c:pt>
                <c:pt idx="40">
                  <c:v>0.51559307114338704</c:v>
                </c:pt>
                <c:pt idx="41">
                  <c:v>0.5261495090891416</c:v>
                </c:pt>
                <c:pt idx="42">
                  <c:v>0.54870034645207411</c:v>
                </c:pt>
                <c:pt idx="43">
                  <c:v>0.58898342141099158</c:v>
                </c:pt>
                <c:pt idx="44">
                  <c:v>0.53561044287332049</c:v>
                </c:pt>
                <c:pt idx="45">
                  <c:v>0.53237514217764448</c:v>
                </c:pt>
                <c:pt idx="46">
                  <c:v>0.52813916323910826</c:v>
                </c:pt>
                <c:pt idx="47">
                  <c:v>0.47424026935245117</c:v>
                </c:pt>
                <c:pt idx="48">
                  <c:v>0.42074899561024204</c:v>
                </c:pt>
                <c:pt idx="49">
                  <c:v>0.35888248731906142</c:v>
                </c:pt>
                <c:pt idx="50">
                  <c:v>0.39480344270689721</c:v>
                </c:pt>
                <c:pt idx="51">
                  <c:v>0.39065581159501944</c:v>
                </c:pt>
                <c:pt idx="52">
                  <c:v>0.42144471453026783</c:v>
                </c:pt>
                <c:pt idx="53">
                  <c:v>0.39376134518008982</c:v>
                </c:pt>
                <c:pt idx="54">
                  <c:v>0.39078557894644933</c:v>
                </c:pt>
                <c:pt idx="55">
                  <c:v>0.41169718480909512</c:v>
                </c:pt>
                <c:pt idx="56">
                  <c:v>0.46107871556963298</c:v>
                </c:pt>
                <c:pt idx="57">
                  <c:v>0.44130043045476852</c:v>
                </c:pt>
                <c:pt idx="58">
                  <c:v>0.45792210467684774</c:v>
                </c:pt>
                <c:pt idx="59">
                  <c:v>0.49585093866893892</c:v>
                </c:pt>
                <c:pt idx="60">
                  <c:v>0.45494806097228452</c:v>
                </c:pt>
                <c:pt idx="61">
                  <c:v>0.38944002965502861</c:v>
                </c:pt>
                <c:pt idx="62">
                  <c:v>0.37634245667203331</c:v>
                </c:pt>
                <c:pt idx="63">
                  <c:v>0.41978907533161086</c:v>
                </c:pt>
                <c:pt idx="64">
                  <c:v>0.38935334258958376</c:v>
                </c:pt>
                <c:pt idx="65">
                  <c:v>0.4135607791241856</c:v>
                </c:pt>
                <c:pt idx="66">
                  <c:v>0.47910421047921609</c:v>
                </c:pt>
                <c:pt idx="67">
                  <c:v>0.4463760841341165</c:v>
                </c:pt>
                <c:pt idx="68">
                  <c:v>0.42044884683901596</c:v>
                </c:pt>
                <c:pt idx="69">
                  <c:v>0.34635909232136142</c:v>
                </c:pt>
                <c:pt idx="70">
                  <c:v>0.29911374560916992</c:v>
                </c:pt>
                <c:pt idx="71">
                  <c:v>0.29043946854966085</c:v>
                </c:pt>
                <c:pt idx="72">
                  <c:v>0.32533944981516216</c:v>
                </c:pt>
                <c:pt idx="73">
                  <c:v>0.29482737411841892</c:v>
                </c:pt>
                <c:pt idx="74">
                  <c:v>0.35852178447826294</c:v>
                </c:pt>
                <c:pt idx="75">
                  <c:v>0.32447635441647416</c:v>
                </c:pt>
                <c:pt idx="76">
                  <c:v>0.32091706553926957</c:v>
                </c:pt>
                <c:pt idx="77">
                  <c:v>0.37906310689134315</c:v>
                </c:pt>
                <c:pt idx="78">
                  <c:v>0.38363125216110167</c:v>
                </c:pt>
                <c:pt idx="79">
                  <c:v>0.41366915004102073</c:v>
                </c:pt>
                <c:pt idx="80">
                  <c:v>0.39321107291742852</c:v>
                </c:pt>
                <c:pt idx="81">
                  <c:v>0.30423754856049939</c:v>
                </c:pt>
                <c:pt idx="82">
                  <c:v>0.30886747647755869</c:v>
                </c:pt>
                <c:pt idx="83">
                  <c:v>0.34495647214641573</c:v>
                </c:pt>
                <c:pt idx="84">
                  <c:v>0.30918819861133967</c:v>
                </c:pt>
                <c:pt idx="85">
                  <c:v>0.34669475433183006</c:v>
                </c:pt>
                <c:pt idx="86">
                  <c:v>0.31532198371576609</c:v>
                </c:pt>
                <c:pt idx="87">
                  <c:v>0.25999935935764928</c:v>
                </c:pt>
                <c:pt idx="88">
                  <c:v>0.24522711797452038</c:v>
                </c:pt>
                <c:pt idx="89">
                  <c:v>0.36220248210988526</c:v>
                </c:pt>
                <c:pt idx="90">
                  <c:v>0.29277134888414441</c:v>
                </c:pt>
                <c:pt idx="91">
                  <c:v>0.25580987228591107</c:v>
                </c:pt>
                <c:pt idx="92">
                  <c:v>0.2359908221302999</c:v>
                </c:pt>
                <c:pt idx="93">
                  <c:v>0.18694392675628743</c:v>
                </c:pt>
                <c:pt idx="94">
                  <c:v>0.17013007378900835</c:v>
                </c:pt>
                <c:pt idx="95">
                  <c:v>0.22217944578293303</c:v>
                </c:pt>
                <c:pt idx="96">
                  <c:v>0.15204898373792572</c:v>
                </c:pt>
                <c:pt idx="97">
                  <c:v>0.21436273024043884</c:v>
                </c:pt>
                <c:pt idx="98">
                  <c:v>0.19846115084210322</c:v>
                </c:pt>
                <c:pt idx="99">
                  <c:v>0.25418814900001452</c:v>
                </c:pt>
                <c:pt idx="100">
                  <c:v>0.29198448581362446</c:v>
                </c:pt>
                <c:pt idx="101">
                  <c:v>0.23874296884732218</c:v>
                </c:pt>
                <c:pt idx="102">
                  <c:v>0.1849410410188414</c:v>
                </c:pt>
                <c:pt idx="103">
                  <c:v>0.17000481853729676</c:v>
                </c:pt>
                <c:pt idx="104">
                  <c:v>0.16092136002934759</c:v>
                </c:pt>
                <c:pt idx="105">
                  <c:v>0.14945815773630344</c:v>
                </c:pt>
                <c:pt idx="106">
                  <c:v>0.20426955212344922</c:v>
                </c:pt>
                <c:pt idx="107">
                  <c:v>0.22096335561189215</c:v>
                </c:pt>
                <c:pt idx="108">
                  <c:v>0.29597045027496127</c:v>
                </c:pt>
                <c:pt idx="109">
                  <c:v>0.21488260665773415</c:v>
                </c:pt>
                <c:pt idx="110">
                  <c:v>0.2107859400373675</c:v>
                </c:pt>
                <c:pt idx="111">
                  <c:v>0.19400924399734915</c:v>
                </c:pt>
                <c:pt idx="112">
                  <c:v>0.17624525741954877</c:v>
                </c:pt>
                <c:pt idx="113">
                  <c:v>0.16820668574654907</c:v>
                </c:pt>
                <c:pt idx="114">
                  <c:v>0.18176310209027569</c:v>
                </c:pt>
                <c:pt idx="115">
                  <c:v>0.16721777582293296</c:v>
                </c:pt>
                <c:pt idx="116">
                  <c:v>0.17125573927495</c:v>
                </c:pt>
                <c:pt idx="117">
                  <c:v>0.17656425075190188</c:v>
                </c:pt>
                <c:pt idx="118">
                  <c:v>0.17625828161162391</c:v>
                </c:pt>
                <c:pt idx="119">
                  <c:v>0.20515403509335217</c:v>
                </c:pt>
                <c:pt idx="120">
                  <c:v>0.1989635373367416</c:v>
                </c:pt>
                <c:pt idx="121">
                  <c:v>0.25554700666813218</c:v>
                </c:pt>
                <c:pt idx="122">
                  <c:v>0.34970251249447526</c:v>
                </c:pt>
                <c:pt idx="123">
                  <c:v>0.3694955028111731</c:v>
                </c:pt>
                <c:pt idx="124">
                  <c:v>0.3879294494194559</c:v>
                </c:pt>
                <c:pt idx="125">
                  <c:v>0.38289562522722159</c:v>
                </c:pt>
                <c:pt idx="126">
                  <c:v>0.32717391304347826</c:v>
                </c:pt>
                <c:pt idx="127">
                  <c:v>0.35099864635061406</c:v>
                </c:pt>
                <c:pt idx="128">
                  <c:v>0.35874273881034496</c:v>
                </c:pt>
                <c:pt idx="129">
                  <c:v>0.39480555173835374</c:v>
                </c:pt>
                <c:pt idx="130">
                  <c:v>0.33097910292810684</c:v>
                </c:pt>
                <c:pt idx="131">
                  <c:v>0.29763654633481984</c:v>
                </c:pt>
                <c:pt idx="132">
                  <c:v>0.26688481448778545</c:v>
                </c:pt>
                <c:pt idx="133">
                  <c:v>0.23384521031294056</c:v>
                </c:pt>
                <c:pt idx="134">
                  <c:v>0.23595611490749391</c:v>
                </c:pt>
                <c:pt idx="135">
                  <c:v>0.28546656893113587</c:v>
                </c:pt>
                <c:pt idx="136">
                  <c:v>0.36884757222977871</c:v>
                </c:pt>
                <c:pt idx="137">
                  <c:v>0.38331880836507609</c:v>
                </c:pt>
                <c:pt idx="138">
                  <c:v>0.36936973360151748</c:v>
                </c:pt>
                <c:pt idx="139">
                  <c:v>0.3085402879974149</c:v>
                </c:pt>
                <c:pt idx="140">
                  <c:v>0.33657817805396983</c:v>
                </c:pt>
                <c:pt idx="141">
                  <c:v>0.32163505088719563</c:v>
                </c:pt>
                <c:pt idx="142">
                  <c:v>0.22728699173832184</c:v>
                </c:pt>
                <c:pt idx="143">
                  <c:v>0.20895467726738515</c:v>
                </c:pt>
                <c:pt idx="144">
                  <c:v>0.24507770442879717</c:v>
                </c:pt>
                <c:pt idx="145">
                  <c:v>0.22484722756134096</c:v>
                </c:pt>
                <c:pt idx="146">
                  <c:v>0.22359786780118551</c:v>
                </c:pt>
                <c:pt idx="147">
                  <c:v>0.21169733727088572</c:v>
                </c:pt>
                <c:pt idx="148">
                  <c:v>0.22886340056903171</c:v>
                </c:pt>
                <c:pt idx="149">
                  <c:v>0.29745302020921049</c:v>
                </c:pt>
                <c:pt idx="150">
                  <c:v>0.24160665554237709</c:v>
                </c:pt>
                <c:pt idx="151">
                  <c:v>0.20360625746135599</c:v>
                </c:pt>
                <c:pt idx="152">
                  <c:v>0.18402100328667392</c:v>
                </c:pt>
                <c:pt idx="153">
                  <c:v>0.18463081627485733</c:v>
                </c:pt>
                <c:pt idx="154">
                  <c:v>0.1788685022089393</c:v>
                </c:pt>
                <c:pt idx="155">
                  <c:v>0.17354315911031881</c:v>
                </c:pt>
                <c:pt idx="156">
                  <c:v>0.15147838880786754</c:v>
                </c:pt>
                <c:pt idx="157">
                  <c:v>0.16127918940390451</c:v>
                </c:pt>
                <c:pt idx="158">
                  <c:v>0.2345735360583506</c:v>
                </c:pt>
                <c:pt idx="159">
                  <c:v>0.20933238516622824</c:v>
                </c:pt>
                <c:pt idx="160">
                  <c:v>0.2066746700863096</c:v>
                </c:pt>
                <c:pt idx="161">
                  <c:v>0.19992377372782427</c:v>
                </c:pt>
                <c:pt idx="162">
                  <c:v>0.16893303180790253</c:v>
                </c:pt>
                <c:pt idx="163">
                  <c:v>0.10671554182968522</c:v>
                </c:pt>
                <c:pt idx="164">
                  <c:v>0.11016658061477774</c:v>
                </c:pt>
                <c:pt idx="165">
                  <c:v>0.14962909119229495</c:v>
                </c:pt>
                <c:pt idx="166">
                  <c:v>0.13212228375465329</c:v>
                </c:pt>
                <c:pt idx="167">
                  <c:v>0.12439745505072138</c:v>
                </c:pt>
                <c:pt idx="168">
                  <c:v>0.11113542578466926</c:v>
                </c:pt>
                <c:pt idx="169">
                  <c:v>0.11737824257144196</c:v>
                </c:pt>
                <c:pt idx="170">
                  <c:v>0.14807802022440322</c:v>
                </c:pt>
                <c:pt idx="171">
                  <c:v>0.13383135927096051</c:v>
                </c:pt>
                <c:pt idx="172">
                  <c:v>0.13392768362060029</c:v>
                </c:pt>
                <c:pt idx="173">
                  <c:v>0.18065657969245943</c:v>
                </c:pt>
                <c:pt idx="174">
                  <c:v>0.18811625821381839</c:v>
                </c:pt>
                <c:pt idx="175">
                  <c:v>0.19724640775257118</c:v>
                </c:pt>
                <c:pt idx="176">
                  <c:v>0.19145324986772397</c:v>
                </c:pt>
                <c:pt idx="177">
                  <c:v>0.2271655676993948</c:v>
                </c:pt>
                <c:pt idx="178">
                  <c:v>0.21781144541301967</c:v>
                </c:pt>
                <c:pt idx="179">
                  <c:v>0.26760693279103176</c:v>
                </c:pt>
                <c:pt idx="180">
                  <c:v>0.28237974753677525</c:v>
                </c:pt>
                <c:pt idx="181">
                  <c:v>0.23926315616651694</c:v>
                </c:pt>
                <c:pt idx="182">
                  <c:v>0.22614707788774932</c:v>
                </c:pt>
                <c:pt idx="183">
                  <c:v>0.2103847884788479</c:v>
                </c:pt>
                <c:pt idx="184">
                  <c:v>0.20307897648595832</c:v>
                </c:pt>
                <c:pt idx="185">
                  <c:v>0.23654394829289133</c:v>
                </c:pt>
                <c:pt idx="186">
                  <c:v>0.2782908660805864</c:v>
                </c:pt>
                <c:pt idx="187">
                  <c:v>0.28259437387998121</c:v>
                </c:pt>
                <c:pt idx="188">
                  <c:v>0.30230987798763165</c:v>
                </c:pt>
                <c:pt idx="189">
                  <c:v>0.25079376051243057</c:v>
                </c:pt>
                <c:pt idx="190">
                  <c:v>0.25503717366255862</c:v>
                </c:pt>
                <c:pt idx="191">
                  <c:v>0.24250801579976466</c:v>
                </c:pt>
                <c:pt idx="192">
                  <c:v>0.25517979320375977</c:v>
                </c:pt>
                <c:pt idx="193">
                  <c:v>0.29740287069592897</c:v>
                </c:pt>
                <c:pt idx="194">
                  <c:v>0.33796239611459455</c:v>
                </c:pt>
                <c:pt idx="195">
                  <c:v>0.28931212117034527</c:v>
                </c:pt>
                <c:pt idx="196">
                  <c:v>0.27302455880269022</c:v>
                </c:pt>
                <c:pt idx="197">
                  <c:v>0.26036344537815126</c:v>
                </c:pt>
                <c:pt idx="198">
                  <c:v>0.24596335298424921</c:v>
                </c:pt>
                <c:pt idx="199">
                  <c:v>0.23156973769631933</c:v>
                </c:pt>
                <c:pt idx="200">
                  <c:v>0.22046318274096027</c:v>
                </c:pt>
                <c:pt idx="201">
                  <c:v>0.23826470129833327</c:v>
                </c:pt>
                <c:pt idx="202">
                  <c:v>0.20670168238850151</c:v>
                </c:pt>
                <c:pt idx="203">
                  <c:v>0.18154721781695268</c:v>
                </c:pt>
                <c:pt idx="204">
                  <c:v>0.20858575284094177</c:v>
                </c:pt>
                <c:pt idx="205">
                  <c:v>0.23225476435236439</c:v>
                </c:pt>
                <c:pt idx="206">
                  <c:v>0.21229374006242271</c:v>
                </c:pt>
                <c:pt idx="207">
                  <c:v>0.20332469911158796</c:v>
                </c:pt>
                <c:pt idx="208">
                  <c:v>0.20754445913031178</c:v>
                </c:pt>
                <c:pt idx="209">
                  <c:v>0.22305260776156585</c:v>
                </c:pt>
                <c:pt idx="210">
                  <c:v>0.21585787722479446</c:v>
                </c:pt>
                <c:pt idx="211">
                  <c:v>0.21414130642459467</c:v>
                </c:pt>
                <c:pt idx="212">
                  <c:v>0.19949567310447591</c:v>
                </c:pt>
                <c:pt idx="213">
                  <c:v>0.17747591251901643</c:v>
                </c:pt>
                <c:pt idx="214">
                  <c:v>0.16007843533718349</c:v>
                </c:pt>
                <c:pt idx="215">
                  <c:v>0.15076861179826082</c:v>
                </c:pt>
                <c:pt idx="216">
                  <c:v>0.17507992385820997</c:v>
                </c:pt>
                <c:pt idx="217">
                  <c:v>0.17938167714682007</c:v>
                </c:pt>
                <c:pt idx="218">
                  <c:v>0.18060124269005848</c:v>
                </c:pt>
                <c:pt idx="219">
                  <c:v>0.17343824464825855</c:v>
                </c:pt>
                <c:pt idx="220">
                  <c:v>0.19924915228463488</c:v>
                </c:pt>
                <c:pt idx="221">
                  <c:v>0.23032380431899829</c:v>
                </c:pt>
                <c:pt idx="222">
                  <c:v>0.2140925780503852</c:v>
                </c:pt>
                <c:pt idx="223">
                  <c:v>0.2163222099644809</c:v>
                </c:pt>
                <c:pt idx="224">
                  <c:v>0.2011488780983211</c:v>
                </c:pt>
                <c:pt idx="225">
                  <c:v>0.27007577958350282</c:v>
                </c:pt>
                <c:pt idx="226">
                  <c:v>0.27513448128337603</c:v>
                </c:pt>
                <c:pt idx="227">
                  <c:v>0.27351091529943872</c:v>
                </c:pt>
                <c:pt idx="228">
                  <c:v>0.27861164066625493</c:v>
                </c:pt>
                <c:pt idx="229">
                  <c:v>0.3013471976540063</c:v>
                </c:pt>
                <c:pt idx="230">
                  <c:v>0.32411044960151925</c:v>
                </c:pt>
                <c:pt idx="231">
                  <c:v>0.33342688427823558</c:v>
                </c:pt>
                <c:pt idx="232">
                  <c:v>0.34466726429856909</c:v>
                </c:pt>
                <c:pt idx="233">
                  <c:v>0.30575532041042669</c:v>
                </c:pt>
                <c:pt idx="234">
                  <c:v>0.32222846883444262</c:v>
                </c:pt>
                <c:pt idx="235">
                  <c:v>0.28365948935610791</c:v>
                </c:pt>
                <c:pt idx="236">
                  <c:v>0.27513799232856206</c:v>
                </c:pt>
                <c:pt idx="237">
                  <c:v>0.26341254141144504</c:v>
                </c:pt>
                <c:pt idx="238">
                  <c:v>0.22464513184178514</c:v>
                </c:pt>
                <c:pt idx="239">
                  <c:v>0.23525569820603645</c:v>
                </c:pt>
                <c:pt idx="240">
                  <c:v>0.20530507882199289</c:v>
                </c:pt>
                <c:pt idx="241">
                  <c:v>0.19785106177410983</c:v>
                </c:pt>
                <c:pt idx="242">
                  <c:v>0.19784569405653496</c:v>
                </c:pt>
                <c:pt idx="243">
                  <c:v>0.18077120891009213</c:v>
                </c:pt>
                <c:pt idx="244">
                  <c:v>0.18756067637488666</c:v>
                </c:pt>
                <c:pt idx="245">
                  <c:v>0.21285155959288887</c:v>
                </c:pt>
                <c:pt idx="246">
                  <c:v>0.21629274270888146</c:v>
                </c:pt>
                <c:pt idx="247">
                  <c:v>0.23330316221366021</c:v>
                </c:pt>
                <c:pt idx="248">
                  <c:v>0.22893349366386087</c:v>
                </c:pt>
                <c:pt idx="249">
                  <c:v>0.28944249995247318</c:v>
                </c:pt>
                <c:pt idx="250">
                  <c:v>0.3041008083528377</c:v>
                </c:pt>
                <c:pt idx="251">
                  <c:v>0.2999126356952504</c:v>
                </c:pt>
                <c:pt idx="252">
                  <c:v>0.32303757264341015</c:v>
                </c:pt>
                <c:pt idx="253">
                  <c:v>0.2887439085848762</c:v>
                </c:pt>
                <c:pt idx="254">
                  <c:v>0.26916519301614183</c:v>
                </c:pt>
                <c:pt idx="255">
                  <c:v>0.24938011126439269</c:v>
                </c:pt>
                <c:pt idx="256">
                  <c:v>0.3055251544571933</c:v>
                </c:pt>
                <c:pt idx="257">
                  <c:v>0.26474959115307273</c:v>
                </c:pt>
                <c:pt idx="258">
                  <c:v>0.22732138953185677</c:v>
                </c:pt>
                <c:pt idx="259">
                  <c:v>0.18797891357068849</c:v>
                </c:pt>
                <c:pt idx="260">
                  <c:v>0.16843115490066837</c:v>
                </c:pt>
                <c:pt idx="261">
                  <c:v>0.17908456507237608</c:v>
                </c:pt>
                <c:pt idx="262">
                  <c:v>0.15721242066297553</c:v>
                </c:pt>
                <c:pt idx="263">
                  <c:v>0.13190846621579699</c:v>
                </c:pt>
                <c:pt idx="264">
                  <c:v>0.13202395648299903</c:v>
                </c:pt>
                <c:pt idx="265">
                  <c:v>0.12905426403595874</c:v>
                </c:pt>
                <c:pt idx="266">
                  <c:v>0.15562575153169317</c:v>
                </c:pt>
                <c:pt idx="267">
                  <c:v>0.20632825109296896</c:v>
                </c:pt>
                <c:pt idx="268">
                  <c:v>0.2324637634940124</c:v>
                </c:pt>
                <c:pt idx="269">
                  <c:v>0.24478044445842442</c:v>
                </c:pt>
                <c:pt idx="270">
                  <c:v>0.2263782345291977</c:v>
                </c:pt>
                <c:pt idx="271">
                  <c:v>0.19959457259374269</c:v>
                </c:pt>
                <c:pt idx="272">
                  <c:v>0.18909851772254224</c:v>
                </c:pt>
                <c:pt idx="273">
                  <c:v>0.21320617605513051</c:v>
                </c:pt>
                <c:pt idx="274">
                  <c:v>0.23380728618930963</c:v>
                </c:pt>
                <c:pt idx="275">
                  <c:v>0.25795924165478207</c:v>
                </c:pt>
                <c:pt idx="276">
                  <c:v>0.23605780638551901</c:v>
                </c:pt>
                <c:pt idx="277">
                  <c:v>0.18998363089877973</c:v>
                </c:pt>
                <c:pt idx="278">
                  <c:v>0.17207990178941635</c:v>
                </c:pt>
                <c:pt idx="279">
                  <c:v>0.1616672354301748</c:v>
                </c:pt>
                <c:pt idx="280">
                  <c:v>0.16091872288985282</c:v>
                </c:pt>
                <c:pt idx="281">
                  <c:v>0.16302974755791932</c:v>
                </c:pt>
                <c:pt idx="282">
                  <c:v>0.15946936848922599</c:v>
                </c:pt>
                <c:pt idx="283">
                  <c:v>0.13298266114421539</c:v>
                </c:pt>
                <c:pt idx="284">
                  <c:v>0.15408401636577232</c:v>
                </c:pt>
                <c:pt idx="285">
                  <c:v>0.1470863764108814</c:v>
                </c:pt>
                <c:pt idx="286">
                  <c:v>0.13658910834414092</c:v>
                </c:pt>
                <c:pt idx="287">
                  <c:v>0.12472186884285859</c:v>
                </c:pt>
                <c:pt idx="288">
                  <c:v>0.11628885556142982</c:v>
                </c:pt>
                <c:pt idx="289">
                  <c:v>0.12694396824519039</c:v>
                </c:pt>
                <c:pt idx="290">
                  <c:v>0.13215934085331132</c:v>
                </c:pt>
                <c:pt idx="291">
                  <c:v>0.14098144830839529</c:v>
                </c:pt>
                <c:pt idx="292">
                  <c:v>0.14694394736959931</c:v>
                </c:pt>
                <c:pt idx="293">
                  <c:v>0.13764900108364425</c:v>
                </c:pt>
                <c:pt idx="294">
                  <c:v>0.14591412495241721</c:v>
                </c:pt>
                <c:pt idx="295">
                  <c:v>0.16056080288691993</c:v>
                </c:pt>
                <c:pt idx="296">
                  <c:v>0.16798025536841812</c:v>
                </c:pt>
                <c:pt idx="297">
                  <c:v>0.16246838578040787</c:v>
                </c:pt>
                <c:pt idx="298">
                  <c:v>0.17272819816762811</c:v>
                </c:pt>
                <c:pt idx="299">
                  <c:v>0.17815596618225116</c:v>
                </c:pt>
                <c:pt idx="300">
                  <c:v>0.17971868162867116</c:v>
                </c:pt>
                <c:pt idx="301">
                  <c:v>0.19851003949577845</c:v>
                </c:pt>
                <c:pt idx="302">
                  <c:v>0.2239397630735952</c:v>
                </c:pt>
                <c:pt idx="303">
                  <c:v>0.24538225368394229</c:v>
                </c:pt>
                <c:pt idx="304">
                  <c:v>0.26485897458040952</c:v>
                </c:pt>
                <c:pt idx="305">
                  <c:v>0.23195001754820094</c:v>
                </c:pt>
                <c:pt idx="306">
                  <c:v>0.22900052371290497</c:v>
                </c:pt>
                <c:pt idx="307">
                  <c:v>0.22068524336663312</c:v>
                </c:pt>
                <c:pt idx="308">
                  <c:v>0.22342338714049603</c:v>
                </c:pt>
                <c:pt idx="309">
                  <c:v>0.23953471188327236</c:v>
                </c:pt>
                <c:pt idx="310">
                  <c:v>0.19730989653570979</c:v>
                </c:pt>
                <c:pt idx="311">
                  <c:v>0.19188809127778553</c:v>
                </c:pt>
                <c:pt idx="312">
                  <c:v>0.24122104284496784</c:v>
                </c:pt>
                <c:pt idx="313">
                  <c:v>0.26307829707517899</c:v>
                </c:pt>
                <c:pt idx="314">
                  <c:v>0.263327152800997</c:v>
                </c:pt>
                <c:pt idx="315">
                  <c:v>0.23972318442427137</c:v>
                </c:pt>
                <c:pt idx="316">
                  <c:v>0.23426449761451024</c:v>
                </c:pt>
                <c:pt idx="317">
                  <c:v>0.20438847302984547</c:v>
                </c:pt>
                <c:pt idx="318">
                  <c:v>0.1815835218006871</c:v>
                </c:pt>
                <c:pt idx="319">
                  <c:v>0.17191022410820847</c:v>
                </c:pt>
                <c:pt idx="320">
                  <c:v>0.16169809115967035</c:v>
                </c:pt>
                <c:pt idx="321">
                  <c:v>0.16811790822123718</c:v>
                </c:pt>
                <c:pt idx="322">
                  <c:v>0.17635198030207488</c:v>
                </c:pt>
                <c:pt idx="323">
                  <c:v>0.19048949890796923</c:v>
                </c:pt>
                <c:pt idx="324">
                  <c:v>0.1897340583866354</c:v>
                </c:pt>
                <c:pt idx="325">
                  <c:v>0.16281774308123823</c:v>
                </c:pt>
                <c:pt idx="326">
                  <c:v>0.14180848981398211</c:v>
                </c:pt>
                <c:pt idx="327">
                  <c:v>0.11575888054793805</c:v>
                </c:pt>
                <c:pt idx="328">
                  <c:v>0.11821481436421517</c:v>
                </c:pt>
                <c:pt idx="329">
                  <c:v>0.14106095226332366</c:v>
                </c:pt>
                <c:pt idx="330">
                  <c:v>0.13537622685995715</c:v>
                </c:pt>
                <c:pt idx="331">
                  <c:v>0.12176165803108809</c:v>
                </c:pt>
                <c:pt idx="332">
                  <c:v>0.10415018940182326</c:v>
                </c:pt>
                <c:pt idx="333">
                  <c:v>0.11103391714076097</c:v>
                </c:pt>
                <c:pt idx="334">
                  <c:v>0.1165695373767897</c:v>
                </c:pt>
                <c:pt idx="335">
                  <c:v>0.11705294404886379</c:v>
                </c:pt>
                <c:pt idx="336">
                  <c:v>0.11790802867237672</c:v>
                </c:pt>
                <c:pt idx="337">
                  <c:v>0.12126839278037445</c:v>
                </c:pt>
                <c:pt idx="338">
                  <c:v>0.14019545397156852</c:v>
                </c:pt>
                <c:pt idx="339">
                  <c:v>0.17415439282982412</c:v>
                </c:pt>
                <c:pt idx="340">
                  <c:v>0.18971469499820939</c:v>
                </c:pt>
                <c:pt idx="341">
                  <c:v>0.18598782723240145</c:v>
                </c:pt>
                <c:pt idx="342">
                  <c:v>0.2307748968768415</c:v>
                </c:pt>
                <c:pt idx="343">
                  <c:v>0.26735632940247506</c:v>
                </c:pt>
                <c:pt idx="344">
                  <c:v>0.29596542855729757</c:v>
                </c:pt>
                <c:pt idx="345">
                  <c:v>0.29792292675165083</c:v>
                </c:pt>
                <c:pt idx="346">
                  <c:v>0.31801133821771432</c:v>
                </c:pt>
                <c:pt idx="347">
                  <c:v>0.30042192717125027</c:v>
                </c:pt>
                <c:pt idx="348">
                  <c:v>0.29578162677174619</c:v>
                </c:pt>
                <c:pt idx="349">
                  <c:v>0.32625504348245432</c:v>
                </c:pt>
                <c:pt idx="350">
                  <c:v>0.32527824385185777</c:v>
                </c:pt>
                <c:pt idx="351">
                  <c:v>0.32829546366468765</c:v>
                </c:pt>
                <c:pt idx="352">
                  <c:v>0.32347782265120284</c:v>
                </c:pt>
                <c:pt idx="353">
                  <c:v>0.32233114104956534</c:v>
                </c:pt>
                <c:pt idx="354">
                  <c:v>0.32337704838380071</c:v>
                </c:pt>
                <c:pt idx="355">
                  <c:v>0.33297606036032862</c:v>
                </c:pt>
                <c:pt idx="356">
                  <c:v>0.30350472583203109</c:v>
                </c:pt>
                <c:pt idx="357">
                  <c:v>0.32044866699097091</c:v>
                </c:pt>
                <c:pt idx="358">
                  <c:v>0.3319901261896267</c:v>
                </c:pt>
                <c:pt idx="359">
                  <c:v>0.2885999620924386</c:v>
                </c:pt>
                <c:pt idx="360">
                  <c:v>0.28332723396592485</c:v>
                </c:pt>
                <c:pt idx="361">
                  <c:v>0.2444697054831822</c:v>
                </c:pt>
                <c:pt idx="362">
                  <c:v>0.25988928108124415</c:v>
                </c:pt>
                <c:pt idx="363">
                  <c:v>0.26969707654921737</c:v>
                </c:pt>
                <c:pt idx="364">
                  <c:v>0.2732765113321618</c:v>
                </c:pt>
                <c:pt idx="365">
                  <c:v>0.28933184299025538</c:v>
                </c:pt>
                <c:pt idx="366">
                  <c:v>0.30074550088602164</c:v>
                </c:pt>
                <c:pt idx="367">
                  <c:v>0.30880973620784152</c:v>
                </c:pt>
                <c:pt idx="368">
                  <c:v>0.31410255660656466</c:v>
                </c:pt>
                <c:pt idx="369">
                  <c:v>0.2855228329086375</c:v>
                </c:pt>
                <c:pt idx="370">
                  <c:v>0.26666925361849886</c:v>
                </c:pt>
                <c:pt idx="371">
                  <c:v>0.27461905831238842</c:v>
                </c:pt>
                <c:pt idx="372">
                  <c:v>0.29090277267131426</c:v>
                </c:pt>
                <c:pt idx="373">
                  <c:v>0.3005404853816156</c:v>
                </c:pt>
                <c:pt idx="374">
                  <c:v>0.31465773625816185</c:v>
                </c:pt>
                <c:pt idx="375">
                  <c:v>0.31076776151213303</c:v>
                </c:pt>
                <c:pt idx="376">
                  <c:v>0.2805608888504374</c:v>
                </c:pt>
                <c:pt idx="377">
                  <c:v>0.24133497762651901</c:v>
                </c:pt>
                <c:pt idx="378">
                  <c:v>0.20955487677617463</c:v>
                </c:pt>
                <c:pt idx="379">
                  <c:v>0.17788773088935339</c:v>
                </c:pt>
                <c:pt idx="380">
                  <c:v>0.1800222034003742</c:v>
                </c:pt>
                <c:pt idx="381">
                  <c:v>0.15756544107449894</c:v>
                </c:pt>
                <c:pt idx="382">
                  <c:v>0.1434404304865001</c:v>
                </c:pt>
                <c:pt idx="383">
                  <c:v>0.1632164898937179</c:v>
                </c:pt>
                <c:pt idx="384">
                  <c:v>0.17370291967887527</c:v>
                </c:pt>
                <c:pt idx="385">
                  <c:v>0.17349677829466323</c:v>
                </c:pt>
                <c:pt idx="386">
                  <c:v>0.18418427613288801</c:v>
                </c:pt>
                <c:pt idx="387">
                  <c:v>0.18801654080025748</c:v>
                </c:pt>
                <c:pt idx="388">
                  <c:v>0.2003677316842139</c:v>
                </c:pt>
                <c:pt idx="389">
                  <c:v>0.20997000055044862</c:v>
                </c:pt>
                <c:pt idx="390">
                  <c:v>0.24620618467910632</c:v>
                </c:pt>
                <c:pt idx="391">
                  <c:v>0.25657932331412958</c:v>
                </c:pt>
                <c:pt idx="392">
                  <c:v>0.28321179433755755</c:v>
                </c:pt>
                <c:pt idx="393">
                  <c:v>0.3141541012325596</c:v>
                </c:pt>
                <c:pt idx="394">
                  <c:v>0.32916783326355159</c:v>
                </c:pt>
                <c:pt idx="395">
                  <c:v>0.3551139295955128</c:v>
                </c:pt>
                <c:pt idx="396">
                  <c:v>0.35908368531745932</c:v>
                </c:pt>
                <c:pt idx="397">
                  <c:v>0.3524621521966198</c:v>
                </c:pt>
                <c:pt idx="398">
                  <c:v>0.33535815154912785</c:v>
                </c:pt>
                <c:pt idx="399">
                  <c:v>0.2996149324473153</c:v>
                </c:pt>
                <c:pt idx="400">
                  <c:v>0.29464918237500148</c:v>
                </c:pt>
                <c:pt idx="401">
                  <c:v>0.27327827106408736</c:v>
                </c:pt>
                <c:pt idx="402">
                  <c:v>0.28399246355243141</c:v>
                </c:pt>
                <c:pt idx="403">
                  <c:v>0.2632357796357363</c:v>
                </c:pt>
                <c:pt idx="404">
                  <c:v>0.23569392409187165</c:v>
                </c:pt>
                <c:pt idx="405">
                  <c:v>0.27131088027218375</c:v>
                </c:pt>
                <c:pt idx="406">
                  <c:v>0.31326234362841382</c:v>
                </c:pt>
                <c:pt idx="407">
                  <c:v>0.28365898219383767</c:v>
                </c:pt>
                <c:pt idx="408">
                  <c:v>0.29726096494358711</c:v>
                </c:pt>
                <c:pt idx="409">
                  <c:v>0.33617466984106203</c:v>
                </c:pt>
                <c:pt idx="410">
                  <c:v>0.33827062575007455</c:v>
                </c:pt>
                <c:pt idx="411">
                  <c:v>0.34566658917176457</c:v>
                </c:pt>
                <c:pt idx="412">
                  <c:v>0.3432573484613351</c:v>
                </c:pt>
                <c:pt idx="413">
                  <c:v>0.35004447083215973</c:v>
                </c:pt>
                <c:pt idx="414">
                  <c:v>0.36119020096455406</c:v>
                </c:pt>
                <c:pt idx="415">
                  <c:v>0.35763215747205962</c:v>
                </c:pt>
                <c:pt idx="416">
                  <c:v>0.36330638793762254</c:v>
                </c:pt>
                <c:pt idx="417">
                  <c:v>0.37003983685038283</c:v>
                </c:pt>
                <c:pt idx="418">
                  <c:v>0.34847113945322716</c:v>
                </c:pt>
                <c:pt idx="419">
                  <c:v>0.31985636561479869</c:v>
                </c:pt>
                <c:pt idx="420">
                  <c:v>0.31587723019077396</c:v>
                </c:pt>
                <c:pt idx="421">
                  <c:v>0.31830815487619302</c:v>
                </c:pt>
                <c:pt idx="422">
                  <c:v>0.31975222342908149</c:v>
                </c:pt>
                <c:pt idx="423">
                  <c:v>0.27315743562587752</c:v>
                </c:pt>
                <c:pt idx="424">
                  <c:v>0.2506321350444155</c:v>
                </c:pt>
                <c:pt idx="425">
                  <c:v>0.21718922603238772</c:v>
                </c:pt>
                <c:pt idx="426">
                  <c:v>0.18680403676544163</c:v>
                </c:pt>
                <c:pt idx="427">
                  <c:v>0.1419533481932628</c:v>
                </c:pt>
                <c:pt idx="428">
                  <c:v>0.15656615433136054</c:v>
                </c:pt>
                <c:pt idx="429">
                  <c:v>0.19129009407728739</c:v>
                </c:pt>
                <c:pt idx="430">
                  <c:v>0.14277763857836712</c:v>
                </c:pt>
                <c:pt idx="431">
                  <c:v>0.1240234946151211</c:v>
                </c:pt>
                <c:pt idx="432">
                  <c:v>0.12130622357523413</c:v>
                </c:pt>
                <c:pt idx="433">
                  <c:v>0.13213190516605852</c:v>
                </c:pt>
                <c:pt idx="434">
                  <c:v>0.16413879103252854</c:v>
                </c:pt>
                <c:pt idx="435">
                  <c:v>0.11981982887007536</c:v>
                </c:pt>
                <c:pt idx="436">
                  <c:v>0.13198401473371457</c:v>
                </c:pt>
                <c:pt idx="437">
                  <c:v>0.12242728778558933</c:v>
                </c:pt>
                <c:pt idx="438">
                  <c:v>0.15288936217285967</c:v>
                </c:pt>
                <c:pt idx="439">
                  <c:v>0.19239439624519983</c:v>
                </c:pt>
                <c:pt idx="440">
                  <c:v>0.17857780686393313</c:v>
                </c:pt>
                <c:pt idx="441">
                  <c:v>0.21025478297453595</c:v>
                </c:pt>
                <c:pt idx="442">
                  <c:v>0.23019644770896153</c:v>
                </c:pt>
                <c:pt idx="443">
                  <c:v>0.2281216429827716</c:v>
                </c:pt>
                <c:pt idx="444">
                  <c:v>0.25185832240964229</c:v>
                </c:pt>
                <c:pt idx="445">
                  <c:v>0.29209499579487419</c:v>
                </c:pt>
                <c:pt idx="446">
                  <c:v>0.34173324659439286</c:v>
                </c:pt>
                <c:pt idx="447">
                  <c:v>0.32249695557791075</c:v>
                </c:pt>
                <c:pt idx="448">
                  <c:v>0.24616938425574761</c:v>
                </c:pt>
                <c:pt idx="449">
                  <c:v>0.16510511920424953</c:v>
                </c:pt>
                <c:pt idx="450">
                  <c:v>0.17157186044720904</c:v>
                </c:pt>
                <c:pt idx="451">
                  <c:v>0.23183711984050234</c:v>
                </c:pt>
                <c:pt idx="452">
                  <c:v>0.20705104574263494</c:v>
                </c:pt>
                <c:pt idx="453">
                  <c:v>0.26148522485430392</c:v>
                </c:pt>
                <c:pt idx="454">
                  <c:v>0.25891868898620263</c:v>
                </c:pt>
                <c:pt idx="455">
                  <c:v>0.17625799154829475</c:v>
                </c:pt>
                <c:pt idx="456">
                  <c:v>0.13890241860190208</c:v>
                </c:pt>
                <c:pt idx="457">
                  <c:v>0.12774999550286917</c:v>
                </c:pt>
                <c:pt idx="458">
                  <c:v>0.14527615057057031</c:v>
                </c:pt>
                <c:pt idx="459">
                  <c:v>0.19116691440375888</c:v>
                </c:pt>
                <c:pt idx="460">
                  <c:v>0.30674280412208316</c:v>
                </c:pt>
                <c:pt idx="461">
                  <c:v>0.32772859991555114</c:v>
                </c:pt>
                <c:pt idx="462">
                  <c:v>0.29999908361130456</c:v>
                </c:pt>
                <c:pt idx="463">
                  <c:v>0.27748759202999301</c:v>
                </c:pt>
                <c:pt idx="464">
                  <c:v>0.17177450422491694</c:v>
                </c:pt>
                <c:pt idx="465">
                  <c:v>0.14337276979074387</c:v>
                </c:pt>
                <c:pt idx="466">
                  <c:v>0.12026522514845685</c:v>
                </c:pt>
                <c:pt idx="467">
                  <c:v>0.12334592063303985</c:v>
                </c:pt>
                <c:pt idx="468">
                  <c:v>0.12987245523419833</c:v>
                </c:pt>
                <c:pt idx="469">
                  <c:v>0.13108318882816994</c:v>
                </c:pt>
                <c:pt idx="470">
                  <c:v>9.9644855412573827E-2</c:v>
                </c:pt>
                <c:pt idx="471">
                  <c:v>9.1699773858621783E-2</c:v>
                </c:pt>
                <c:pt idx="472">
                  <c:v>9.4216505492442024E-2</c:v>
                </c:pt>
                <c:pt idx="473">
                  <c:v>0.11131330760579194</c:v>
                </c:pt>
                <c:pt idx="474">
                  <c:v>8.6778937145610052E-2</c:v>
                </c:pt>
                <c:pt idx="475">
                  <c:v>7.9662833531862834E-2</c:v>
                </c:pt>
                <c:pt idx="476">
                  <c:v>0.10904852469908863</c:v>
                </c:pt>
                <c:pt idx="477">
                  <c:v>0.11683443287482283</c:v>
                </c:pt>
                <c:pt idx="478">
                  <c:v>0.20388504399668031</c:v>
                </c:pt>
                <c:pt idx="479">
                  <c:v>0.21266733073895949</c:v>
                </c:pt>
                <c:pt idx="480">
                  <c:v>0.22705201285536952</c:v>
                </c:pt>
                <c:pt idx="481">
                  <c:v>0.20077143162349978</c:v>
                </c:pt>
                <c:pt idx="482">
                  <c:v>0.15382709221081345</c:v>
                </c:pt>
                <c:pt idx="483">
                  <c:v>0.15179955929160205</c:v>
                </c:pt>
                <c:pt idx="484">
                  <c:v>0.20472524577463394</c:v>
                </c:pt>
                <c:pt idx="485">
                  <c:v>0.26535814174915201</c:v>
                </c:pt>
                <c:pt idx="486">
                  <c:v>0.32211010841032789</c:v>
                </c:pt>
                <c:pt idx="487">
                  <c:v>0.31669640519883191</c:v>
                </c:pt>
                <c:pt idx="488">
                  <c:v>0.24294066029476968</c:v>
                </c:pt>
                <c:pt idx="489">
                  <c:v>0.22691847940932502</c:v>
                </c:pt>
                <c:pt idx="490">
                  <c:v>0.25070036668308332</c:v>
                </c:pt>
                <c:pt idx="491">
                  <c:v>0.29099472303911017</c:v>
                </c:pt>
                <c:pt idx="492">
                  <c:v>0.33930915479522655</c:v>
                </c:pt>
                <c:pt idx="493">
                  <c:v>0.35351615836577954</c:v>
                </c:pt>
                <c:pt idx="494">
                  <c:v>0.32531703716012633</c:v>
                </c:pt>
                <c:pt idx="495">
                  <c:v>0.3022954559301026</c:v>
                </c:pt>
                <c:pt idx="496">
                  <c:v>0.25457520004077266</c:v>
                </c:pt>
                <c:pt idx="497">
                  <c:v>0.20857484369453042</c:v>
                </c:pt>
                <c:pt idx="498">
                  <c:v>0.16379110099011543</c:v>
                </c:pt>
                <c:pt idx="499">
                  <c:v>0.14599577340875491</c:v>
                </c:pt>
                <c:pt idx="500">
                  <c:v>0.15279156161482568</c:v>
                </c:pt>
                <c:pt idx="501">
                  <c:v>0.15723018258148203</c:v>
                </c:pt>
                <c:pt idx="502">
                  <c:v>0.22842114200077651</c:v>
                </c:pt>
                <c:pt idx="503">
                  <c:v>0.21322115545509396</c:v>
                </c:pt>
                <c:pt idx="504">
                  <c:v>0.20944232718192574</c:v>
                </c:pt>
                <c:pt idx="505">
                  <c:v>0.17617721101645428</c:v>
                </c:pt>
                <c:pt idx="506">
                  <c:v>0.14664268952239617</c:v>
                </c:pt>
                <c:pt idx="507">
                  <c:v>0.14988445180609603</c:v>
                </c:pt>
                <c:pt idx="508">
                  <c:v>0.16115439670948922</c:v>
                </c:pt>
                <c:pt idx="509">
                  <c:v>0.17187316353896948</c:v>
                </c:pt>
                <c:pt idx="510">
                  <c:v>0.16082757890837898</c:v>
                </c:pt>
                <c:pt idx="511">
                  <c:v>0.12707204342411321</c:v>
                </c:pt>
                <c:pt idx="512">
                  <c:v>0.10466977854933199</c:v>
                </c:pt>
                <c:pt idx="513">
                  <c:v>9.5989814286341485E-2</c:v>
                </c:pt>
                <c:pt idx="514">
                  <c:v>0.10586840213429283</c:v>
                </c:pt>
                <c:pt idx="515">
                  <c:v>8.0308574282581077E-2</c:v>
                </c:pt>
                <c:pt idx="516">
                  <c:v>9.1284564972271845E-2</c:v>
                </c:pt>
                <c:pt idx="517">
                  <c:v>8.9046612703855818E-2</c:v>
                </c:pt>
                <c:pt idx="518">
                  <c:v>9.640886808428023E-2</c:v>
                </c:pt>
                <c:pt idx="519">
                  <c:v>8.2298197398473785E-2</c:v>
                </c:pt>
                <c:pt idx="520">
                  <c:v>8.2807392275033948E-2</c:v>
                </c:pt>
                <c:pt idx="521">
                  <c:v>7.7933451565165596E-2</c:v>
                </c:pt>
                <c:pt idx="522">
                  <c:v>7.3746322271777714E-2</c:v>
                </c:pt>
                <c:pt idx="523">
                  <c:v>7.2703124330970814E-2</c:v>
                </c:pt>
                <c:pt idx="524">
                  <c:v>6.0385530515044798E-2</c:v>
                </c:pt>
                <c:pt idx="525">
                  <c:v>5.5574373817625068E-2</c:v>
                </c:pt>
                <c:pt idx="526">
                  <c:v>5.3297094149968888E-2</c:v>
                </c:pt>
                <c:pt idx="527">
                  <c:v>5.116081790936252E-2</c:v>
                </c:pt>
                <c:pt idx="528">
                  <c:v>4.9082081969064016E-2</c:v>
                </c:pt>
                <c:pt idx="529">
                  <c:v>6.189210298024371E-2</c:v>
                </c:pt>
                <c:pt idx="530">
                  <c:v>5.8820732939299604E-2</c:v>
                </c:pt>
                <c:pt idx="531">
                  <c:v>5.4258186393570752E-2</c:v>
                </c:pt>
                <c:pt idx="532">
                  <c:v>5.0157930238840812E-2</c:v>
                </c:pt>
                <c:pt idx="533">
                  <c:v>4.8960817747291996E-2</c:v>
                </c:pt>
                <c:pt idx="534">
                  <c:v>4.6966429333813564E-2</c:v>
                </c:pt>
                <c:pt idx="535">
                  <c:v>4.5523444788481429E-2</c:v>
                </c:pt>
                <c:pt idx="536">
                  <c:v>4.9060863577567802E-2</c:v>
                </c:pt>
                <c:pt idx="537">
                  <c:v>5.4014613140916067E-2</c:v>
                </c:pt>
                <c:pt idx="538">
                  <c:v>5.3055952202014131E-2</c:v>
                </c:pt>
                <c:pt idx="539">
                  <c:v>7.7970736374071217E-2</c:v>
                </c:pt>
                <c:pt idx="540">
                  <c:v>9.5885103396988025E-2</c:v>
                </c:pt>
                <c:pt idx="541">
                  <c:v>0.12485376541322735</c:v>
                </c:pt>
                <c:pt idx="542">
                  <c:v>0.13116052251092744</c:v>
                </c:pt>
                <c:pt idx="543">
                  <c:v>0.12870881952537724</c:v>
                </c:pt>
                <c:pt idx="544">
                  <c:v>0.11608621651089046</c:v>
                </c:pt>
                <c:pt idx="545">
                  <c:v>8.0414458060520722E-2</c:v>
                </c:pt>
                <c:pt idx="546">
                  <c:v>6.5468234650951987E-2</c:v>
                </c:pt>
                <c:pt idx="547">
                  <c:v>6.6258463672366902E-2</c:v>
                </c:pt>
                <c:pt idx="548">
                  <c:v>9.4595507946022672E-2</c:v>
                </c:pt>
                <c:pt idx="549">
                  <c:v>7.7637245734729771E-2</c:v>
                </c:pt>
                <c:pt idx="550">
                  <c:v>6.7350501862462178E-2</c:v>
                </c:pt>
                <c:pt idx="551">
                  <c:v>7.1974812544015915E-2</c:v>
                </c:pt>
                <c:pt idx="552">
                  <c:v>8.3001971882508879E-2</c:v>
                </c:pt>
                <c:pt idx="553">
                  <c:v>9.1390848345592857E-2</c:v>
                </c:pt>
                <c:pt idx="554">
                  <c:v>5.9496270544744531E-2</c:v>
                </c:pt>
                <c:pt idx="555">
                  <c:v>5.5818043459879937E-2</c:v>
                </c:pt>
                <c:pt idx="556">
                  <c:v>5.7750749565416051E-2</c:v>
                </c:pt>
                <c:pt idx="557">
                  <c:v>5.9247768959875269E-2</c:v>
                </c:pt>
                <c:pt idx="558">
                  <c:v>5.0799863009625669E-2</c:v>
                </c:pt>
                <c:pt idx="559">
                  <c:v>6.3189073736087217E-2</c:v>
                </c:pt>
                <c:pt idx="560">
                  <c:v>7.2505817417403917E-2</c:v>
                </c:pt>
                <c:pt idx="561">
                  <c:v>0.10406888516021486</c:v>
                </c:pt>
                <c:pt idx="562">
                  <c:v>0.14419739295214631</c:v>
                </c:pt>
                <c:pt idx="563">
                  <c:v>0.17837077923760658</c:v>
                </c:pt>
                <c:pt idx="564">
                  <c:v>0.22602461645072941</c:v>
                </c:pt>
                <c:pt idx="565">
                  <c:v>0.26754628432012373</c:v>
                </c:pt>
                <c:pt idx="566">
                  <c:v>0.28325075816948919</c:v>
                </c:pt>
                <c:pt idx="567">
                  <c:v>0.28662450794934774</c:v>
                </c:pt>
                <c:pt idx="568">
                  <c:v>0.32371545966705734</c:v>
                </c:pt>
                <c:pt idx="569">
                  <c:v>0.33244980763277759</c:v>
                </c:pt>
                <c:pt idx="570">
                  <c:v>0.34111322160775021</c:v>
                </c:pt>
                <c:pt idx="571">
                  <c:v>0.32528138139399476</c:v>
                </c:pt>
                <c:pt idx="572">
                  <c:v>0.33146411998887931</c:v>
                </c:pt>
                <c:pt idx="573">
                  <c:v>0.34242449301098704</c:v>
                </c:pt>
                <c:pt idx="574">
                  <c:v>0.29500244464106612</c:v>
                </c:pt>
                <c:pt idx="575">
                  <c:v>0.24211835283000574</c:v>
                </c:pt>
                <c:pt idx="576">
                  <c:v>0.18492768076652391</c:v>
                </c:pt>
                <c:pt idx="577">
                  <c:v>0.20898665800814689</c:v>
                </c:pt>
                <c:pt idx="578">
                  <c:v>0.20123133807227633</c:v>
                </c:pt>
                <c:pt idx="579">
                  <c:v>0.18968950564728046</c:v>
                </c:pt>
                <c:pt idx="580">
                  <c:v>0.18163679865281318</c:v>
                </c:pt>
                <c:pt idx="581">
                  <c:v>0.16440433081714032</c:v>
                </c:pt>
                <c:pt idx="582">
                  <c:v>0.16126268070873759</c:v>
                </c:pt>
                <c:pt idx="583">
                  <c:v>0.13311099747473087</c:v>
                </c:pt>
                <c:pt idx="584">
                  <c:v>0.11972330726274004</c:v>
                </c:pt>
                <c:pt idx="585">
                  <c:v>9.9615341588716683E-2</c:v>
                </c:pt>
                <c:pt idx="586">
                  <c:v>7.766668841730287E-2</c:v>
                </c:pt>
                <c:pt idx="587">
                  <c:v>7.0389595845391173E-2</c:v>
                </c:pt>
                <c:pt idx="588">
                  <c:v>5.9219570781420351E-2</c:v>
                </c:pt>
                <c:pt idx="589">
                  <c:v>7.2125457440567642E-2</c:v>
                </c:pt>
                <c:pt idx="590">
                  <c:v>8.2288675929749089E-2</c:v>
                </c:pt>
                <c:pt idx="591">
                  <c:v>8.6497158888339767E-2</c:v>
                </c:pt>
                <c:pt idx="592">
                  <c:v>9.2253757316880236E-2</c:v>
                </c:pt>
                <c:pt idx="593">
                  <c:v>0.13955690576130733</c:v>
                </c:pt>
                <c:pt idx="594">
                  <c:v>0.17621458013790622</c:v>
                </c:pt>
                <c:pt idx="595">
                  <c:v>0.21930553180400492</c:v>
                </c:pt>
                <c:pt idx="596">
                  <c:v>0.19866244260611007</c:v>
                </c:pt>
                <c:pt idx="597">
                  <c:v>0.18782022787356994</c:v>
                </c:pt>
                <c:pt idx="598">
                  <c:v>0.18813561548081681</c:v>
                </c:pt>
                <c:pt idx="599">
                  <c:v>0.18271851515908061</c:v>
                </c:pt>
                <c:pt idx="600">
                  <c:v>0.15263067146164835</c:v>
                </c:pt>
                <c:pt idx="601">
                  <c:v>0.1986125898778455</c:v>
                </c:pt>
                <c:pt idx="602">
                  <c:v>0.20263931607877511</c:v>
                </c:pt>
                <c:pt idx="603">
                  <c:v>0.22126325909309405</c:v>
                </c:pt>
                <c:pt idx="604">
                  <c:v>0.20823384261942873</c:v>
                </c:pt>
                <c:pt idx="605">
                  <c:v>0.19013346739991349</c:v>
                </c:pt>
                <c:pt idx="606">
                  <c:v>0.20745308705162402</c:v>
                </c:pt>
                <c:pt idx="607">
                  <c:v>0.20664085244737243</c:v>
                </c:pt>
                <c:pt idx="608">
                  <c:v>0.15196460992879124</c:v>
                </c:pt>
                <c:pt idx="609">
                  <c:v>0.15554126002440194</c:v>
                </c:pt>
                <c:pt idx="610">
                  <c:v>0.18322654003076716</c:v>
                </c:pt>
                <c:pt idx="611">
                  <c:v>0.23133309025635274</c:v>
                </c:pt>
                <c:pt idx="612">
                  <c:v>0.30191056374407843</c:v>
                </c:pt>
                <c:pt idx="613">
                  <c:v>0.3103342246351487</c:v>
                </c:pt>
                <c:pt idx="614">
                  <c:v>0.30717210976627712</c:v>
                </c:pt>
                <c:pt idx="615">
                  <c:v>0.27073516955189392</c:v>
                </c:pt>
                <c:pt idx="616">
                  <c:v>0.24172221102674368</c:v>
                </c:pt>
                <c:pt idx="617">
                  <c:v>0.1906628893384868</c:v>
                </c:pt>
                <c:pt idx="618">
                  <c:v>0.21062157206820847</c:v>
                </c:pt>
                <c:pt idx="619">
                  <c:v>0.13767274116641753</c:v>
                </c:pt>
                <c:pt idx="620">
                  <c:v>0.18307063088424716</c:v>
                </c:pt>
                <c:pt idx="621">
                  <c:v>0.12184271215741237</c:v>
                </c:pt>
                <c:pt idx="622">
                  <c:v>0.10285965844264132</c:v>
                </c:pt>
                <c:pt idx="623">
                  <c:v>0.11291712003309345</c:v>
                </c:pt>
                <c:pt idx="624">
                  <c:v>0.11601064802584787</c:v>
                </c:pt>
                <c:pt idx="625">
                  <c:v>0.10870568728862259</c:v>
                </c:pt>
                <c:pt idx="626">
                  <c:v>0.13184490002977603</c:v>
                </c:pt>
                <c:pt idx="627">
                  <c:v>0.13081155854117452</c:v>
                </c:pt>
                <c:pt idx="628">
                  <c:v>0.18515410111236055</c:v>
                </c:pt>
                <c:pt idx="629">
                  <c:v>0.23659752238280229</c:v>
                </c:pt>
                <c:pt idx="630">
                  <c:v>0.27427610489253246</c:v>
                </c:pt>
                <c:pt idx="631">
                  <c:v>0.26647029777577924</c:v>
                </c:pt>
                <c:pt idx="632">
                  <c:v>0.23776911328182171</c:v>
                </c:pt>
                <c:pt idx="633">
                  <c:v>0.29075069136258913</c:v>
                </c:pt>
                <c:pt idx="634">
                  <c:v>0.32000330935287336</c:v>
                </c:pt>
                <c:pt idx="635">
                  <c:v>0.34336385285952703</c:v>
                </c:pt>
                <c:pt idx="636">
                  <c:v>0.336860027111826</c:v>
                </c:pt>
                <c:pt idx="637">
                  <c:v>0.34660381909601312</c:v>
                </c:pt>
                <c:pt idx="638">
                  <c:v>0.30768663292830306</c:v>
                </c:pt>
                <c:pt idx="639">
                  <c:v>0.30279980787778349</c:v>
                </c:pt>
                <c:pt idx="640">
                  <c:v>0.24432594968957991</c:v>
                </c:pt>
                <c:pt idx="641">
                  <c:v>0.19947837749938863</c:v>
                </c:pt>
                <c:pt idx="642">
                  <c:v>0.17269520428551613</c:v>
                </c:pt>
                <c:pt idx="643">
                  <c:v>0.16263210026951141</c:v>
                </c:pt>
                <c:pt idx="644">
                  <c:v>0.14738375019118422</c:v>
                </c:pt>
                <c:pt idx="645">
                  <c:v>0.140844136721235</c:v>
                </c:pt>
                <c:pt idx="646">
                  <c:v>0.13902261393373821</c:v>
                </c:pt>
                <c:pt idx="647">
                  <c:v>0.1371192903427344</c:v>
                </c:pt>
                <c:pt idx="648">
                  <c:v>0.14442542693889218</c:v>
                </c:pt>
                <c:pt idx="649">
                  <c:v>0.13697934802332482</c:v>
                </c:pt>
                <c:pt idx="650">
                  <c:v>0.13574379963466929</c:v>
                </c:pt>
                <c:pt idx="651">
                  <c:v>0.1455702641340893</c:v>
                </c:pt>
                <c:pt idx="652">
                  <c:v>0.14758108142762416</c:v>
                </c:pt>
                <c:pt idx="653">
                  <c:v>0.14532359561104768</c:v>
                </c:pt>
                <c:pt idx="654">
                  <c:v>0.17110707358806604</c:v>
                </c:pt>
                <c:pt idx="655">
                  <c:v>0.17441123225697927</c:v>
                </c:pt>
                <c:pt idx="656">
                  <c:v>0.17344184265365431</c:v>
                </c:pt>
                <c:pt idx="657">
                  <c:v>0.18235547865880819</c:v>
                </c:pt>
                <c:pt idx="658">
                  <c:v>0.19745703472286633</c:v>
                </c:pt>
                <c:pt idx="659">
                  <c:v>0.21064020320692975</c:v>
                </c:pt>
                <c:pt idx="660">
                  <c:v>0.28767727616266148</c:v>
                </c:pt>
                <c:pt idx="661">
                  <c:v>0.29777729644755968</c:v>
                </c:pt>
                <c:pt idx="662">
                  <c:v>0.2590637075223518</c:v>
                </c:pt>
                <c:pt idx="663">
                  <c:v>0.2675232299298812</c:v>
                </c:pt>
                <c:pt idx="664">
                  <c:v>0.27155040439392725</c:v>
                </c:pt>
                <c:pt idx="665">
                  <c:v>0.24350204690166205</c:v>
                </c:pt>
                <c:pt idx="666">
                  <c:v>0.21277663502014035</c:v>
                </c:pt>
                <c:pt idx="667">
                  <c:v>0.24332908669116382</c:v>
                </c:pt>
                <c:pt idx="668">
                  <c:v>0.28864717911646781</c:v>
                </c:pt>
                <c:pt idx="669">
                  <c:v>0.23058019498282464</c:v>
                </c:pt>
                <c:pt idx="670">
                  <c:v>0.2094861756729991</c:v>
                </c:pt>
                <c:pt idx="671">
                  <c:v>0.18057814740464584</c:v>
                </c:pt>
                <c:pt idx="672">
                  <c:v>0.15610659102081909</c:v>
                </c:pt>
                <c:pt idx="673">
                  <c:v>0.15034616935529801</c:v>
                </c:pt>
                <c:pt idx="674">
                  <c:v>0.13949268328335232</c:v>
                </c:pt>
                <c:pt idx="675">
                  <c:v>0.13824344526823817</c:v>
                </c:pt>
                <c:pt idx="676">
                  <c:v>0.13203302545460691</c:v>
                </c:pt>
                <c:pt idx="677">
                  <c:v>0.15237549495318761</c:v>
                </c:pt>
                <c:pt idx="678">
                  <c:v>0.14062100163512792</c:v>
                </c:pt>
                <c:pt idx="679">
                  <c:v>0.14130987948424345</c:v>
                </c:pt>
                <c:pt idx="680">
                  <c:v>0.143124250523499</c:v>
                </c:pt>
                <c:pt idx="681">
                  <c:v>0.13477624793118573</c:v>
                </c:pt>
                <c:pt idx="682">
                  <c:v>0.12630522932117572</c:v>
                </c:pt>
                <c:pt idx="683">
                  <c:v>0.12108013025223283</c:v>
                </c:pt>
                <c:pt idx="684">
                  <c:v>0.12943523592474546</c:v>
                </c:pt>
                <c:pt idx="685">
                  <c:v>0.13491100574036705</c:v>
                </c:pt>
                <c:pt idx="686">
                  <c:v>0.12561271318060196</c:v>
                </c:pt>
                <c:pt idx="687">
                  <c:v>0.13431512175974661</c:v>
                </c:pt>
                <c:pt idx="688">
                  <c:v>0.15600611221200519</c:v>
                </c:pt>
                <c:pt idx="689">
                  <c:v>0.14291421174543933</c:v>
                </c:pt>
                <c:pt idx="690">
                  <c:v>0.15002973950972129</c:v>
                </c:pt>
                <c:pt idx="691">
                  <c:v>0.14195496669595406</c:v>
                </c:pt>
                <c:pt idx="692">
                  <c:v>0.1519209463991972</c:v>
                </c:pt>
                <c:pt idx="693">
                  <c:v>0.15304790929882603</c:v>
                </c:pt>
                <c:pt idx="694">
                  <c:v>0.14732027262708511</c:v>
                </c:pt>
                <c:pt idx="695">
                  <c:v>0.16406480953227659</c:v>
                </c:pt>
                <c:pt idx="696">
                  <c:v>0.17122996981999786</c:v>
                </c:pt>
                <c:pt idx="697">
                  <c:v>0.18201408289811802</c:v>
                </c:pt>
                <c:pt idx="698">
                  <c:v>0.17487887385303541</c:v>
                </c:pt>
                <c:pt idx="699">
                  <c:v>0.15354110247272937</c:v>
                </c:pt>
                <c:pt idx="700">
                  <c:v>0.14073579402339334</c:v>
                </c:pt>
                <c:pt idx="701">
                  <c:v>0.15714018909529159</c:v>
                </c:pt>
                <c:pt idx="702">
                  <c:v>0.16821059364000748</c:v>
                </c:pt>
                <c:pt idx="703">
                  <c:v>0.17414442881887873</c:v>
                </c:pt>
                <c:pt idx="704">
                  <c:v>0.1673493713143126</c:v>
                </c:pt>
                <c:pt idx="705">
                  <c:v>0.18759224811286718</c:v>
                </c:pt>
                <c:pt idx="706">
                  <c:v>0.17586528932790801</c:v>
                </c:pt>
                <c:pt idx="707">
                  <c:v>0.17623475389006452</c:v>
                </c:pt>
                <c:pt idx="708">
                  <c:v>0.18496595178459613</c:v>
                </c:pt>
                <c:pt idx="709">
                  <c:v>0.18963507902979096</c:v>
                </c:pt>
                <c:pt idx="710">
                  <c:v>0.19894959521170918</c:v>
                </c:pt>
                <c:pt idx="711">
                  <c:v>0.18369738851528983</c:v>
                </c:pt>
                <c:pt idx="712">
                  <c:v>0.1802956076484904</c:v>
                </c:pt>
                <c:pt idx="713">
                  <c:v>0.16161731888100742</c:v>
                </c:pt>
                <c:pt idx="714">
                  <c:v>0.15733919817905467</c:v>
                </c:pt>
                <c:pt idx="715">
                  <c:v>0.16656617016280434</c:v>
                </c:pt>
                <c:pt idx="716">
                  <c:v>0.1640552973961488</c:v>
                </c:pt>
                <c:pt idx="717">
                  <c:v>0.17017220622022847</c:v>
                </c:pt>
                <c:pt idx="718">
                  <c:v>0.17147992724422617</c:v>
                </c:pt>
                <c:pt idx="719">
                  <c:v>0.16816370686012905</c:v>
                </c:pt>
                <c:pt idx="720">
                  <c:v>0.17661162271725592</c:v>
                </c:pt>
                <c:pt idx="721">
                  <c:v>0.17379900572651186</c:v>
                </c:pt>
                <c:pt idx="722">
                  <c:v>0.18155763239875389</c:v>
                </c:pt>
                <c:pt idx="723">
                  <c:v>0.19281943904943835</c:v>
                </c:pt>
                <c:pt idx="724">
                  <c:v>0.24466354239627611</c:v>
                </c:pt>
                <c:pt idx="725">
                  <c:v>0.24743231280539729</c:v>
                </c:pt>
                <c:pt idx="726">
                  <c:v>0.25956771016335661</c:v>
                </c:pt>
                <c:pt idx="727">
                  <c:v>0.25598245980371687</c:v>
                </c:pt>
                <c:pt idx="728">
                  <c:v>0.21435188931707766</c:v>
                </c:pt>
                <c:pt idx="729">
                  <c:v>0.20233961061897868</c:v>
                </c:pt>
                <c:pt idx="730">
                  <c:v>0.16750537170608581</c:v>
                </c:pt>
                <c:pt idx="731">
                  <c:v>0.15826708864240174</c:v>
                </c:pt>
                <c:pt idx="732">
                  <c:v>0.16486734253666954</c:v>
                </c:pt>
                <c:pt idx="733">
                  <c:v>0.17366729499193123</c:v>
                </c:pt>
                <c:pt idx="734">
                  <c:v>0.18216614142345025</c:v>
                </c:pt>
                <c:pt idx="735">
                  <c:v>0.17189224249886276</c:v>
                </c:pt>
                <c:pt idx="736">
                  <c:v>0.17849921657181042</c:v>
                </c:pt>
                <c:pt idx="737">
                  <c:v>0.15813584044596565</c:v>
                </c:pt>
                <c:pt idx="738">
                  <c:v>0.23015352763556762</c:v>
                </c:pt>
                <c:pt idx="739">
                  <c:v>0.21846039348656518</c:v>
                </c:pt>
                <c:pt idx="740">
                  <c:v>0.22046489004231451</c:v>
                </c:pt>
                <c:pt idx="741">
                  <c:v>0.22520507316102575</c:v>
                </c:pt>
                <c:pt idx="742">
                  <c:v>0.22799045013615771</c:v>
                </c:pt>
                <c:pt idx="743">
                  <c:v>0.22695955689461794</c:v>
                </c:pt>
                <c:pt idx="744">
                  <c:v>0.20861222529271958</c:v>
                </c:pt>
                <c:pt idx="745">
                  <c:v>0.19430132040165513</c:v>
                </c:pt>
                <c:pt idx="746">
                  <c:v>0.18679044396718539</c:v>
                </c:pt>
                <c:pt idx="747">
                  <c:v>0.18843282038724921</c:v>
                </c:pt>
                <c:pt idx="748">
                  <c:v>0.14961614424057085</c:v>
                </c:pt>
                <c:pt idx="749">
                  <c:v>0.14490416060038</c:v>
                </c:pt>
                <c:pt idx="750">
                  <c:v>0.13315745911874041</c:v>
                </c:pt>
                <c:pt idx="751">
                  <c:v>0.12494458749516614</c:v>
                </c:pt>
                <c:pt idx="752">
                  <c:v>0.12593139621855501</c:v>
                </c:pt>
                <c:pt idx="753">
                  <c:v>0.14726527279222879</c:v>
                </c:pt>
                <c:pt idx="754">
                  <c:v>0.1432082754255363</c:v>
                </c:pt>
                <c:pt idx="755">
                  <c:v>0.20857123864701849</c:v>
                </c:pt>
                <c:pt idx="756">
                  <c:v>0.18577464996098408</c:v>
                </c:pt>
                <c:pt idx="757">
                  <c:v>0.17627110164524937</c:v>
                </c:pt>
                <c:pt idx="758">
                  <c:v>0.17716769847703356</c:v>
                </c:pt>
                <c:pt idx="759">
                  <c:v>0.19779894541123152</c:v>
                </c:pt>
                <c:pt idx="760">
                  <c:v>0.2341389841305529</c:v>
                </c:pt>
                <c:pt idx="761">
                  <c:v>0.26513339365322414</c:v>
                </c:pt>
                <c:pt idx="762">
                  <c:v>0.20049812472980921</c:v>
                </c:pt>
                <c:pt idx="763">
                  <c:v>0.21303943493567742</c:v>
                </c:pt>
                <c:pt idx="764">
                  <c:v>0.22487012592468822</c:v>
                </c:pt>
                <c:pt idx="765">
                  <c:v>0.20021805888374244</c:v>
                </c:pt>
                <c:pt idx="766">
                  <c:v>0.18563223059441702</c:v>
                </c:pt>
                <c:pt idx="767">
                  <c:v>0.21648116635699841</c:v>
                </c:pt>
                <c:pt idx="768">
                  <c:v>0.17642501448966799</c:v>
                </c:pt>
                <c:pt idx="769">
                  <c:v>0.15498843999340522</c:v>
                </c:pt>
                <c:pt idx="770">
                  <c:v>0.19402197958474229</c:v>
                </c:pt>
                <c:pt idx="771">
                  <c:v>0.17292021928507625</c:v>
                </c:pt>
                <c:pt idx="772">
                  <c:v>0.159551723580826</c:v>
                </c:pt>
                <c:pt idx="773">
                  <c:v>0.15488110885410444</c:v>
                </c:pt>
                <c:pt idx="774">
                  <c:v>0.17848137437973008</c:v>
                </c:pt>
                <c:pt idx="775">
                  <c:v>0.24099743686999298</c:v>
                </c:pt>
                <c:pt idx="776">
                  <c:v>0.27373185757131513</c:v>
                </c:pt>
                <c:pt idx="777">
                  <c:v>0.28694867093901111</c:v>
                </c:pt>
                <c:pt idx="778">
                  <c:v>0.29826131309786935</c:v>
                </c:pt>
                <c:pt idx="779">
                  <c:v>0.26449354023233823</c:v>
                </c:pt>
                <c:pt idx="780">
                  <c:v>0.21843704464474412</c:v>
                </c:pt>
                <c:pt idx="781">
                  <c:v>0.24161703233246076</c:v>
                </c:pt>
                <c:pt idx="782">
                  <c:v>0.25764004029911369</c:v>
                </c:pt>
                <c:pt idx="783">
                  <c:v>0.17550536057748325</c:v>
                </c:pt>
                <c:pt idx="784">
                  <c:v>0.13906783555127084</c:v>
                </c:pt>
                <c:pt idx="785">
                  <c:v>0.14145672027348605</c:v>
                </c:pt>
                <c:pt idx="786">
                  <c:v>0.17117702761497711</c:v>
                </c:pt>
                <c:pt idx="787">
                  <c:v>0.13865190460246735</c:v>
                </c:pt>
                <c:pt idx="788">
                  <c:v>0.16948938845728259</c:v>
                </c:pt>
                <c:pt idx="789">
                  <c:v>0.15935816034957512</c:v>
                </c:pt>
                <c:pt idx="790">
                  <c:v>0.14286690719485223</c:v>
                </c:pt>
                <c:pt idx="791">
                  <c:v>0.22903987019632133</c:v>
                </c:pt>
                <c:pt idx="792">
                  <c:v>0.32193312578814626</c:v>
                </c:pt>
                <c:pt idx="793">
                  <c:v>0.26565248480514836</c:v>
                </c:pt>
                <c:pt idx="794">
                  <c:v>0.13092674157303372</c:v>
                </c:pt>
                <c:pt idx="795">
                  <c:v>0.10904707373636979</c:v>
                </c:pt>
                <c:pt idx="796">
                  <c:v>0.11669137675412888</c:v>
                </c:pt>
                <c:pt idx="797">
                  <c:v>0.16561091615155779</c:v>
                </c:pt>
                <c:pt idx="798">
                  <c:v>0.25895015743370992</c:v>
                </c:pt>
                <c:pt idx="799">
                  <c:v>0.29417809533183303</c:v>
                </c:pt>
                <c:pt idx="800">
                  <c:v>0.31412970767275405</c:v>
                </c:pt>
                <c:pt idx="801">
                  <c:v>0.2951910903127723</c:v>
                </c:pt>
                <c:pt idx="802">
                  <c:v>0.30740940656409343</c:v>
                </c:pt>
                <c:pt idx="803">
                  <c:v>0.29960268073826091</c:v>
                </c:pt>
                <c:pt idx="804">
                  <c:v>0.31615212582906488</c:v>
                </c:pt>
                <c:pt idx="805">
                  <c:v>0.28495474849485336</c:v>
                </c:pt>
                <c:pt idx="806">
                  <c:v>0.33849515713441541</c:v>
                </c:pt>
                <c:pt idx="807">
                  <c:v>0.29502337652544397</c:v>
                </c:pt>
                <c:pt idx="808">
                  <c:v>0.22733605356996189</c:v>
                </c:pt>
                <c:pt idx="809">
                  <c:v>0.21975213224317272</c:v>
                </c:pt>
                <c:pt idx="810">
                  <c:v>0.19897581561434832</c:v>
                </c:pt>
                <c:pt idx="811">
                  <c:v>0.16386199177468894</c:v>
                </c:pt>
                <c:pt idx="812">
                  <c:v>0.16158994386765399</c:v>
                </c:pt>
                <c:pt idx="813">
                  <c:v>0.17777605743283809</c:v>
                </c:pt>
                <c:pt idx="814">
                  <c:v>0.20579035648178673</c:v>
                </c:pt>
                <c:pt idx="815">
                  <c:v>0.18578284080140559</c:v>
                </c:pt>
                <c:pt idx="816">
                  <c:v>0.13560212014472653</c:v>
                </c:pt>
                <c:pt idx="817">
                  <c:v>0.11653658741746126</c:v>
                </c:pt>
                <c:pt idx="818">
                  <c:v>9.7256220140958333E-2</c:v>
                </c:pt>
                <c:pt idx="819">
                  <c:v>0.1148151479972641</c:v>
                </c:pt>
                <c:pt idx="820">
                  <c:v>0.12827626583246315</c:v>
                </c:pt>
                <c:pt idx="821">
                  <c:v>0.16707751069153853</c:v>
                </c:pt>
                <c:pt idx="822">
                  <c:v>0.14721881062070419</c:v>
                </c:pt>
                <c:pt idx="823">
                  <c:v>0.16395330926916818</c:v>
                </c:pt>
                <c:pt idx="824">
                  <c:v>0.21887401400688358</c:v>
                </c:pt>
                <c:pt idx="825">
                  <c:v>0.26271889378032892</c:v>
                </c:pt>
                <c:pt idx="826">
                  <c:v>0.27399397299502187</c:v>
                </c:pt>
                <c:pt idx="827">
                  <c:v>0.29160351724594413</c:v>
                </c:pt>
                <c:pt idx="828">
                  <c:v>0.29494767816588435</c:v>
                </c:pt>
                <c:pt idx="829">
                  <c:v>0.33605969362607546</c:v>
                </c:pt>
                <c:pt idx="830">
                  <c:v>0.39311892581292257</c:v>
                </c:pt>
                <c:pt idx="831">
                  <c:v>0.29374548145231638</c:v>
                </c:pt>
                <c:pt idx="832">
                  <c:v>0.24814940566110463</c:v>
                </c:pt>
                <c:pt idx="833">
                  <c:v>0.32600865902001219</c:v>
                </c:pt>
                <c:pt idx="834">
                  <c:v>0.27812967112309833</c:v>
                </c:pt>
                <c:pt idx="835">
                  <c:v>0.28684182355272791</c:v>
                </c:pt>
                <c:pt idx="836">
                  <c:v>0.25452826440553417</c:v>
                </c:pt>
                <c:pt idx="837">
                  <c:v>0.21623215743485924</c:v>
                </c:pt>
                <c:pt idx="838">
                  <c:v>0.25496102857696135</c:v>
                </c:pt>
                <c:pt idx="839">
                  <c:v>0.21609483547405009</c:v>
                </c:pt>
                <c:pt idx="840">
                  <c:v>0.20536960430989187</c:v>
                </c:pt>
                <c:pt idx="841">
                  <c:v>0.18966557062225586</c:v>
                </c:pt>
                <c:pt idx="842">
                  <c:v>0.18192257063238487</c:v>
                </c:pt>
                <c:pt idx="843">
                  <c:v>0.19013172255886246</c:v>
                </c:pt>
                <c:pt idx="844">
                  <c:v>0.14835686117620164</c:v>
                </c:pt>
                <c:pt idx="845">
                  <c:v>0.16113249307660438</c:v>
                </c:pt>
                <c:pt idx="846">
                  <c:v>0.15499618530638504</c:v>
                </c:pt>
                <c:pt idx="847">
                  <c:v>0.16593733390701323</c:v>
                </c:pt>
                <c:pt idx="848">
                  <c:v>0.19470411295858439</c:v>
                </c:pt>
                <c:pt idx="849">
                  <c:v>0.20694516755931977</c:v>
                </c:pt>
                <c:pt idx="850">
                  <c:v>0.2041315948379647</c:v>
                </c:pt>
                <c:pt idx="851">
                  <c:v>0.25786925270464978</c:v>
                </c:pt>
                <c:pt idx="852">
                  <c:v>0.25618222537430574</c:v>
                </c:pt>
                <c:pt idx="853">
                  <c:v>0.26627359008205381</c:v>
                </c:pt>
                <c:pt idx="854">
                  <c:v>0.23136688493681207</c:v>
                </c:pt>
                <c:pt idx="855">
                  <c:v>0.35961153824275938</c:v>
                </c:pt>
                <c:pt idx="856">
                  <c:v>0.2777071793389897</c:v>
                </c:pt>
                <c:pt idx="857">
                  <c:v>0.23675328206639518</c:v>
                </c:pt>
                <c:pt idx="858">
                  <c:v>0.20644382917510942</c:v>
                </c:pt>
                <c:pt idx="859">
                  <c:v>0.18416880197863994</c:v>
                </c:pt>
                <c:pt idx="860">
                  <c:v>0.1825143354866807</c:v>
                </c:pt>
                <c:pt idx="861">
                  <c:v>0.19865732098200134</c:v>
                </c:pt>
                <c:pt idx="862">
                  <c:v>0.22675213789199625</c:v>
                </c:pt>
                <c:pt idx="863">
                  <c:v>0.27087965837848871</c:v>
                </c:pt>
                <c:pt idx="864">
                  <c:v>0.33776368629483472</c:v>
                </c:pt>
                <c:pt idx="865">
                  <c:v>0.26320090319744671</c:v>
                </c:pt>
                <c:pt idx="866">
                  <c:v>0.29454829754436807</c:v>
                </c:pt>
                <c:pt idx="867">
                  <c:v>0.27165149140596856</c:v>
                </c:pt>
                <c:pt idx="868">
                  <c:v>0.37996677399465645</c:v>
                </c:pt>
                <c:pt idx="869">
                  <c:v>0.44829856238604582</c:v>
                </c:pt>
                <c:pt idx="870">
                  <c:v>0.40222093243849893</c:v>
                </c:pt>
                <c:pt idx="871">
                  <c:v>0.35750609853813142</c:v>
                </c:pt>
                <c:pt idx="872">
                  <c:v>0.36010727856221419</c:v>
                </c:pt>
                <c:pt idx="873">
                  <c:v>0.2555060459914727</c:v>
                </c:pt>
                <c:pt idx="874">
                  <c:v>0.27393482904570426</c:v>
                </c:pt>
                <c:pt idx="875">
                  <c:v>0.28778528692755523</c:v>
                </c:pt>
                <c:pt idx="876">
                  <c:v>0.32584236482296314</c:v>
                </c:pt>
                <c:pt idx="877">
                  <c:v>0.26111564077429755</c:v>
                </c:pt>
                <c:pt idx="878">
                  <c:v>0.3061744059174919</c:v>
                </c:pt>
                <c:pt idx="879">
                  <c:v>0.30384343408536091</c:v>
                </c:pt>
                <c:pt idx="880">
                  <c:v>0.29578952186095708</c:v>
                </c:pt>
                <c:pt idx="881">
                  <c:v>0.27115160660685289</c:v>
                </c:pt>
                <c:pt idx="882">
                  <c:v>0.27606182642296967</c:v>
                </c:pt>
                <c:pt idx="883">
                  <c:v>0.22643650643128305</c:v>
                </c:pt>
                <c:pt idx="884">
                  <c:v>0.23865647299289439</c:v>
                </c:pt>
                <c:pt idx="885">
                  <c:v>0.20701661286280754</c:v>
                </c:pt>
                <c:pt idx="886">
                  <c:v>0.17193867882983749</c:v>
                </c:pt>
                <c:pt idx="887">
                  <c:v>0.18067173581791254</c:v>
                </c:pt>
                <c:pt idx="888">
                  <c:v>0.1614233167298558</c:v>
                </c:pt>
                <c:pt idx="889">
                  <c:v>0.1809360464815476</c:v>
                </c:pt>
                <c:pt idx="890">
                  <c:v>0.20330009011050976</c:v>
                </c:pt>
                <c:pt idx="891">
                  <c:v>0.21936699159083303</c:v>
                </c:pt>
                <c:pt idx="892">
                  <c:v>0.24445569141525517</c:v>
                </c:pt>
                <c:pt idx="893">
                  <c:v>0.29417821189068072</c:v>
                </c:pt>
                <c:pt idx="894">
                  <c:v>0.30083870927255385</c:v>
                </c:pt>
                <c:pt idx="895">
                  <c:v>0.28295750735311698</c:v>
                </c:pt>
                <c:pt idx="896">
                  <c:v>0.27420352345956833</c:v>
                </c:pt>
                <c:pt idx="897">
                  <c:v>0.25150849532474973</c:v>
                </c:pt>
                <c:pt idx="898">
                  <c:v>0.22523867338070311</c:v>
                </c:pt>
                <c:pt idx="899">
                  <c:v>0.34299866227990888</c:v>
                </c:pt>
                <c:pt idx="900">
                  <c:v>0.36319596814521976</c:v>
                </c:pt>
                <c:pt idx="901">
                  <c:v>0.28945179649225522</c:v>
                </c:pt>
                <c:pt idx="902">
                  <c:v>0.28406105550197863</c:v>
                </c:pt>
                <c:pt idx="903">
                  <c:v>0.31494513348956937</c:v>
                </c:pt>
                <c:pt idx="904">
                  <c:v>0.28972374350141983</c:v>
                </c:pt>
                <c:pt idx="905">
                  <c:v>0.29774668682110594</c:v>
                </c:pt>
                <c:pt idx="906">
                  <c:v>0.31408169896030247</c:v>
                </c:pt>
                <c:pt idx="907">
                  <c:v>0.28892345688736115</c:v>
                </c:pt>
                <c:pt idx="908">
                  <c:v>0.26001771874629404</c:v>
                </c:pt>
                <c:pt idx="909">
                  <c:v>0.21788407042899915</c:v>
                </c:pt>
                <c:pt idx="910">
                  <c:v>0.24874513185394992</c:v>
                </c:pt>
                <c:pt idx="911">
                  <c:v>0.24919312268505245</c:v>
                </c:pt>
                <c:pt idx="912">
                  <c:v>0.23771242876953291</c:v>
                </c:pt>
                <c:pt idx="913">
                  <c:v>0.26207851502563528</c:v>
                </c:pt>
                <c:pt idx="914">
                  <c:v>0.26560893198178348</c:v>
                </c:pt>
                <c:pt idx="915">
                  <c:v>0.25367473946366675</c:v>
                </c:pt>
                <c:pt idx="916">
                  <c:v>0.26630324783095627</c:v>
                </c:pt>
                <c:pt idx="917">
                  <c:v>0.31407535224640726</c:v>
                </c:pt>
                <c:pt idx="918">
                  <c:v>0.34726960161447046</c:v>
                </c:pt>
                <c:pt idx="919">
                  <c:v>0.34125938546961998</c:v>
                </c:pt>
                <c:pt idx="920">
                  <c:v>0.31702135792962971</c:v>
                </c:pt>
                <c:pt idx="921">
                  <c:v>0.34478105177441792</c:v>
                </c:pt>
                <c:pt idx="922">
                  <c:v>0.31288529222191669</c:v>
                </c:pt>
                <c:pt idx="923">
                  <c:v>0.31950854603980594</c:v>
                </c:pt>
                <c:pt idx="924">
                  <c:v>0.33503982057505571</c:v>
                </c:pt>
                <c:pt idx="925">
                  <c:v>0.40672608755090911</c:v>
                </c:pt>
                <c:pt idx="926">
                  <c:v>0.43289542549775917</c:v>
                </c:pt>
                <c:pt idx="927">
                  <c:v>0.49062585496024735</c:v>
                </c:pt>
                <c:pt idx="928">
                  <c:v>0.38388249361057603</c:v>
                </c:pt>
                <c:pt idx="929">
                  <c:v>0.38607532041271769</c:v>
                </c:pt>
                <c:pt idx="930">
                  <c:v>0.39001464246775924</c:v>
                </c:pt>
                <c:pt idx="931">
                  <c:v>0.38552551686661141</c:v>
                </c:pt>
                <c:pt idx="932">
                  <c:v>0.44099830675791435</c:v>
                </c:pt>
                <c:pt idx="933">
                  <c:v>0.42719780757050496</c:v>
                </c:pt>
                <c:pt idx="934">
                  <c:v>0.41801400736357625</c:v>
                </c:pt>
                <c:pt idx="935">
                  <c:v>0.4734740231215665</c:v>
                </c:pt>
                <c:pt idx="936">
                  <c:v>0.42692851689796651</c:v>
                </c:pt>
                <c:pt idx="937">
                  <c:v>0.40563407860772743</c:v>
                </c:pt>
                <c:pt idx="938">
                  <c:v>0.40586559005953493</c:v>
                </c:pt>
                <c:pt idx="939">
                  <c:v>0.35516460316582465</c:v>
                </c:pt>
                <c:pt idx="940">
                  <c:v>0.34371833746141878</c:v>
                </c:pt>
                <c:pt idx="941">
                  <c:v>0.33144911328076987</c:v>
                </c:pt>
                <c:pt idx="942">
                  <c:v>0.29764968954120669</c:v>
                </c:pt>
                <c:pt idx="943">
                  <c:v>0.2962615066691715</c:v>
                </c:pt>
                <c:pt idx="944">
                  <c:v>0.30504580601311865</c:v>
                </c:pt>
                <c:pt idx="945">
                  <c:v>0.27889354346964984</c:v>
                </c:pt>
                <c:pt idx="946">
                  <c:v>0.29337905385809576</c:v>
                </c:pt>
                <c:pt idx="947">
                  <c:v>0.24231338129652893</c:v>
                </c:pt>
                <c:pt idx="948">
                  <c:v>0.21640983490625829</c:v>
                </c:pt>
                <c:pt idx="949">
                  <c:v>0.2357314055976496</c:v>
                </c:pt>
                <c:pt idx="950">
                  <c:v>0.20230277564606231</c:v>
                </c:pt>
                <c:pt idx="951">
                  <c:v>0.2057585983127839</c:v>
                </c:pt>
                <c:pt idx="952">
                  <c:v>0.20450865103836158</c:v>
                </c:pt>
                <c:pt idx="953">
                  <c:v>0.21072144810522203</c:v>
                </c:pt>
                <c:pt idx="954">
                  <c:v>0.22457670593808704</c:v>
                </c:pt>
                <c:pt idx="955">
                  <c:v>0.24011502516175415</c:v>
                </c:pt>
                <c:pt idx="956">
                  <c:v>0.25152988290290323</c:v>
                </c:pt>
                <c:pt idx="957">
                  <c:v>0.24430201820222289</c:v>
                </c:pt>
                <c:pt idx="958">
                  <c:v>0.28204953838278807</c:v>
                </c:pt>
                <c:pt idx="959">
                  <c:v>0.29558942818746442</c:v>
                </c:pt>
                <c:pt idx="960">
                  <c:v>0.30216582616471815</c:v>
                </c:pt>
                <c:pt idx="961">
                  <c:v>0.33635938807521909</c:v>
                </c:pt>
                <c:pt idx="962">
                  <c:v>0.36250086902976553</c:v>
                </c:pt>
                <c:pt idx="963">
                  <c:v>0.38107971041889654</c:v>
                </c:pt>
                <c:pt idx="964">
                  <c:v>0.39401600346592064</c:v>
                </c:pt>
                <c:pt idx="965">
                  <c:v>0.3510637056400322</c:v>
                </c:pt>
                <c:pt idx="966">
                  <c:v>0.3360547615888354</c:v>
                </c:pt>
                <c:pt idx="967">
                  <c:v>0.30284934876951503</c:v>
                </c:pt>
                <c:pt idx="968">
                  <c:v>0.3122952921878423</c:v>
                </c:pt>
                <c:pt idx="969">
                  <c:v>0.29460507157309535</c:v>
                </c:pt>
                <c:pt idx="970">
                  <c:v>0.28881409681841941</c:v>
                </c:pt>
                <c:pt idx="971">
                  <c:v>0.30037552103705251</c:v>
                </c:pt>
                <c:pt idx="972">
                  <c:v>0.27681471559590204</c:v>
                </c:pt>
                <c:pt idx="973">
                  <c:v>0.27041620264731153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06-4BB6-A325-CE2F3DAAC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9788559"/>
        <c:axId val="539790479"/>
      </c:lineChart>
      <c:dateAx>
        <c:axId val="539788559"/>
        <c:scaling>
          <c:orientation val="minMax"/>
        </c:scaling>
        <c:delete val="0"/>
        <c:axPos val="b"/>
        <c:numFmt formatCode="[$-409]d\-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790479"/>
        <c:crosses val="autoZero"/>
        <c:auto val="1"/>
        <c:lblOffset val="100"/>
        <c:baseTimeUnit val="days"/>
      </c:dateAx>
      <c:valAx>
        <c:axId val="539790479"/>
        <c:scaling>
          <c:orientation val="minMax"/>
          <c:max val="0.48000000000000004"/>
          <c:min val="4.0000000000000008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788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Sheet1!$AK$136</c:f>
          <c:strCache>
            <c:ptCount val="1"/>
            <c:pt idx="0">
              <c:v>All Crude- F+O - Manage Money Short (%) - Last Value: 25.2%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Sheet1!$B$9:$B$978</c:f>
              <c:numCache>
                <c:formatCode>m/d/yyyy</c:formatCode>
                <c:ptCount val="970"/>
                <c:pt idx="0">
                  <c:v>39448</c:v>
                </c:pt>
                <c:pt idx="1">
                  <c:v>39455</c:v>
                </c:pt>
                <c:pt idx="2">
                  <c:v>39462</c:v>
                </c:pt>
                <c:pt idx="3">
                  <c:v>39469</c:v>
                </c:pt>
                <c:pt idx="4">
                  <c:v>39476</c:v>
                </c:pt>
                <c:pt idx="5">
                  <c:v>39483</c:v>
                </c:pt>
                <c:pt idx="6">
                  <c:v>39490</c:v>
                </c:pt>
                <c:pt idx="7">
                  <c:v>39497</c:v>
                </c:pt>
                <c:pt idx="8">
                  <c:v>39504</c:v>
                </c:pt>
                <c:pt idx="9">
                  <c:v>39511</c:v>
                </c:pt>
                <c:pt idx="10">
                  <c:v>39518</c:v>
                </c:pt>
                <c:pt idx="11">
                  <c:v>39525</c:v>
                </c:pt>
                <c:pt idx="12">
                  <c:v>39532</c:v>
                </c:pt>
                <c:pt idx="13">
                  <c:v>39539</c:v>
                </c:pt>
                <c:pt idx="14">
                  <c:v>39546</c:v>
                </c:pt>
                <c:pt idx="15">
                  <c:v>39553</c:v>
                </c:pt>
                <c:pt idx="16">
                  <c:v>39560</c:v>
                </c:pt>
                <c:pt idx="17">
                  <c:v>39567</c:v>
                </c:pt>
                <c:pt idx="18">
                  <c:v>39574</c:v>
                </c:pt>
                <c:pt idx="19">
                  <c:v>39581</c:v>
                </c:pt>
                <c:pt idx="20">
                  <c:v>39588</c:v>
                </c:pt>
                <c:pt idx="21">
                  <c:v>39595</c:v>
                </c:pt>
                <c:pt idx="22">
                  <c:v>39602</c:v>
                </c:pt>
                <c:pt idx="23">
                  <c:v>39609</c:v>
                </c:pt>
                <c:pt idx="24">
                  <c:v>39616</c:v>
                </c:pt>
                <c:pt idx="25">
                  <c:v>39623</c:v>
                </c:pt>
                <c:pt idx="26">
                  <c:v>39630</c:v>
                </c:pt>
                <c:pt idx="27">
                  <c:v>39637</c:v>
                </c:pt>
                <c:pt idx="28">
                  <c:v>39644</c:v>
                </c:pt>
                <c:pt idx="29">
                  <c:v>39651</c:v>
                </c:pt>
                <c:pt idx="30">
                  <c:v>39658</c:v>
                </c:pt>
                <c:pt idx="31">
                  <c:v>39665</c:v>
                </c:pt>
                <c:pt idx="32">
                  <c:v>39672</c:v>
                </c:pt>
                <c:pt idx="33">
                  <c:v>39679</c:v>
                </c:pt>
                <c:pt idx="34">
                  <c:v>39686</c:v>
                </c:pt>
                <c:pt idx="35">
                  <c:v>39693</c:v>
                </c:pt>
                <c:pt idx="36">
                  <c:v>39700</c:v>
                </c:pt>
                <c:pt idx="37">
                  <c:v>39707</c:v>
                </c:pt>
                <c:pt idx="38">
                  <c:v>39714</c:v>
                </c:pt>
                <c:pt idx="39">
                  <c:v>39721</c:v>
                </c:pt>
                <c:pt idx="40">
                  <c:v>39728</c:v>
                </c:pt>
                <c:pt idx="41">
                  <c:v>39735</c:v>
                </c:pt>
                <c:pt idx="42">
                  <c:v>39742</c:v>
                </c:pt>
                <c:pt idx="43">
                  <c:v>39749</c:v>
                </c:pt>
                <c:pt idx="44">
                  <c:v>39756</c:v>
                </c:pt>
                <c:pt idx="45">
                  <c:v>39763</c:v>
                </c:pt>
                <c:pt idx="46">
                  <c:v>39770</c:v>
                </c:pt>
                <c:pt idx="47">
                  <c:v>39777</c:v>
                </c:pt>
                <c:pt idx="48">
                  <c:v>39784</c:v>
                </c:pt>
                <c:pt idx="49">
                  <c:v>39791</c:v>
                </c:pt>
                <c:pt idx="50">
                  <c:v>39798</c:v>
                </c:pt>
                <c:pt idx="51">
                  <c:v>39805</c:v>
                </c:pt>
                <c:pt idx="52">
                  <c:v>39812</c:v>
                </c:pt>
                <c:pt idx="53">
                  <c:v>39819</c:v>
                </c:pt>
                <c:pt idx="54">
                  <c:v>39826</c:v>
                </c:pt>
                <c:pt idx="55">
                  <c:v>39833</c:v>
                </c:pt>
                <c:pt idx="56">
                  <c:v>39840</c:v>
                </c:pt>
                <c:pt idx="57">
                  <c:v>39847</c:v>
                </c:pt>
                <c:pt idx="58">
                  <c:v>39854</c:v>
                </c:pt>
                <c:pt idx="59">
                  <c:v>39861</c:v>
                </c:pt>
                <c:pt idx="60">
                  <c:v>39868</c:v>
                </c:pt>
                <c:pt idx="61">
                  <c:v>39875</c:v>
                </c:pt>
                <c:pt idx="62">
                  <c:v>39882</c:v>
                </c:pt>
                <c:pt idx="63">
                  <c:v>39889</c:v>
                </c:pt>
                <c:pt idx="64">
                  <c:v>39896</c:v>
                </c:pt>
                <c:pt idx="65">
                  <c:v>39903</c:v>
                </c:pt>
                <c:pt idx="66">
                  <c:v>39910</c:v>
                </c:pt>
                <c:pt idx="67">
                  <c:v>39917</c:v>
                </c:pt>
                <c:pt idx="68">
                  <c:v>39924</c:v>
                </c:pt>
                <c:pt idx="69">
                  <c:v>39931</c:v>
                </c:pt>
                <c:pt idx="70">
                  <c:v>39938</c:v>
                </c:pt>
                <c:pt idx="71">
                  <c:v>39945</c:v>
                </c:pt>
                <c:pt idx="72">
                  <c:v>39952</c:v>
                </c:pt>
                <c:pt idx="73">
                  <c:v>39959</c:v>
                </c:pt>
                <c:pt idx="74">
                  <c:v>39966</c:v>
                </c:pt>
                <c:pt idx="75">
                  <c:v>39973</c:v>
                </c:pt>
                <c:pt idx="76">
                  <c:v>39980</c:v>
                </c:pt>
                <c:pt idx="77">
                  <c:v>39987</c:v>
                </c:pt>
                <c:pt idx="78">
                  <c:v>39994</c:v>
                </c:pt>
                <c:pt idx="79">
                  <c:v>40001</c:v>
                </c:pt>
                <c:pt idx="80">
                  <c:v>40008</c:v>
                </c:pt>
                <c:pt idx="81">
                  <c:v>40015</c:v>
                </c:pt>
                <c:pt idx="82">
                  <c:v>40022</c:v>
                </c:pt>
                <c:pt idx="83">
                  <c:v>40029</c:v>
                </c:pt>
                <c:pt idx="84">
                  <c:v>40036</c:v>
                </c:pt>
                <c:pt idx="85">
                  <c:v>40043</c:v>
                </c:pt>
                <c:pt idx="86">
                  <c:v>40050</c:v>
                </c:pt>
                <c:pt idx="87">
                  <c:v>40057</c:v>
                </c:pt>
                <c:pt idx="88">
                  <c:v>40064</c:v>
                </c:pt>
                <c:pt idx="89">
                  <c:v>40071</c:v>
                </c:pt>
                <c:pt idx="90">
                  <c:v>40078</c:v>
                </c:pt>
                <c:pt idx="91">
                  <c:v>40085</c:v>
                </c:pt>
                <c:pt idx="92">
                  <c:v>40092</c:v>
                </c:pt>
                <c:pt idx="93">
                  <c:v>40099</c:v>
                </c:pt>
                <c:pt idx="94">
                  <c:v>40106</c:v>
                </c:pt>
                <c:pt idx="95">
                  <c:v>40113</c:v>
                </c:pt>
                <c:pt idx="96">
                  <c:v>40120</c:v>
                </c:pt>
                <c:pt idx="97">
                  <c:v>40127</c:v>
                </c:pt>
                <c:pt idx="98">
                  <c:v>40134</c:v>
                </c:pt>
                <c:pt idx="99">
                  <c:v>40141</c:v>
                </c:pt>
                <c:pt idx="100">
                  <c:v>40148</c:v>
                </c:pt>
                <c:pt idx="101">
                  <c:v>40155</c:v>
                </c:pt>
                <c:pt idx="102">
                  <c:v>40162</c:v>
                </c:pt>
                <c:pt idx="103">
                  <c:v>40169</c:v>
                </c:pt>
                <c:pt idx="104">
                  <c:v>40176</c:v>
                </c:pt>
                <c:pt idx="105">
                  <c:v>40183</c:v>
                </c:pt>
                <c:pt idx="106">
                  <c:v>40190</c:v>
                </c:pt>
                <c:pt idx="107">
                  <c:v>40197</c:v>
                </c:pt>
                <c:pt idx="108">
                  <c:v>40204</c:v>
                </c:pt>
                <c:pt idx="109">
                  <c:v>40211</c:v>
                </c:pt>
                <c:pt idx="110">
                  <c:v>40218</c:v>
                </c:pt>
                <c:pt idx="111">
                  <c:v>40225</c:v>
                </c:pt>
                <c:pt idx="112">
                  <c:v>40232</c:v>
                </c:pt>
                <c:pt idx="113">
                  <c:v>40239</c:v>
                </c:pt>
                <c:pt idx="114">
                  <c:v>40246</c:v>
                </c:pt>
                <c:pt idx="115">
                  <c:v>40253</c:v>
                </c:pt>
                <c:pt idx="116">
                  <c:v>40260</c:v>
                </c:pt>
                <c:pt idx="117">
                  <c:v>40267</c:v>
                </c:pt>
                <c:pt idx="118">
                  <c:v>40274</c:v>
                </c:pt>
                <c:pt idx="119">
                  <c:v>40281</c:v>
                </c:pt>
                <c:pt idx="120">
                  <c:v>40288</c:v>
                </c:pt>
                <c:pt idx="121">
                  <c:v>40295</c:v>
                </c:pt>
                <c:pt idx="122">
                  <c:v>40302</c:v>
                </c:pt>
                <c:pt idx="123">
                  <c:v>40309</c:v>
                </c:pt>
                <c:pt idx="124">
                  <c:v>40316</c:v>
                </c:pt>
                <c:pt idx="125">
                  <c:v>40323</c:v>
                </c:pt>
                <c:pt idx="126">
                  <c:v>40330</c:v>
                </c:pt>
                <c:pt idx="127">
                  <c:v>40337</c:v>
                </c:pt>
                <c:pt idx="128">
                  <c:v>40344</c:v>
                </c:pt>
                <c:pt idx="129">
                  <c:v>40351</c:v>
                </c:pt>
                <c:pt idx="130">
                  <c:v>40358</c:v>
                </c:pt>
                <c:pt idx="131">
                  <c:v>40365</c:v>
                </c:pt>
                <c:pt idx="132">
                  <c:v>40372</c:v>
                </c:pt>
                <c:pt idx="133">
                  <c:v>40379</c:v>
                </c:pt>
                <c:pt idx="134">
                  <c:v>40386</c:v>
                </c:pt>
                <c:pt idx="135">
                  <c:v>40393</c:v>
                </c:pt>
                <c:pt idx="136">
                  <c:v>40400</c:v>
                </c:pt>
                <c:pt idx="137">
                  <c:v>40407</c:v>
                </c:pt>
                <c:pt idx="138">
                  <c:v>40414</c:v>
                </c:pt>
                <c:pt idx="139">
                  <c:v>40421</c:v>
                </c:pt>
                <c:pt idx="140">
                  <c:v>40428</c:v>
                </c:pt>
                <c:pt idx="141">
                  <c:v>40435</c:v>
                </c:pt>
                <c:pt idx="142">
                  <c:v>40442</c:v>
                </c:pt>
                <c:pt idx="143">
                  <c:v>40449</c:v>
                </c:pt>
                <c:pt idx="144">
                  <c:v>40456</c:v>
                </c:pt>
                <c:pt idx="145">
                  <c:v>40463</c:v>
                </c:pt>
                <c:pt idx="146">
                  <c:v>40470</c:v>
                </c:pt>
                <c:pt idx="147">
                  <c:v>40477</c:v>
                </c:pt>
                <c:pt idx="148">
                  <c:v>40484</c:v>
                </c:pt>
                <c:pt idx="149">
                  <c:v>40491</c:v>
                </c:pt>
                <c:pt idx="150">
                  <c:v>40498</c:v>
                </c:pt>
                <c:pt idx="151">
                  <c:v>40505</c:v>
                </c:pt>
                <c:pt idx="152">
                  <c:v>40512</c:v>
                </c:pt>
                <c:pt idx="153">
                  <c:v>40519</c:v>
                </c:pt>
                <c:pt idx="154">
                  <c:v>40526</c:v>
                </c:pt>
                <c:pt idx="155">
                  <c:v>40533</c:v>
                </c:pt>
                <c:pt idx="156">
                  <c:v>40540</c:v>
                </c:pt>
                <c:pt idx="157">
                  <c:v>40547</c:v>
                </c:pt>
                <c:pt idx="158">
                  <c:v>40554</c:v>
                </c:pt>
                <c:pt idx="159">
                  <c:v>40561</c:v>
                </c:pt>
                <c:pt idx="160">
                  <c:v>40568</c:v>
                </c:pt>
                <c:pt idx="161">
                  <c:v>40575</c:v>
                </c:pt>
                <c:pt idx="162">
                  <c:v>40582</c:v>
                </c:pt>
                <c:pt idx="163">
                  <c:v>40589</c:v>
                </c:pt>
                <c:pt idx="164">
                  <c:v>40596</c:v>
                </c:pt>
                <c:pt idx="165">
                  <c:v>40603</c:v>
                </c:pt>
                <c:pt idx="166">
                  <c:v>40610</c:v>
                </c:pt>
                <c:pt idx="167">
                  <c:v>40617</c:v>
                </c:pt>
                <c:pt idx="168">
                  <c:v>40624</c:v>
                </c:pt>
                <c:pt idx="169">
                  <c:v>40631</c:v>
                </c:pt>
                <c:pt idx="170">
                  <c:v>40638</c:v>
                </c:pt>
                <c:pt idx="171">
                  <c:v>40645</c:v>
                </c:pt>
                <c:pt idx="172">
                  <c:v>40652</c:v>
                </c:pt>
                <c:pt idx="173">
                  <c:v>40659</c:v>
                </c:pt>
                <c:pt idx="174">
                  <c:v>40666</c:v>
                </c:pt>
                <c:pt idx="175">
                  <c:v>40673</c:v>
                </c:pt>
                <c:pt idx="176">
                  <c:v>40680</c:v>
                </c:pt>
                <c:pt idx="177">
                  <c:v>40687</c:v>
                </c:pt>
                <c:pt idx="178">
                  <c:v>40694</c:v>
                </c:pt>
                <c:pt idx="179">
                  <c:v>40701</c:v>
                </c:pt>
                <c:pt idx="180">
                  <c:v>40708</c:v>
                </c:pt>
                <c:pt idx="181">
                  <c:v>40715</c:v>
                </c:pt>
                <c:pt idx="182">
                  <c:v>40722</c:v>
                </c:pt>
                <c:pt idx="183">
                  <c:v>40729</c:v>
                </c:pt>
                <c:pt idx="184">
                  <c:v>40736</c:v>
                </c:pt>
                <c:pt idx="185">
                  <c:v>40743</c:v>
                </c:pt>
                <c:pt idx="186">
                  <c:v>40750</c:v>
                </c:pt>
                <c:pt idx="187">
                  <c:v>40757</c:v>
                </c:pt>
                <c:pt idx="188">
                  <c:v>40764</c:v>
                </c:pt>
                <c:pt idx="189">
                  <c:v>40771</c:v>
                </c:pt>
                <c:pt idx="190">
                  <c:v>40778</c:v>
                </c:pt>
                <c:pt idx="191">
                  <c:v>40785</c:v>
                </c:pt>
                <c:pt idx="192">
                  <c:v>40792</c:v>
                </c:pt>
                <c:pt idx="193">
                  <c:v>40799</c:v>
                </c:pt>
                <c:pt idx="194">
                  <c:v>40806</c:v>
                </c:pt>
                <c:pt idx="195">
                  <c:v>40813</c:v>
                </c:pt>
                <c:pt idx="196">
                  <c:v>40820</c:v>
                </c:pt>
                <c:pt idx="197">
                  <c:v>40827</c:v>
                </c:pt>
                <c:pt idx="198">
                  <c:v>40834</c:v>
                </c:pt>
                <c:pt idx="199">
                  <c:v>40841</c:v>
                </c:pt>
                <c:pt idx="200">
                  <c:v>40848</c:v>
                </c:pt>
                <c:pt idx="201">
                  <c:v>40855</c:v>
                </c:pt>
                <c:pt idx="202">
                  <c:v>40862</c:v>
                </c:pt>
                <c:pt idx="203">
                  <c:v>40869</c:v>
                </c:pt>
                <c:pt idx="204">
                  <c:v>40876</c:v>
                </c:pt>
                <c:pt idx="205">
                  <c:v>40883</c:v>
                </c:pt>
                <c:pt idx="206">
                  <c:v>40890</c:v>
                </c:pt>
                <c:pt idx="207">
                  <c:v>40897</c:v>
                </c:pt>
                <c:pt idx="208">
                  <c:v>40904</c:v>
                </c:pt>
                <c:pt idx="209">
                  <c:v>40911</c:v>
                </c:pt>
                <c:pt idx="210">
                  <c:v>40918</c:v>
                </c:pt>
                <c:pt idx="211">
                  <c:v>40925</c:v>
                </c:pt>
                <c:pt idx="212">
                  <c:v>40932</c:v>
                </c:pt>
                <c:pt idx="213">
                  <c:v>40939</c:v>
                </c:pt>
                <c:pt idx="214">
                  <c:v>40946</c:v>
                </c:pt>
                <c:pt idx="215">
                  <c:v>40953</c:v>
                </c:pt>
                <c:pt idx="216">
                  <c:v>40960</c:v>
                </c:pt>
                <c:pt idx="217">
                  <c:v>40967</c:v>
                </c:pt>
                <c:pt idx="218">
                  <c:v>40974</c:v>
                </c:pt>
                <c:pt idx="219">
                  <c:v>40981</c:v>
                </c:pt>
                <c:pt idx="220">
                  <c:v>40988</c:v>
                </c:pt>
                <c:pt idx="221">
                  <c:v>40995</c:v>
                </c:pt>
                <c:pt idx="222">
                  <c:v>41002</c:v>
                </c:pt>
                <c:pt idx="223">
                  <c:v>41009</c:v>
                </c:pt>
                <c:pt idx="224">
                  <c:v>41016</c:v>
                </c:pt>
                <c:pt idx="225">
                  <c:v>41023</c:v>
                </c:pt>
                <c:pt idx="226">
                  <c:v>41030</c:v>
                </c:pt>
                <c:pt idx="227">
                  <c:v>41037</c:v>
                </c:pt>
                <c:pt idx="228">
                  <c:v>41044</c:v>
                </c:pt>
                <c:pt idx="229">
                  <c:v>41051</c:v>
                </c:pt>
                <c:pt idx="230">
                  <c:v>41058</c:v>
                </c:pt>
                <c:pt idx="231">
                  <c:v>41065</c:v>
                </c:pt>
                <c:pt idx="232">
                  <c:v>41072</c:v>
                </c:pt>
                <c:pt idx="233">
                  <c:v>41079</c:v>
                </c:pt>
                <c:pt idx="234">
                  <c:v>41086</c:v>
                </c:pt>
                <c:pt idx="235">
                  <c:v>41093</c:v>
                </c:pt>
                <c:pt idx="236">
                  <c:v>41100</c:v>
                </c:pt>
                <c:pt idx="237">
                  <c:v>41107</c:v>
                </c:pt>
                <c:pt idx="238">
                  <c:v>41114</c:v>
                </c:pt>
                <c:pt idx="239">
                  <c:v>41121</c:v>
                </c:pt>
                <c:pt idx="240">
                  <c:v>41128</c:v>
                </c:pt>
                <c:pt idx="241">
                  <c:v>41135</c:v>
                </c:pt>
                <c:pt idx="242">
                  <c:v>41142</c:v>
                </c:pt>
                <c:pt idx="243">
                  <c:v>41149</c:v>
                </c:pt>
                <c:pt idx="244">
                  <c:v>41156</c:v>
                </c:pt>
                <c:pt idx="245">
                  <c:v>41163</c:v>
                </c:pt>
                <c:pt idx="246">
                  <c:v>41170</c:v>
                </c:pt>
                <c:pt idx="247">
                  <c:v>41177</c:v>
                </c:pt>
                <c:pt idx="248">
                  <c:v>41184</c:v>
                </c:pt>
                <c:pt idx="249">
                  <c:v>41191</c:v>
                </c:pt>
                <c:pt idx="250">
                  <c:v>41198</c:v>
                </c:pt>
                <c:pt idx="251">
                  <c:v>41205</c:v>
                </c:pt>
                <c:pt idx="252">
                  <c:v>41212</c:v>
                </c:pt>
                <c:pt idx="253">
                  <c:v>41219</c:v>
                </c:pt>
                <c:pt idx="254">
                  <c:v>41226</c:v>
                </c:pt>
                <c:pt idx="255">
                  <c:v>41233</c:v>
                </c:pt>
                <c:pt idx="256">
                  <c:v>41240</c:v>
                </c:pt>
                <c:pt idx="257">
                  <c:v>41247</c:v>
                </c:pt>
                <c:pt idx="258">
                  <c:v>41254</c:v>
                </c:pt>
                <c:pt idx="259">
                  <c:v>41261</c:v>
                </c:pt>
                <c:pt idx="260">
                  <c:v>41268</c:v>
                </c:pt>
                <c:pt idx="261">
                  <c:v>41275</c:v>
                </c:pt>
                <c:pt idx="262">
                  <c:v>41282</c:v>
                </c:pt>
                <c:pt idx="263">
                  <c:v>41289</c:v>
                </c:pt>
                <c:pt idx="264">
                  <c:v>41296</c:v>
                </c:pt>
                <c:pt idx="265">
                  <c:v>41303</c:v>
                </c:pt>
                <c:pt idx="266">
                  <c:v>41310</c:v>
                </c:pt>
                <c:pt idx="267">
                  <c:v>41317</c:v>
                </c:pt>
                <c:pt idx="268">
                  <c:v>41324</c:v>
                </c:pt>
                <c:pt idx="269">
                  <c:v>41331</c:v>
                </c:pt>
                <c:pt idx="270">
                  <c:v>41338</c:v>
                </c:pt>
                <c:pt idx="271">
                  <c:v>41345</c:v>
                </c:pt>
                <c:pt idx="272">
                  <c:v>41352</c:v>
                </c:pt>
                <c:pt idx="273">
                  <c:v>41359</c:v>
                </c:pt>
                <c:pt idx="274">
                  <c:v>41366</c:v>
                </c:pt>
                <c:pt idx="275">
                  <c:v>41373</c:v>
                </c:pt>
                <c:pt idx="276">
                  <c:v>41380</c:v>
                </c:pt>
                <c:pt idx="277">
                  <c:v>41387</c:v>
                </c:pt>
                <c:pt idx="278">
                  <c:v>41394</c:v>
                </c:pt>
                <c:pt idx="279">
                  <c:v>41401</c:v>
                </c:pt>
                <c:pt idx="280">
                  <c:v>41408</c:v>
                </c:pt>
                <c:pt idx="281">
                  <c:v>41415</c:v>
                </c:pt>
                <c:pt idx="282">
                  <c:v>41422</c:v>
                </c:pt>
                <c:pt idx="283">
                  <c:v>41429</c:v>
                </c:pt>
                <c:pt idx="284">
                  <c:v>41436</c:v>
                </c:pt>
                <c:pt idx="285">
                  <c:v>41443</c:v>
                </c:pt>
                <c:pt idx="286">
                  <c:v>41450</c:v>
                </c:pt>
                <c:pt idx="287">
                  <c:v>41457</c:v>
                </c:pt>
                <c:pt idx="288">
                  <c:v>41464</c:v>
                </c:pt>
                <c:pt idx="289">
                  <c:v>41471</c:v>
                </c:pt>
                <c:pt idx="290">
                  <c:v>41478</c:v>
                </c:pt>
                <c:pt idx="291">
                  <c:v>41485</c:v>
                </c:pt>
                <c:pt idx="292">
                  <c:v>41492</c:v>
                </c:pt>
                <c:pt idx="293">
                  <c:v>41499</c:v>
                </c:pt>
                <c:pt idx="294">
                  <c:v>41506</c:v>
                </c:pt>
                <c:pt idx="295">
                  <c:v>41513</c:v>
                </c:pt>
                <c:pt idx="296">
                  <c:v>41520</c:v>
                </c:pt>
                <c:pt idx="297">
                  <c:v>41527</c:v>
                </c:pt>
                <c:pt idx="298">
                  <c:v>41534</c:v>
                </c:pt>
                <c:pt idx="299">
                  <c:v>41541</c:v>
                </c:pt>
                <c:pt idx="300">
                  <c:v>41548</c:v>
                </c:pt>
                <c:pt idx="301">
                  <c:v>41555</c:v>
                </c:pt>
                <c:pt idx="302">
                  <c:v>41562</c:v>
                </c:pt>
                <c:pt idx="303">
                  <c:v>41569</c:v>
                </c:pt>
                <c:pt idx="304">
                  <c:v>41576</c:v>
                </c:pt>
                <c:pt idx="305">
                  <c:v>41583</c:v>
                </c:pt>
                <c:pt idx="306">
                  <c:v>41590</c:v>
                </c:pt>
                <c:pt idx="307">
                  <c:v>41597</c:v>
                </c:pt>
                <c:pt idx="308">
                  <c:v>41604</c:v>
                </c:pt>
                <c:pt idx="309">
                  <c:v>41611</c:v>
                </c:pt>
                <c:pt idx="310">
                  <c:v>41618</c:v>
                </c:pt>
                <c:pt idx="311">
                  <c:v>41625</c:v>
                </c:pt>
                <c:pt idx="312">
                  <c:v>41632</c:v>
                </c:pt>
                <c:pt idx="313">
                  <c:v>41639</c:v>
                </c:pt>
                <c:pt idx="314">
                  <c:v>41646</c:v>
                </c:pt>
                <c:pt idx="315">
                  <c:v>41653</c:v>
                </c:pt>
                <c:pt idx="316">
                  <c:v>41660</c:v>
                </c:pt>
                <c:pt idx="317">
                  <c:v>41667</c:v>
                </c:pt>
                <c:pt idx="318">
                  <c:v>41674</c:v>
                </c:pt>
                <c:pt idx="319">
                  <c:v>41681</c:v>
                </c:pt>
                <c:pt idx="320">
                  <c:v>41688</c:v>
                </c:pt>
                <c:pt idx="321">
                  <c:v>41695</c:v>
                </c:pt>
                <c:pt idx="322">
                  <c:v>41702</c:v>
                </c:pt>
                <c:pt idx="323">
                  <c:v>41709</c:v>
                </c:pt>
                <c:pt idx="324">
                  <c:v>41716</c:v>
                </c:pt>
                <c:pt idx="325">
                  <c:v>41723</c:v>
                </c:pt>
                <c:pt idx="326">
                  <c:v>41730</c:v>
                </c:pt>
                <c:pt idx="327">
                  <c:v>41737</c:v>
                </c:pt>
                <c:pt idx="328">
                  <c:v>41744</c:v>
                </c:pt>
                <c:pt idx="329">
                  <c:v>41751</c:v>
                </c:pt>
                <c:pt idx="330">
                  <c:v>41758</c:v>
                </c:pt>
                <c:pt idx="331">
                  <c:v>41765</c:v>
                </c:pt>
                <c:pt idx="332">
                  <c:v>41772</c:v>
                </c:pt>
                <c:pt idx="333">
                  <c:v>41779</c:v>
                </c:pt>
                <c:pt idx="334">
                  <c:v>41786</c:v>
                </c:pt>
                <c:pt idx="335">
                  <c:v>41793</c:v>
                </c:pt>
                <c:pt idx="336">
                  <c:v>41800</c:v>
                </c:pt>
                <c:pt idx="337">
                  <c:v>41807</c:v>
                </c:pt>
                <c:pt idx="338">
                  <c:v>41814</c:v>
                </c:pt>
                <c:pt idx="339">
                  <c:v>41821</c:v>
                </c:pt>
                <c:pt idx="340">
                  <c:v>41828</c:v>
                </c:pt>
                <c:pt idx="341">
                  <c:v>41835</c:v>
                </c:pt>
                <c:pt idx="342">
                  <c:v>41842</c:v>
                </c:pt>
                <c:pt idx="343">
                  <c:v>41849</c:v>
                </c:pt>
                <c:pt idx="344">
                  <c:v>41856</c:v>
                </c:pt>
                <c:pt idx="345">
                  <c:v>41863</c:v>
                </c:pt>
                <c:pt idx="346">
                  <c:v>41870</c:v>
                </c:pt>
                <c:pt idx="347">
                  <c:v>41877</c:v>
                </c:pt>
                <c:pt idx="348">
                  <c:v>41884</c:v>
                </c:pt>
                <c:pt idx="349">
                  <c:v>41891</c:v>
                </c:pt>
                <c:pt idx="350">
                  <c:v>41898</c:v>
                </c:pt>
                <c:pt idx="351">
                  <c:v>41905</c:v>
                </c:pt>
                <c:pt idx="352">
                  <c:v>41912</c:v>
                </c:pt>
                <c:pt idx="353">
                  <c:v>41919</c:v>
                </c:pt>
                <c:pt idx="354">
                  <c:v>41926</c:v>
                </c:pt>
                <c:pt idx="355">
                  <c:v>41933</c:v>
                </c:pt>
                <c:pt idx="356">
                  <c:v>41940</c:v>
                </c:pt>
                <c:pt idx="357">
                  <c:v>41947</c:v>
                </c:pt>
                <c:pt idx="358">
                  <c:v>41954</c:v>
                </c:pt>
                <c:pt idx="359">
                  <c:v>41961</c:v>
                </c:pt>
                <c:pt idx="360">
                  <c:v>41968</c:v>
                </c:pt>
                <c:pt idx="361">
                  <c:v>41975</c:v>
                </c:pt>
                <c:pt idx="362">
                  <c:v>41982</c:v>
                </c:pt>
                <c:pt idx="363">
                  <c:v>41989</c:v>
                </c:pt>
                <c:pt idx="364">
                  <c:v>41996</c:v>
                </c:pt>
                <c:pt idx="365">
                  <c:v>42003</c:v>
                </c:pt>
                <c:pt idx="366">
                  <c:v>42010</c:v>
                </c:pt>
                <c:pt idx="367">
                  <c:v>42017</c:v>
                </c:pt>
                <c:pt idx="368">
                  <c:v>42024</c:v>
                </c:pt>
                <c:pt idx="369">
                  <c:v>42031</c:v>
                </c:pt>
                <c:pt idx="370">
                  <c:v>42038</c:v>
                </c:pt>
                <c:pt idx="371">
                  <c:v>42045</c:v>
                </c:pt>
                <c:pt idx="372">
                  <c:v>42052</c:v>
                </c:pt>
                <c:pt idx="373">
                  <c:v>42059</c:v>
                </c:pt>
                <c:pt idx="374">
                  <c:v>42066</c:v>
                </c:pt>
                <c:pt idx="375">
                  <c:v>42073</c:v>
                </c:pt>
                <c:pt idx="376">
                  <c:v>42080</c:v>
                </c:pt>
                <c:pt idx="377">
                  <c:v>42087</c:v>
                </c:pt>
                <c:pt idx="378">
                  <c:v>42094</c:v>
                </c:pt>
                <c:pt idx="379">
                  <c:v>42101</c:v>
                </c:pt>
                <c:pt idx="380">
                  <c:v>42108</c:v>
                </c:pt>
                <c:pt idx="381">
                  <c:v>42115</c:v>
                </c:pt>
                <c:pt idx="382">
                  <c:v>42122</c:v>
                </c:pt>
                <c:pt idx="383">
                  <c:v>42129</c:v>
                </c:pt>
                <c:pt idx="384">
                  <c:v>42136</c:v>
                </c:pt>
                <c:pt idx="385">
                  <c:v>42143</c:v>
                </c:pt>
                <c:pt idx="386">
                  <c:v>42150</c:v>
                </c:pt>
                <c:pt idx="387">
                  <c:v>42157</c:v>
                </c:pt>
                <c:pt idx="388">
                  <c:v>42164</c:v>
                </c:pt>
                <c:pt idx="389">
                  <c:v>42171</c:v>
                </c:pt>
                <c:pt idx="390">
                  <c:v>42178</c:v>
                </c:pt>
                <c:pt idx="391">
                  <c:v>42185</c:v>
                </c:pt>
                <c:pt idx="392">
                  <c:v>42192</c:v>
                </c:pt>
                <c:pt idx="393">
                  <c:v>42199</c:v>
                </c:pt>
                <c:pt idx="394">
                  <c:v>42206</c:v>
                </c:pt>
                <c:pt idx="395">
                  <c:v>42213</c:v>
                </c:pt>
                <c:pt idx="396">
                  <c:v>42220</c:v>
                </c:pt>
                <c:pt idx="397">
                  <c:v>42227</c:v>
                </c:pt>
                <c:pt idx="398">
                  <c:v>42234</c:v>
                </c:pt>
                <c:pt idx="399">
                  <c:v>42241</c:v>
                </c:pt>
                <c:pt idx="400">
                  <c:v>42248</c:v>
                </c:pt>
                <c:pt idx="401">
                  <c:v>42255</c:v>
                </c:pt>
                <c:pt idx="402">
                  <c:v>42262</c:v>
                </c:pt>
                <c:pt idx="403">
                  <c:v>42269</c:v>
                </c:pt>
                <c:pt idx="404">
                  <c:v>42276</c:v>
                </c:pt>
                <c:pt idx="405">
                  <c:v>42283</c:v>
                </c:pt>
                <c:pt idx="406">
                  <c:v>42290</c:v>
                </c:pt>
                <c:pt idx="407">
                  <c:v>42297</c:v>
                </c:pt>
                <c:pt idx="408">
                  <c:v>42304</c:v>
                </c:pt>
                <c:pt idx="409">
                  <c:v>42311</c:v>
                </c:pt>
                <c:pt idx="410">
                  <c:v>42318</c:v>
                </c:pt>
                <c:pt idx="411">
                  <c:v>42325</c:v>
                </c:pt>
                <c:pt idx="412">
                  <c:v>42332</c:v>
                </c:pt>
                <c:pt idx="413">
                  <c:v>42339</c:v>
                </c:pt>
                <c:pt idx="414">
                  <c:v>42346</c:v>
                </c:pt>
                <c:pt idx="415">
                  <c:v>42353</c:v>
                </c:pt>
                <c:pt idx="416">
                  <c:v>42360</c:v>
                </c:pt>
                <c:pt idx="417">
                  <c:v>42367</c:v>
                </c:pt>
                <c:pt idx="418">
                  <c:v>42374</c:v>
                </c:pt>
                <c:pt idx="419">
                  <c:v>42381</c:v>
                </c:pt>
                <c:pt idx="420">
                  <c:v>42388</c:v>
                </c:pt>
                <c:pt idx="421">
                  <c:v>42395</c:v>
                </c:pt>
                <c:pt idx="422">
                  <c:v>42402</c:v>
                </c:pt>
                <c:pt idx="423">
                  <c:v>42409</c:v>
                </c:pt>
                <c:pt idx="424">
                  <c:v>42416</c:v>
                </c:pt>
                <c:pt idx="425">
                  <c:v>42423</c:v>
                </c:pt>
                <c:pt idx="426">
                  <c:v>42430</c:v>
                </c:pt>
                <c:pt idx="427">
                  <c:v>42437</c:v>
                </c:pt>
                <c:pt idx="428">
                  <c:v>42444</c:v>
                </c:pt>
                <c:pt idx="429">
                  <c:v>42451</c:v>
                </c:pt>
                <c:pt idx="430">
                  <c:v>42458</c:v>
                </c:pt>
                <c:pt idx="431">
                  <c:v>42465</c:v>
                </c:pt>
                <c:pt idx="432">
                  <c:v>42472</c:v>
                </c:pt>
                <c:pt idx="433">
                  <c:v>42479</c:v>
                </c:pt>
                <c:pt idx="434">
                  <c:v>42486</c:v>
                </c:pt>
                <c:pt idx="435">
                  <c:v>42493</c:v>
                </c:pt>
                <c:pt idx="436">
                  <c:v>42500</c:v>
                </c:pt>
                <c:pt idx="437">
                  <c:v>42507</c:v>
                </c:pt>
                <c:pt idx="438">
                  <c:v>42514</c:v>
                </c:pt>
                <c:pt idx="439">
                  <c:v>42521</c:v>
                </c:pt>
                <c:pt idx="440">
                  <c:v>42528</c:v>
                </c:pt>
                <c:pt idx="441">
                  <c:v>42535</c:v>
                </c:pt>
                <c:pt idx="442">
                  <c:v>42542</c:v>
                </c:pt>
                <c:pt idx="443">
                  <c:v>42549</c:v>
                </c:pt>
                <c:pt idx="444">
                  <c:v>42556</c:v>
                </c:pt>
                <c:pt idx="445">
                  <c:v>42563</c:v>
                </c:pt>
                <c:pt idx="446">
                  <c:v>42570</c:v>
                </c:pt>
                <c:pt idx="447">
                  <c:v>42577</c:v>
                </c:pt>
                <c:pt idx="448">
                  <c:v>42584</c:v>
                </c:pt>
                <c:pt idx="449">
                  <c:v>42591</c:v>
                </c:pt>
                <c:pt idx="450">
                  <c:v>42598</c:v>
                </c:pt>
                <c:pt idx="451">
                  <c:v>42605</c:v>
                </c:pt>
                <c:pt idx="452">
                  <c:v>42612</c:v>
                </c:pt>
                <c:pt idx="453">
                  <c:v>42619</c:v>
                </c:pt>
                <c:pt idx="454">
                  <c:v>42626</c:v>
                </c:pt>
                <c:pt idx="455">
                  <c:v>42633</c:v>
                </c:pt>
                <c:pt idx="456">
                  <c:v>42640</c:v>
                </c:pt>
                <c:pt idx="457">
                  <c:v>42647</c:v>
                </c:pt>
                <c:pt idx="458">
                  <c:v>42654</c:v>
                </c:pt>
                <c:pt idx="459">
                  <c:v>42661</c:v>
                </c:pt>
                <c:pt idx="460">
                  <c:v>42668</c:v>
                </c:pt>
                <c:pt idx="461">
                  <c:v>42675</c:v>
                </c:pt>
                <c:pt idx="462">
                  <c:v>42682</c:v>
                </c:pt>
                <c:pt idx="463">
                  <c:v>42689</c:v>
                </c:pt>
                <c:pt idx="464">
                  <c:v>42696</c:v>
                </c:pt>
                <c:pt idx="465">
                  <c:v>42703</c:v>
                </c:pt>
                <c:pt idx="466">
                  <c:v>42710</c:v>
                </c:pt>
                <c:pt idx="467">
                  <c:v>42717</c:v>
                </c:pt>
                <c:pt idx="468">
                  <c:v>42724</c:v>
                </c:pt>
                <c:pt idx="469">
                  <c:v>42731</c:v>
                </c:pt>
                <c:pt idx="470">
                  <c:v>42738</c:v>
                </c:pt>
                <c:pt idx="471">
                  <c:v>42745</c:v>
                </c:pt>
                <c:pt idx="472">
                  <c:v>42752</c:v>
                </c:pt>
                <c:pt idx="473">
                  <c:v>42759</c:v>
                </c:pt>
                <c:pt idx="474">
                  <c:v>42766</c:v>
                </c:pt>
                <c:pt idx="475">
                  <c:v>42773</c:v>
                </c:pt>
                <c:pt idx="476">
                  <c:v>42780</c:v>
                </c:pt>
                <c:pt idx="477">
                  <c:v>42787</c:v>
                </c:pt>
                <c:pt idx="478">
                  <c:v>42794</c:v>
                </c:pt>
                <c:pt idx="479">
                  <c:v>42801</c:v>
                </c:pt>
                <c:pt idx="480">
                  <c:v>42808</c:v>
                </c:pt>
                <c:pt idx="481">
                  <c:v>42815</c:v>
                </c:pt>
                <c:pt idx="482">
                  <c:v>42822</c:v>
                </c:pt>
                <c:pt idx="483">
                  <c:v>42829</c:v>
                </c:pt>
                <c:pt idx="484">
                  <c:v>42836</c:v>
                </c:pt>
                <c:pt idx="485">
                  <c:v>42843</c:v>
                </c:pt>
                <c:pt idx="486">
                  <c:v>42850</c:v>
                </c:pt>
                <c:pt idx="487">
                  <c:v>42857</c:v>
                </c:pt>
                <c:pt idx="488">
                  <c:v>42864</c:v>
                </c:pt>
                <c:pt idx="489">
                  <c:v>42871</c:v>
                </c:pt>
                <c:pt idx="490">
                  <c:v>42878</c:v>
                </c:pt>
                <c:pt idx="491">
                  <c:v>42885</c:v>
                </c:pt>
                <c:pt idx="492">
                  <c:v>42892</c:v>
                </c:pt>
                <c:pt idx="493">
                  <c:v>42899</c:v>
                </c:pt>
                <c:pt idx="494">
                  <c:v>42906</c:v>
                </c:pt>
                <c:pt idx="495">
                  <c:v>42913</c:v>
                </c:pt>
                <c:pt idx="496">
                  <c:v>42920</c:v>
                </c:pt>
                <c:pt idx="497">
                  <c:v>42927</c:v>
                </c:pt>
                <c:pt idx="498">
                  <c:v>42934</c:v>
                </c:pt>
                <c:pt idx="499">
                  <c:v>42941</c:v>
                </c:pt>
                <c:pt idx="500">
                  <c:v>42948</c:v>
                </c:pt>
                <c:pt idx="501">
                  <c:v>42955</c:v>
                </c:pt>
                <c:pt idx="502">
                  <c:v>42962</c:v>
                </c:pt>
                <c:pt idx="503">
                  <c:v>42969</c:v>
                </c:pt>
                <c:pt idx="504">
                  <c:v>42976</c:v>
                </c:pt>
                <c:pt idx="505">
                  <c:v>42983</c:v>
                </c:pt>
                <c:pt idx="506">
                  <c:v>42990</c:v>
                </c:pt>
                <c:pt idx="507">
                  <c:v>42997</c:v>
                </c:pt>
                <c:pt idx="508">
                  <c:v>43004</c:v>
                </c:pt>
                <c:pt idx="509">
                  <c:v>43011</c:v>
                </c:pt>
                <c:pt idx="510">
                  <c:v>43018</c:v>
                </c:pt>
                <c:pt idx="511">
                  <c:v>43025</c:v>
                </c:pt>
                <c:pt idx="512">
                  <c:v>43032</c:v>
                </c:pt>
                <c:pt idx="513">
                  <c:v>43039</c:v>
                </c:pt>
                <c:pt idx="514">
                  <c:v>43046</c:v>
                </c:pt>
                <c:pt idx="515">
                  <c:v>43053</c:v>
                </c:pt>
                <c:pt idx="516">
                  <c:v>43060</c:v>
                </c:pt>
                <c:pt idx="517">
                  <c:v>43067</c:v>
                </c:pt>
                <c:pt idx="518">
                  <c:v>43074</c:v>
                </c:pt>
                <c:pt idx="519">
                  <c:v>43081</c:v>
                </c:pt>
                <c:pt idx="520">
                  <c:v>43088</c:v>
                </c:pt>
                <c:pt idx="521">
                  <c:v>43095</c:v>
                </c:pt>
                <c:pt idx="522">
                  <c:v>43102</c:v>
                </c:pt>
                <c:pt idx="523">
                  <c:v>43109</c:v>
                </c:pt>
                <c:pt idx="524">
                  <c:v>43116</c:v>
                </c:pt>
                <c:pt idx="525">
                  <c:v>43123</c:v>
                </c:pt>
                <c:pt idx="526">
                  <c:v>43130</c:v>
                </c:pt>
                <c:pt idx="527">
                  <c:v>43137</c:v>
                </c:pt>
                <c:pt idx="528">
                  <c:v>43144</c:v>
                </c:pt>
                <c:pt idx="529">
                  <c:v>43151</c:v>
                </c:pt>
                <c:pt idx="530">
                  <c:v>43158</c:v>
                </c:pt>
                <c:pt idx="531">
                  <c:v>43165</c:v>
                </c:pt>
                <c:pt idx="532">
                  <c:v>43172</c:v>
                </c:pt>
                <c:pt idx="533">
                  <c:v>43179</c:v>
                </c:pt>
                <c:pt idx="534">
                  <c:v>43186</c:v>
                </c:pt>
                <c:pt idx="535">
                  <c:v>43193</c:v>
                </c:pt>
                <c:pt idx="536">
                  <c:v>43200</c:v>
                </c:pt>
                <c:pt idx="537">
                  <c:v>43207</c:v>
                </c:pt>
                <c:pt idx="538">
                  <c:v>43214</c:v>
                </c:pt>
                <c:pt idx="539">
                  <c:v>43221</c:v>
                </c:pt>
                <c:pt idx="540">
                  <c:v>43228</c:v>
                </c:pt>
                <c:pt idx="541">
                  <c:v>43235</c:v>
                </c:pt>
                <c:pt idx="542">
                  <c:v>43242</c:v>
                </c:pt>
                <c:pt idx="543">
                  <c:v>43249</c:v>
                </c:pt>
                <c:pt idx="544">
                  <c:v>43256</c:v>
                </c:pt>
                <c:pt idx="545">
                  <c:v>43263</c:v>
                </c:pt>
                <c:pt idx="546">
                  <c:v>43270</c:v>
                </c:pt>
                <c:pt idx="547">
                  <c:v>43277</c:v>
                </c:pt>
                <c:pt idx="548">
                  <c:v>43284</c:v>
                </c:pt>
                <c:pt idx="549">
                  <c:v>43291</c:v>
                </c:pt>
                <c:pt idx="550">
                  <c:v>43298</c:v>
                </c:pt>
                <c:pt idx="551">
                  <c:v>43305</c:v>
                </c:pt>
                <c:pt idx="552">
                  <c:v>43312</c:v>
                </c:pt>
                <c:pt idx="553">
                  <c:v>43319</c:v>
                </c:pt>
                <c:pt idx="554">
                  <c:v>43326</c:v>
                </c:pt>
                <c:pt idx="555">
                  <c:v>43333</c:v>
                </c:pt>
                <c:pt idx="556">
                  <c:v>43340</c:v>
                </c:pt>
                <c:pt idx="557">
                  <c:v>43347</c:v>
                </c:pt>
                <c:pt idx="558">
                  <c:v>43354</c:v>
                </c:pt>
                <c:pt idx="559">
                  <c:v>43361</c:v>
                </c:pt>
                <c:pt idx="560">
                  <c:v>43368</c:v>
                </c:pt>
                <c:pt idx="561">
                  <c:v>43375</c:v>
                </c:pt>
                <c:pt idx="562">
                  <c:v>43382</c:v>
                </c:pt>
                <c:pt idx="563">
                  <c:v>43389</c:v>
                </c:pt>
                <c:pt idx="564">
                  <c:v>43396</c:v>
                </c:pt>
                <c:pt idx="565">
                  <c:v>43403</c:v>
                </c:pt>
                <c:pt idx="566">
                  <c:v>43410</c:v>
                </c:pt>
                <c:pt idx="567">
                  <c:v>43417</c:v>
                </c:pt>
                <c:pt idx="568">
                  <c:v>43424</c:v>
                </c:pt>
                <c:pt idx="569">
                  <c:v>43431</c:v>
                </c:pt>
                <c:pt idx="570">
                  <c:v>43438</c:v>
                </c:pt>
                <c:pt idx="571">
                  <c:v>43445</c:v>
                </c:pt>
                <c:pt idx="572">
                  <c:v>43452</c:v>
                </c:pt>
                <c:pt idx="573">
                  <c:v>43459</c:v>
                </c:pt>
                <c:pt idx="574">
                  <c:v>43466</c:v>
                </c:pt>
                <c:pt idx="575">
                  <c:v>43473</c:v>
                </c:pt>
                <c:pt idx="576">
                  <c:v>43480</c:v>
                </c:pt>
                <c:pt idx="577">
                  <c:v>43487</c:v>
                </c:pt>
                <c:pt idx="578">
                  <c:v>43494</c:v>
                </c:pt>
                <c:pt idx="579">
                  <c:v>43501</c:v>
                </c:pt>
                <c:pt idx="580">
                  <c:v>43508</c:v>
                </c:pt>
                <c:pt idx="581">
                  <c:v>43515</c:v>
                </c:pt>
                <c:pt idx="582">
                  <c:v>43522</c:v>
                </c:pt>
                <c:pt idx="583">
                  <c:v>43529</c:v>
                </c:pt>
                <c:pt idx="584">
                  <c:v>43536</c:v>
                </c:pt>
                <c:pt idx="585">
                  <c:v>43543</c:v>
                </c:pt>
                <c:pt idx="586">
                  <c:v>43550</c:v>
                </c:pt>
                <c:pt idx="587">
                  <c:v>43557</c:v>
                </c:pt>
                <c:pt idx="588">
                  <c:v>43564</c:v>
                </c:pt>
                <c:pt idx="589">
                  <c:v>43571</c:v>
                </c:pt>
                <c:pt idx="590">
                  <c:v>43578</c:v>
                </c:pt>
                <c:pt idx="591">
                  <c:v>43585</c:v>
                </c:pt>
                <c:pt idx="592">
                  <c:v>43592</c:v>
                </c:pt>
                <c:pt idx="593">
                  <c:v>43599</c:v>
                </c:pt>
                <c:pt idx="594">
                  <c:v>43606</c:v>
                </c:pt>
                <c:pt idx="595">
                  <c:v>43613</c:v>
                </c:pt>
                <c:pt idx="596">
                  <c:v>43620</c:v>
                </c:pt>
                <c:pt idx="597">
                  <c:v>43627</c:v>
                </c:pt>
                <c:pt idx="598">
                  <c:v>43634</c:v>
                </c:pt>
                <c:pt idx="599">
                  <c:v>43641</c:v>
                </c:pt>
                <c:pt idx="600">
                  <c:v>43648</c:v>
                </c:pt>
                <c:pt idx="601">
                  <c:v>43655</c:v>
                </c:pt>
                <c:pt idx="602">
                  <c:v>43662</c:v>
                </c:pt>
                <c:pt idx="603">
                  <c:v>43669</c:v>
                </c:pt>
                <c:pt idx="604">
                  <c:v>43676</c:v>
                </c:pt>
                <c:pt idx="605">
                  <c:v>43683</c:v>
                </c:pt>
                <c:pt idx="606">
                  <c:v>43690</c:v>
                </c:pt>
                <c:pt idx="607">
                  <c:v>43697</c:v>
                </c:pt>
                <c:pt idx="608">
                  <c:v>43704</c:v>
                </c:pt>
                <c:pt idx="609">
                  <c:v>43711</c:v>
                </c:pt>
                <c:pt idx="610">
                  <c:v>43718</c:v>
                </c:pt>
                <c:pt idx="611">
                  <c:v>43725</c:v>
                </c:pt>
                <c:pt idx="612">
                  <c:v>43732</c:v>
                </c:pt>
                <c:pt idx="613">
                  <c:v>43739</c:v>
                </c:pt>
                <c:pt idx="614">
                  <c:v>43746</c:v>
                </c:pt>
                <c:pt idx="615">
                  <c:v>43753</c:v>
                </c:pt>
                <c:pt idx="616">
                  <c:v>43760</c:v>
                </c:pt>
                <c:pt idx="617">
                  <c:v>43767</c:v>
                </c:pt>
                <c:pt idx="618">
                  <c:v>43774</c:v>
                </c:pt>
                <c:pt idx="619">
                  <c:v>43781</c:v>
                </c:pt>
                <c:pt idx="620">
                  <c:v>43788</c:v>
                </c:pt>
                <c:pt idx="621">
                  <c:v>43795</c:v>
                </c:pt>
                <c:pt idx="622">
                  <c:v>43802</c:v>
                </c:pt>
                <c:pt idx="623">
                  <c:v>43809</c:v>
                </c:pt>
                <c:pt idx="624">
                  <c:v>43816</c:v>
                </c:pt>
                <c:pt idx="625">
                  <c:v>43823</c:v>
                </c:pt>
                <c:pt idx="626">
                  <c:v>43830</c:v>
                </c:pt>
                <c:pt idx="627">
                  <c:v>43837</c:v>
                </c:pt>
                <c:pt idx="628">
                  <c:v>43844</c:v>
                </c:pt>
                <c:pt idx="629">
                  <c:v>43851</c:v>
                </c:pt>
                <c:pt idx="630">
                  <c:v>43858</c:v>
                </c:pt>
                <c:pt idx="631">
                  <c:v>43865</c:v>
                </c:pt>
                <c:pt idx="632">
                  <c:v>43872</c:v>
                </c:pt>
                <c:pt idx="633">
                  <c:v>43879</c:v>
                </c:pt>
                <c:pt idx="634">
                  <c:v>43886</c:v>
                </c:pt>
                <c:pt idx="635">
                  <c:v>43893</c:v>
                </c:pt>
                <c:pt idx="636">
                  <c:v>43900</c:v>
                </c:pt>
                <c:pt idx="637">
                  <c:v>43907</c:v>
                </c:pt>
                <c:pt idx="638">
                  <c:v>43914</c:v>
                </c:pt>
                <c:pt idx="639">
                  <c:v>43921</c:v>
                </c:pt>
                <c:pt idx="640">
                  <c:v>43928</c:v>
                </c:pt>
                <c:pt idx="641">
                  <c:v>43935</c:v>
                </c:pt>
                <c:pt idx="642">
                  <c:v>43942</c:v>
                </c:pt>
                <c:pt idx="643">
                  <c:v>43949</c:v>
                </c:pt>
                <c:pt idx="644">
                  <c:v>43956</c:v>
                </c:pt>
                <c:pt idx="645">
                  <c:v>43963</c:v>
                </c:pt>
                <c:pt idx="646">
                  <c:v>43970</c:v>
                </c:pt>
                <c:pt idx="647">
                  <c:v>43977</c:v>
                </c:pt>
                <c:pt idx="648">
                  <c:v>43984</c:v>
                </c:pt>
                <c:pt idx="649">
                  <c:v>43991</c:v>
                </c:pt>
                <c:pt idx="650">
                  <c:v>43998</c:v>
                </c:pt>
                <c:pt idx="651">
                  <c:v>44005</c:v>
                </c:pt>
                <c:pt idx="652">
                  <c:v>44012</c:v>
                </c:pt>
                <c:pt idx="653">
                  <c:v>44019</c:v>
                </c:pt>
                <c:pt idx="654">
                  <c:v>44026</c:v>
                </c:pt>
                <c:pt idx="655">
                  <c:v>44033</c:v>
                </c:pt>
                <c:pt idx="656">
                  <c:v>44040</c:v>
                </c:pt>
                <c:pt idx="657">
                  <c:v>44047</c:v>
                </c:pt>
                <c:pt idx="658">
                  <c:v>44054</c:v>
                </c:pt>
                <c:pt idx="659">
                  <c:v>44061</c:v>
                </c:pt>
                <c:pt idx="660">
                  <c:v>44068</c:v>
                </c:pt>
                <c:pt idx="661">
                  <c:v>44075</c:v>
                </c:pt>
                <c:pt idx="662">
                  <c:v>44082</c:v>
                </c:pt>
                <c:pt idx="663">
                  <c:v>44089</c:v>
                </c:pt>
                <c:pt idx="664">
                  <c:v>44096</c:v>
                </c:pt>
                <c:pt idx="665">
                  <c:v>44103</c:v>
                </c:pt>
                <c:pt idx="666">
                  <c:v>44110</c:v>
                </c:pt>
                <c:pt idx="667">
                  <c:v>44117</c:v>
                </c:pt>
                <c:pt idx="668">
                  <c:v>44124</c:v>
                </c:pt>
                <c:pt idx="669">
                  <c:v>44131</c:v>
                </c:pt>
                <c:pt idx="670">
                  <c:v>44138</c:v>
                </c:pt>
                <c:pt idx="671">
                  <c:v>44145</c:v>
                </c:pt>
                <c:pt idx="672">
                  <c:v>44152</c:v>
                </c:pt>
                <c:pt idx="673">
                  <c:v>44159</c:v>
                </c:pt>
                <c:pt idx="674">
                  <c:v>44166</c:v>
                </c:pt>
                <c:pt idx="675">
                  <c:v>44173</c:v>
                </c:pt>
                <c:pt idx="676">
                  <c:v>44180</c:v>
                </c:pt>
                <c:pt idx="677">
                  <c:v>44187</c:v>
                </c:pt>
                <c:pt idx="678">
                  <c:v>44194</c:v>
                </c:pt>
                <c:pt idx="679">
                  <c:v>44201</c:v>
                </c:pt>
                <c:pt idx="680">
                  <c:v>44208</c:v>
                </c:pt>
                <c:pt idx="681">
                  <c:v>44215</c:v>
                </c:pt>
                <c:pt idx="682">
                  <c:v>44222</c:v>
                </c:pt>
                <c:pt idx="683">
                  <c:v>44229</c:v>
                </c:pt>
                <c:pt idx="684">
                  <c:v>44236</c:v>
                </c:pt>
                <c:pt idx="685">
                  <c:v>44243</c:v>
                </c:pt>
                <c:pt idx="686">
                  <c:v>44250</c:v>
                </c:pt>
                <c:pt idx="687">
                  <c:v>44257</c:v>
                </c:pt>
                <c:pt idx="688">
                  <c:v>44264</c:v>
                </c:pt>
                <c:pt idx="689">
                  <c:v>44271</c:v>
                </c:pt>
                <c:pt idx="690">
                  <c:v>44278</c:v>
                </c:pt>
                <c:pt idx="691">
                  <c:v>44285</c:v>
                </c:pt>
                <c:pt idx="692">
                  <c:v>44292</c:v>
                </c:pt>
                <c:pt idx="693">
                  <c:v>44299</c:v>
                </c:pt>
                <c:pt idx="694">
                  <c:v>44306</c:v>
                </c:pt>
                <c:pt idx="695">
                  <c:v>44313</c:v>
                </c:pt>
                <c:pt idx="696">
                  <c:v>44320</c:v>
                </c:pt>
                <c:pt idx="697">
                  <c:v>44327</c:v>
                </c:pt>
                <c:pt idx="698">
                  <c:v>44334</c:v>
                </c:pt>
                <c:pt idx="699">
                  <c:v>44341</c:v>
                </c:pt>
                <c:pt idx="700">
                  <c:v>44348</c:v>
                </c:pt>
                <c:pt idx="701">
                  <c:v>44355</c:v>
                </c:pt>
                <c:pt idx="702">
                  <c:v>44362</c:v>
                </c:pt>
                <c:pt idx="703">
                  <c:v>44369</c:v>
                </c:pt>
                <c:pt idx="704">
                  <c:v>44376</c:v>
                </c:pt>
                <c:pt idx="705">
                  <c:v>44383</c:v>
                </c:pt>
                <c:pt idx="706">
                  <c:v>44390</c:v>
                </c:pt>
                <c:pt idx="707">
                  <c:v>44397</c:v>
                </c:pt>
                <c:pt idx="708">
                  <c:v>44404</c:v>
                </c:pt>
                <c:pt idx="709">
                  <c:v>44411</c:v>
                </c:pt>
                <c:pt idx="710">
                  <c:v>44418</c:v>
                </c:pt>
                <c:pt idx="711">
                  <c:v>44425</c:v>
                </c:pt>
                <c:pt idx="712">
                  <c:v>44432</c:v>
                </c:pt>
                <c:pt idx="713">
                  <c:v>44439</c:v>
                </c:pt>
                <c:pt idx="714">
                  <c:v>44446</c:v>
                </c:pt>
                <c:pt idx="715">
                  <c:v>44453</c:v>
                </c:pt>
                <c:pt idx="716">
                  <c:v>44460</c:v>
                </c:pt>
                <c:pt idx="717">
                  <c:v>44467</c:v>
                </c:pt>
                <c:pt idx="718">
                  <c:v>44474</c:v>
                </c:pt>
                <c:pt idx="719">
                  <c:v>44481</c:v>
                </c:pt>
                <c:pt idx="720">
                  <c:v>44488</c:v>
                </c:pt>
                <c:pt idx="721">
                  <c:v>44495</c:v>
                </c:pt>
                <c:pt idx="722">
                  <c:v>44502</c:v>
                </c:pt>
                <c:pt idx="723">
                  <c:v>44509</c:v>
                </c:pt>
                <c:pt idx="724">
                  <c:v>44516</c:v>
                </c:pt>
                <c:pt idx="725">
                  <c:v>44523</c:v>
                </c:pt>
                <c:pt idx="726">
                  <c:v>44530</c:v>
                </c:pt>
                <c:pt idx="727">
                  <c:v>44537</c:v>
                </c:pt>
                <c:pt idx="728">
                  <c:v>44544</c:v>
                </c:pt>
                <c:pt idx="729">
                  <c:v>44551</c:v>
                </c:pt>
                <c:pt idx="730">
                  <c:v>44558</c:v>
                </c:pt>
                <c:pt idx="731">
                  <c:v>44565</c:v>
                </c:pt>
                <c:pt idx="732">
                  <c:v>44572</c:v>
                </c:pt>
                <c:pt idx="733">
                  <c:v>44579</c:v>
                </c:pt>
                <c:pt idx="734">
                  <c:v>44586</c:v>
                </c:pt>
                <c:pt idx="735">
                  <c:v>44593</c:v>
                </c:pt>
                <c:pt idx="736">
                  <c:v>44600</c:v>
                </c:pt>
                <c:pt idx="737">
                  <c:v>44607</c:v>
                </c:pt>
                <c:pt idx="738">
                  <c:v>44614</c:v>
                </c:pt>
                <c:pt idx="739">
                  <c:v>44621</c:v>
                </c:pt>
                <c:pt idx="740">
                  <c:v>44628</c:v>
                </c:pt>
                <c:pt idx="741">
                  <c:v>44635</c:v>
                </c:pt>
                <c:pt idx="742">
                  <c:v>44642</c:v>
                </c:pt>
                <c:pt idx="743">
                  <c:v>44649</c:v>
                </c:pt>
                <c:pt idx="744">
                  <c:v>44656</c:v>
                </c:pt>
                <c:pt idx="745">
                  <c:v>44663</c:v>
                </c:pt>
                <c:pt idx="746">
                  <c:v>44670</c:v>
                </c:pt>
                <c:pt idx="747">
                  <c:v>44677</c:v>
                </c:pt>
                <c:pt idx="748">
                  <c:v>44684</c:v>
                </c:pt>
                <c:pt idx="749">
                  <c:v>44691</c:v>
                </c:pt>
                <c:pt idx="750">
                  <c:v>44698</c:v>
                </c:pt>
                <c:pt idx="751">
                  <c:v>44705</c:v>
                </c:pt>
                <c:pt idx="752">
                  <c:v>44712</c:v>
                </c:pt>
                <c:pt idx="753">
                  <c:v>44719</c:v>
                </c:pt>
                <c:pt idx="754">
                  <c:v>44726</c:v>
                </c:pt>
                <c:pt idx="755">
                  <c:v>44733</c:v>
                </c:pt>
                <c:pt idx="756">
                  <c:v>44740</c:v>
                </c:pt>
                <c:pt idx="757">
                  <c:v>44747</c:v>
                </c:pt>
                <c:pt idx="758">
                  <c:v>44754</c:v>
                </c:pt>
                <c:pt idx="759">
                  <c:v>44761</c:v>
                </c:pt>
                <c:pt idx="760">
                  <c:v>44768</c:v>
                </c:pt>
                <c:pt idx="761">
                  <c:v>44775</c:v>
                </c:pt>
                <c:pt idx="762">
                  <c:v>44782</c:v>
                </c:pt>
                <c:pt idx="763">
                  <c:v>44789</c:v>
                </c:pt>
                <c:pt idx="764">
                  <c:v>44796</c:v>
                </c:pt>
                <c:pt idx="765">
                  <c:v>44803</c:v>
                </c:pt>
                <c:pt idx="766">
                  <c:v>44810</c:v>
                </c:pt>
                <c:pt idx="767">
                  <c:v>44817</c:v>
                </c:pt>
                <c:pt idx="768">
                  <c:v>44824</c:v>
                </c:pt>
                <c:pt idx="769">
                  <c:v>44831</c:v>
                </c:pt>
                <c:pt idx="770">
                  <c:v>44838</c:v>
                </c:pt>
                <c:pt idx="771">
                  <c:v>44845</c:v>
                </c:pt>
                <c:pt idx="772">
                  <c:v>44852</c:v>
                </c:pt>
                <c:pt idx="773">
                  <c:v>44859</c:v>
                </c:pt>
                <c:pt idx="774">
                  <c:v>44866</c:v>
                </c:pt>
                <c:pt idx="775">
                  <c:v>44873</c:v>
                </c:pt>
                <c:pt idx="776">
                  <c:v>44880</c:v>
                </c:pt>
                <c:pt idx="777">
                  <c:v>44887</c:v>
                </c:pt>
                <c:pt idx="778">
                  <c:v>44894</c:v>
                </c:pt>
                <c:pt idx="779">
                  <c:v>44901</c:v>
                </c:pt>
                <c:pt idx="780">
                  <c:v>44908</c:v>
                </c:pt>
                <c:pt idx="781">
                  <c:v>44915</c:v>
                </c:pt>
                <c:pt idx="782">
                  <c:v>44922</c:v>
                </c:pt>
                <c:pt idx="783">
                  <c:v>44929</c:v>
                </c:pt>
                <c:pt idx="784">
                  <c:v>44936</c:v>
                </c:pt>
                <c:pt idx="785">
                  <c:v>44943</c:v>
                </c:pt>
                <c:pt idx="786">
                  <c:v>44950</c:v>
                </c:pt>
                <c:pt idx="787">
                  <c:v>44957</c:v>
                </c:pt>
                <c:pt idx="788">
                  <c:v>44964</c:v>
                </c:pt>
                <c:pt idx="789">
                  <c:v>44971</c:v>
                </c:pt>
                <c:pt idx="790">
                  <c:v>44978</c:v>
                </c:pt>
                <c:pt idx="791">
                  <c:v>44985</c:v>
                </c:pt>
                <c:pt idx="792">
                  <c:v>44992</c:v>
                </c:pt>
                <c:pt idx="793">
                  <c:v>44999</c:v>
                </c:pt>
                <c:pt idx="794">
                  <c:v>45006</c:v>
                </c:pt>
                <c:pt idx="795">
                  <c:v>45013</c:v>
                </c:pt>
                <c:pt idx="796">
                  <c:v>45020</c:v>
                </c:pt>
                <c:pt idx="797">
                  <c:v>45027</c:v>
                </c:pt>
                <c:pt idx="798">
                  <c:v>45034</c:v>
                </c:pt>
                <c:pt idx="799">
                  <c:v>45041</c:v>
                </c:pt>
                <c:pt idx="800">
                  <c:v>45048</c:v>
                </c:pt>
                <c:pt idx="801">
                  <c:v>45055</c:v>
                </c:pt>
                <c:pt idx="802">
                  <c:v>45062</c:v>
                </c:pt>
                <c:pt idx="803">
                  <c:v>45069</c:v>
                </c:pt>
                <c:pt idx="804">
                  <c:v>45076</c:v>
                </c:pt>
                <c:pt idx="805">
                  <c:v>45083</c:v>
                </c:pt>
                <c:pt idx="806">
                  <c:v>45090</c:v>
                </c:pt>
                <c:pt idx="807">
                  <c:v>45097</c:v>
                </c:pt>
                <c:pt idx="808">
                  <c:v>45104</c:v>
                </c:pt>
                <c:pt idx="809">
                  <c:v>45111</c:v>
                </c:pt>
                <c:pt idx="810">
                  <c:v>45118</c:v>
                </c:pt>
                <c:pt idx="811">
                  <c:v>45125</c:v>
                </c:pt>
                <c:pt idx="812">
                  <c:v>45132</c:v>
                </c:pt>
                <c:pt idx="813">
                  <c:v>45139</c:v>
                </c:pt>
                <c:pt idx="814">
                  <c:v>45146</c:v>
                </c:pt>
                <c:pt idx="815">
                  <c:v>45153</c:v>
                </c:pt>
                <c:pt idx="816">
                  <c:v>45160</c:v>
                </c:pt>
                <c:pt idx="817">
                  <c:v>45167</c:v>
                </c:pt>
                <c:pt idx="818">
                  <c:v>45174</c:v>
                </c:pt>
                <c:pt idx="819">
                  <c:v>45181</c:v>
                </c:pt>
                <c:pt idx="820">
                  <c:v>45188</c:v>
                </c:pt>
                <c:pt idx="821">
                  <c:v>45195</c:v>
                </c:pt>
                <c:pt idx="822">
                  <c:v>45202</c:v>
                </c:pt>
                <c:pt idx="823">
                  <c:v>45209</c:v>
                </c:pt>
                <c:pt idx="824">
                  <c:v>45216</c:v>
                </c:pt>
                <c:pt idx="825">
                  <c:v>45223</c:v>
                </c:pt>
                <c:pt idx="826">
                  <c:v>45230</c:v>
                </c:pt>
                <c:pt idx="827">
                  <c:v>45237</c:v>
                </c:pt>
                <c:pt idx="828">
                  <c:v>45244</c:v>
                </c:pt>
                <c:pt idx="829">
                  <c:v>45251</c:v>
                </c:pt>
                <c:pt idx="830">
                  <c:v>45258</c:v>
                </c:pt>
                <c:pt idx="831">
                  <c:v>45265</c:v>
                </c:pt>
                <c:pt idx="832">
                  <c:v>45272</c:v>
                </c:pt>
                <c:pt idx="833">
                  <c:v>45279</c:v>
                </c:pt>
                <c:pt idx="834">
                  <c:v>45286</c:v>
                </c:pt>
                <c:pt idx="835">
                  <c:v>45293</c:v>
                </c:pt>
                <c:pt idx="836">
                  <c:v>45300</c:v>
                </c:pt>
                <c:pt idx="837">
                  <c:v>45307</c:v>
                </c:pt>
                <c:pt idx="838">
                  <c:v>45314</c:v>
                </c:pt>
                <c:pt idx="839">
                  <c:v>45321</c:v>
                </c:pt>
                <c:pt idx="840">
                  <c:v>45328</c:v>
                </c:pt>
                <c:pt idx="841">
                  <c:v>45335</c:v>
                </c:pt>
                <c:pt idx="842">
                  <c:v>45342</c:v>
                </c:pt>
                <c:pt idx="843">
                  <c:v>45349</c:v>
                </c:pt>
                <c:pt idx="844">
                  <c:v>45356</c:v>
                </c:pt>
                <c:pt idx="845">
                  <c:v>45363</c:v>
                </c:pt>
                <c:pt idx="846">
                  <c:v>45370</c:v>
                </c:pt>
                <c:pt idx="847">
                  <c:v>45377</c:v>
                </c:pt>
                <c:pt idx="848">
                  <c:v>45384</c:v>
                </c:pt>
                <c:pt idx="849">
                  <c:v>45391</c:v>
                </c:pt>
                <c:pt idx="850">
                  <c:v>45398</c:v>
                </c:pt>
                <c:pt idx="851">
                  <c:v>45405</c:v>
                </c:pt>
                <c:pt idx="852">
                  <c:v>45412</c:v>
                </c:pt>
                <c:pt idx="853">
                  <c:v>45419</c:v>
                </c:pt>
                <c:pt idx="854">
                  <c:v>45426</c:v>
                </c:pt>
                <c:pt idx="855">
                  <c:v>45433</c:v>
                </c:pt>
                <c:pt idx="856">
                  <c:v>45440</c:v>
                </c:pt>
                <c:pt idx="857">
                  <c:v>45447</c:v>
                </c:pt>
                <c:pt idx="858">
                  <c:v>45454</c:v>
                </c:pt>
                <c:pt idx="859">
                  <c:v>45461</c:v>
                </c:pt>
                <c:pt idx="860">
                  <c:v>45468</c:v>
                </c:pt>
                <c:pt idx="861">
                  <c:v>45475</c:v>
                </c:pt>
                <c:pt idx="862">
                  <c:v>45482</c:v>
                </c:pt>
                <c:pt idx="863">
                  <c:v>45489</c:v>
                </c:pt>
                <c:pt idx="864">
                  <c:v>45496</c:v>
                </c:pt>
                <c:pt idx="865">
                  <c:v>45503</c:v>
                </c:pt>
                <c:pt idx="866">
                  <c:v>45510</c:v>
                </c:pt>
                <c:pt idx="867">
                  <c:v>45517</c:v>
                </c:pt>
                <c:pt idx="868">
                  <c:v>45524</c:v>
                </c:pt>
                <c:pt idx="869">
                  <c:v>45531</c:v>
                </c:pt>
                <c:pt idx="870">
                  <c:v>45538</c:v>
                </c:pt>
                <c:pt idx="871">
                  <c:v>45545</c:v>
                </c:pt>
                <c:pt idx="872">
                  <c:v>45552</c:v>
                </c:pt>
                <c:pt idx="873">
                  <c:v>45559</c:v>
                </c:pt>
                <c:pt idx="874">
                  <c:v>45566</c:v>
                </c:pt>
                <c:pt idx="875">
                  <c:v>45573</c:v>
                </c:pt>
                <c:pt idx="876">
                  <c:v>45580</c:v>
                </c:pt>
                <c:pt idx="877">
                  <c:v>45587</c:v>
                </c:pt>
                <c:pt idx="878">
                  <c:v>45594</c:v>
                </c:pt>
                <c:pt idx="879">
                  <c:v>45601</c:v>
                </c:pt>
                <c:pt idx="880">
                  <c:v>45608</c:v>
                </c:pt>
                <c:pt idx="881">
                  <c:v>45615</c:v>
                </c:pt>
                <c:pt idx="882">
                  <c:v>45622</c:v>
                </c:pt>
                <c:pt idx="883">
                  <c:v>45629</c:v>
                </c:pt>
                <c:pt idx="884">
                  <c:v>45636</c:v>
                </c:pt>
                <c:pt idx="885">
                  <c:v>45643</c:v>
                </c:pt>
                <c:pt idx="886">
                  <c:v>45650</c:v>
                </c:pt>
                <c:pt idx="887">
                  <c:v>45657</c:v>
                </c:pt>
                <c:pt idx="888">
                  <c:v>45664</c:v>
                </c:pt>
                <c:pt idx="889">
                  <c:v>45671</c:v>
                </c:pt>
                <c:pt idx="890">
                  <c:v>45678</c:v>
                </c:pt>
                <c:pt idx="891">
                  <c:v>45685</c:v>
                </c:pt>
                <c:pt idx="892">
                  <c:v>45692</c:v>
                </c:pt>
                <c:pt idx="893">
                  <c:v>45699</c:v>
                </c:pt>
                <c:pt idx="894">
                  <c:v>45706</c:v>
                </c:pt>
                <c:pt idx="895">
                  <c:v>45713</c:v>
                </c:pt>
                <c:pt idx="896">
                  <c:v>45720</c:v>
                </c:pt>
                <c:pt idx="897">
                  <c:v>45727</c:v>
                </c:pt>
                <c:pt idx="898">
                  <c:v>45734</c:v>
                </c:pt>
                <c:pt idx="899">
                  <c:v>45741</c:v>
                </c:pt>
                <c:pt idx="900">
                  <c:v>45748</c:v>
                </c:pt>
                <c:pt idx="901">
                  <c:v>45755</c:v>
                </c:pt>
                <c:pt idx="902">
                  <c:v>45762</c:v>
                </c:pt>
                <c:pt idx="903">
                  <c:v>45769</c:v>
                </c:pt>
                <c:pt idx="904">
                  <c:v>45776</c:v>
                </c:pt>
                <c:pt idx="905">
                  <c:v>45783</c:v>
                </c:pt>
                <c:pt idx="906">
                  <c:v>45790</c:v>
                </c:pt>
                <c:pt idx="907">
                  <c:v>45797</c:v>
                </c:pt>
                <c:pt idx="908">
                  <c:v>45804</c:v>
                </c:pt>
                <c:pt idx="909">
                  <c:v>45811</c:v>
                </c:pt>
                <c:pt idx="910">
                  <c:v>45818</c:v>
                </c:pt>
                <c:pt idx="911">
                  <c:v>45825</c:v>
                </c:pt>
                <c:pt idx="912">
                  <c:v>45832</c:v>
                </c:pt>
                <c:pt idx="913">
                  <c:v>45839</c:v>
                </c:pt>
                <c:pt idx="914">
                  <c:v>45846</c:v>
                </c:pt>
                <c:pt idx="915">
                  <c:v>45853</c:v>
                </c:pt>
                <c:pt idx="916">
                  <c:v>45860</c:v>
                </c:pt>
                <c:pt idx="917">
                  <c:v>45867</c:v>
                </c:pt>
                <c:pt idx="918">
                  <c:v>45874</c:v>
                </c:pt>
                <c:pt idx="919">
                  <c:v>45881</c:v>
                </c:pt>
                <c:pt idx="920">
                  <c:v>45888</c:v>
                </c:pt>
                <c:pt idx="921">
                  <c:v>45895</c:v>
                </c:pt>
                <c:pt idx="922">
                  <c:v>45902</c:v>
                </c:pt>
                <c:pt idx="923">
                  <c:v>45909</c:v>
                </c:pt>
                <c:pt idx="924">
                  <c:v>45916</c:v>
                </c:pt>
                <c:pt idx="925">
                  <c:v>45923</c:v>
                </c:pt>
                <c:pt idx="926">
                  <c:v>45930</c:v>
                </c:pt>
                <c:pt idx="927">
                  <c:v>45937</c:v>
                </c:pt>
                <c:pt idx="928">
                  <c:v>45944</c:v>
                </c:pt>
                <c:pt idx="929">
                  <c:v>45951</c:v>
                </c:pt>
                <c:pt idx="930">
                  <c:v>45958</c:v>
                </c:pt>
                <c:pt idx="931">
                  <c:v>45965</c:v>
                </c:pt>
                <c:pt idx="932">
                  <c:v>45972</c:v>
                </c:pt>
                <c:pt idx="933">
                  <c:v>45979</c:v>
                </c:pt>
                <c:pt idx="934">
                  <c:v>45986</c:v>
                </c:pt>
                <c:pt idx="935">
                  <c:v>45993</c:v>
                </c:pt>
                <c:pt idx="936">
                  <c:v>46000</c:v>
                </c:pt>
                <c:pt idx="937">
                  <c:v>46007</c:v>
                </c:pt>
                <c:pt idx="938">
                  <c:v>46014</c:v>
                </c:pt>
                <c:pt idx="939">
                  <c:v>46021</c:v>
                </c:pt>
                <c:pt idx="940">
                  <c:v>46028</c:v>
                </c:pt>
                <c:pt idx="941">
                  <c:v>46035</c:v>
                </c:pt>
                <c:pt idx="942">
                  <c:v>46042</c:v>
                </c:pt>
                <c:pt idx="943">
                  <c:v>46049</c:v>
                </c:pt>
                <c:pt idx="944">
                  <c:v>46056</c:v>
                </c:pt>
                <c:pt idx="945">
                  <c:v>46063</c:v>
                </c:pt>
                <c:pt idx="946">
                  <c:v>46070</c:v>
                </c:pt>
                <c:pt idx="947">
                  <c:v>46077</c:v>
                </c:pt>
                <c:pt idx="948">
                  <c:v>46084</c:v>
                </c:pt>
                <c:pt idx="949">
                  <c:v>46091</c:v>
                </c:pt>
                <c:pt idx="950">
                  <c:v>46098</c:v>
                </c:pt>
                <c:pt idx="951">
                  <c:v>46105</c:v>
                </c:pt>
                <c:pt idx="952">
                  <c:v>46112</c:v>
                </c:pt>
                <c:pt idx="953">
                  <c:v>46119</c:v>
                </c:pt>
                <c:pt idx="954">
                  <c:v>46126</c:v>
                </c:pt>
                <c:pt idx="955">
                  <c:v>46133</c:v>
                </c:pt>
                <c:pt idx="956">
                  <c:v>46140</c:v>
                </c:pt>
                <c:pt idx="957">
                  <c:v>46147</c:v>
                </c:pt>
                <c:pt idx="958">
                  <c:v>46154</c:v>
                </c:pt>
                <c:pt idx="959">
                  <c:v>46161</c:v>
                </c:pt>
                <c:pt idx="960">
                  <c:v>46168</c:v>
                </c:pt>
                <c:pt idx="961">
                  <c:v>46175</c:v>
                </c:pt>
                <c:pt idx="962">
                  <c:v>46182</c:v>
                </c:pt>
                <c:pt idx="963">
                  <c:v>46189</c:v>
                </c:pt>
                <c:pt idx="964">
                  <c:v>46196</c:v>
                </c:pt>
                <c:pt idx="965">
                  <c:v>46203</c:v>
                </c:pt>
                <c:pt idx="966">
                  <c:v>46210</c:v>
                </c:pt>
                <c:pt idx="967">
                  <c:v>46217</c:v>
                </c:pt>
                <c:pt idx="968">
                  <c:v>46224</c:v>
                </c:pt>
                <c:pt idx="969">
                  <c:v>46231</c:v>
                </c:pt>
              </c:numCache>
            </c:numRef>
          </c:cat>
          <c:val>
            <c:numRef>
              <c:f>Sheet1!$AH$11:$AH$980</c:f>
              <c:numCache>
                <c:formatCode>0.00%</c:formatCode>
                <c:ptCount val="970"/>
                <c:pt idx="0">
                  <c:v>0.30313606640481117</c:v>
                </c:pt>
                <c:pt idx="1">
                  <c:v>0.34023556934193089</c:v>
                </c:pt>
                <c:pt idx="2">
                  <c:v>0.35300440007652306</c:v>
                </c:pt>
                <c:pt idx="3">
                  <c:v>0.3724907063197026</c:v>
                </c:pt>
                <c:pt idx="4">
                  <c:v>0.32259152166583227</c:v>
                </c:pt>
                <c:pt idx="5">
                  <c:v>0.29252040486322578</c:v>
                </c:pt>
                <c:pt idx="6">
                  <c:v>0.27705613596363876</c:v>
                </c:pt>
                <c:pt idx="7">
                  <c:v>0.27477380271030172</c:v>
                </c:pt>
                <c:pt idx="8">
                  <c:v>0.2614945464762829</c:v>
                </c:pt>
                <c:pt idx="9">
                  <c:v>0.27739605764452541</c:v>
                </c:pt>
                <c:pt idx="10">
                  <c:v>0.30173027201059582</c:v>
                </c:pt>
                <c:pt idx="11">
                  <c:v>0.3327611749680715</c:v>
                </c:pt>
                <c:pt idx="12">
                  <c:v>0.29011789065891863</c:v>
                </c:pt>
                <c:pt idx="13">
                  <c:v>0.281594439689826</c:v>
                </c:pt>
                <c:pt idx="14">
                  <c:v>0.25725455700532668</c:v>
                </c:pt>
                <c:pt idx="15">
                  <c:v>0.28878786615841834</c:v>
                </c:pt>
                <c:pt idx="16">
                  <c:v>0.28057121087513909</c:v>
                </c:pt>
                <c:pt idx="17">
                  <c:v>0.26557151985625804</c:v>
                </c:pt>
                <c:pt idx="18">
                  <c:v>0.30840412432681186</c:v>
                </c:pt>
                <c:pt idx="19">
                  <c:v>0.32281023207796783</c:v>
                </c:pt>
                <c:pt idx="20">
                  <c:v>0.32905935554462917</c:v>
                </c:pt>
                <c:pt idx="21">
                  <c:v>0.31980889978952004</c:v>
                </c:pt>
                <c:pt idx="22">
                  <c:v>0.32995671250625752</c:v>
                </c:pt>
                <c:pt idx="23">
                  <c:v>0.32854144577263289</c:v>
                </c:pt>
                <c:pt idx="24">
                  <c:v>0.33349774776408464</c:v>
                </c:pt>
                <c:pt idx="25">
                  <c:v>0.36780150518401211</c:v>
                </c:pt>
                <c:pt idx="26">
                  <c:v>0.34359855773721676</c:v>
                </c:pt>
                <c:pt idx="27">
                  <c:v>0.35778423508226243</c:v>
                </c:pt>
                <c:pt idx="28">
                  <c:v>0.32998020824369678</c:v>
                </c:pt>
                <c:pt idx="29">
                  <c:v>0.34655056214879648</c:v>
                </c:pt>
                <c:pt idx="30">
                  <c:v>0.3697680035362258</c:v>
                </c:pt>
                <c:pt idx="31">
                  <c:v>0.36905026714643985</c:v>
                </c:pt>
                <c:pt idx="32">
                  <c:v>0.35375565248709434</c:v>
                </c:pt>
                <c:pt idx="33">
                  <c:v>0.36939266754283079</c:v>
                </c:pt>
                <c:pt idx="34">
                  <c:v>0.39723053892215571</c:v>
                </c:pt>
                <c:pt idx="35">
                  <c:v>0.3858062561539044</c:v>
                </c:pt>
                <c:pt idx="36">
                  <c:v>0.40144178885419513</c:v>
                </c:pt>
                <c:pt idx="37">
                  <c:v>0.38157285395528984</c:v>
                </c:pt>
                <c:pt idx="38">
                  <c:v>0.42278683338605749</c:v>
                </c:pt>
                <c:pt idx="39">
                  <c:v>0.39831169291478125</c:v>
                </c:pt>
                <c:pt idx="40">
                  <c:v>0.38726101106274402</c:v>
                </c:pt>
                <c:pt idx="41">
                  <c:v>0.36601413370156771</c:v>
                </c:pt>
                <c:pt idx="42">
                  <c:v>0.37334332851144075</c:v>
                </c:pt>
                <c:pt idx="43">
                  <c:v>0.3352378884578246</c:v>
                </c:pt>
                <c:pt idx="44">
                  <c:v>0.34260690047346493</c:v>
                </c:pt>
                <c:pt idx="45">
                  <c:v>0.34620756109312012</c:v>
                </c:pt>
                <c:pt idx="46">
                  <c:v>0.33528538338183761</c:v>
                </c:pt>
                <c:pt idx="47">
                  <c:v>0.28914655008553508</c:v>
                </c:pt>
                <c:pt idx="48">
                  <c:v>0.27659080352995818</c:v>
                </c:pt>
                <c:pt idx="49">
                  <c:v>0.28431357828195619</c:v>
                </c:pt>
                <c:pt idx="50">
                  <c:v>0.2935914599597868</c:v>
                </c:pt>
                <c:pt idx="51">
                  <c:v>0.28221869754692863</c:v>
                </c:pt>
                <c:pt idx="52">
                  <c:v>0.33052461557134455</c:v>
                </c:pt>
                <c:pt idx="53">
                  <c:v>0.31374607906386953</c:v>
                </c:pt>
                <c:pt idx="54">
                  <c:v>0.28818321930681906</c:v>
                </c:pt>
                <c:pt idx="55">
                  <c:v>0.30124772649224779</c:v>
                </c:pt>
                <c:pt idx="56">
                  <c:v>0.34552483265173251</c:v>
                </c:pt>
                <c:pt idx="57">
                  <c:v>0.36871225601470237</c:v>
                </c:pt>
                <c:pt idx="58">
                  <c:v>0.38288581748610445</c:v>
                </c:pt>
                <c:pt idx="59">
                  <c:v>0.42511806745517616</c:v>
                </c:pt>
                <c:pt idx="60">
                  <c:v>0.37859737888269646</c:v>
                </c:pt>
                <c:pt idx="61">
                  <c:v>0.32815185676081998</c:v>
                </c:pt>
                <c:pt idx="62">
                  <c:v>0.30221378007108379</c:v>
                </c:pt>
                <c:pt idx="63">
                  <c:v>0.3420856986711438</c:v>
                </c:pt>
                <c:pt idx="64">
                  <c:v>0.30262857258912113</c:v>
                </c:pt>
                <c:pt idx="65">
                  <c:v>0.32321702650158601</c:v>
                </c:pt>
                <c:pt idx="66">
                  <c:v>0.39198683551548974</c:v>
                </c:pt>
                <c:pt idx="67">
                  <c:v>0.37394478783743879</c:v>
                </c:pt>
                <c:pt idx="68">
                  <c:v>0.35400679966254273</c:v>
                </c:pt>
                <c:pt idx="69">
                  <c:v>0.31764010313736868</c:v>
                </c:pt>
                <c:pt idx="70">
                  <c:v>0.27392454886089462</c:v>
                </c:pt>
                <c:pt idx="71">
                  <c:v>0.26619649007708707</c:v>
                </c:pt>
                <c:pt idx="72">
                  <c:v>0.28723732474032432</c:v>
                </c:pt>
                <c:pt idx="73">
                  <c:v>0.26884210729895952</c:v>
                </c:pt>
                <c:pt idx="74">
                  <c:v>0.31738999441884358</c:v>
                </c:pt>
                <c:pt idx="75">
                  <c:v>0.28309991521354949</c:v>
                </c:pt>
                <c:pt idx="76">
                  <c:v>0.27478527845789125</c:v>
                </c:pt>
                <c:pt idx="77">
                  <c:v>0.32896261663569704</c:v>
                </c:pt>
                <c:pt idx="78">
                  <c:v>0.33724620442846975</c:v>
                </c:pt>
                <c:pt idx="79">
                  <c:v>0.36401934054500951</c:v>
                </c:pt>
                <c:pt idx="80">
                  <c:v>0.3504192199632768</c:v>
                </c:pt>
                <c:pt idx="81">
                  <c:v>0.25649030999157391</c:v>
                </c:pt>
                <c:pt idx="82">
                  <c:v>0.26457792927989715</c:v>
                </c:pt>
                <c:pt idx="83">
                  <c:v>0.27420978736768209</c:v>
                </c:pt>
                <c:pt idx="84">
                  <c:v>0.25277742306218876</c:v>
                </c:pt>
                <c:pt idx="85">
                  <c:v>0.30688845545890681</c:v>
                </c:pt>
                <c:pt idx="86">
                  <c:v>0.27155159787925831</c:v>
                </c:pt>
                <c:pt idx="87">
                  <c:v>0.22617698440585363</c:v>
                </c:pt>
                <c:pt idx="88">
                  <c:v>0.2112</c:v>
                </c:pt>
                <c:pt idx="89">
                  <c:v>0.32063326606885922</c:v>
                </c:pt>
                <c:pt idx="90">
                  <c:v>0.25443937882251882</c:v>
                </c:pt>
                <c:pt idx="91">
                  <c:v>0.21870531544711416</c:v>
                </c:pt>
                <c:pt idx="92">
                  <c:v>0.19113780181775217</c:v>
                </c:pt>
                <c:pt idx="93">
                  <c:v>0.17205141724695916</c:v>
                </c:pt>
                <c:pt idx="94">
                  <c:v>0.16238220207562926</c:v>
                </c:pt>
                <c:pt idx="95">
                  <c:v>0.17536296701203402</c:v>
                </c:pt>
                <c:pt idx="96">
                  <c:v>0.17678904252091371</c:v>
                </c:pt>
                <c:pt idx="97">
                  <c:v>0.22933689685732447</c:v>
                </c:pt>
                <c:pt idx="98">
                  <c:v>0.21874194379994844</c:v>
                </c:pt>
                <c:pt idx="99">
                  <c:v>0.26861181370448695</c:v>
                </c:pt>
                <c:pt idx="100">
                  <c:v>0.30549390514562774</c:v>
                </c:pt>
                <c:pt idx="101">
                  <c:v>0.25755996761771005</c:v>
                </c:pt>
                <c:pt idx="102">
                  <c:v>0.20958986207136157</c:v>
                </c:pt>
                <c:pt idx="103">
                  <c:v>0.19306856941231818</c:v>
                </c:pt>
                <c:pt idx="104">
                  <c:v>0.18032160657765489</c:v>
                </c:pt>
                <c:pt idx="105">
                  <c:v>0.17727477552966062</c:v>
                </c:pt>
                <c:pt idx="106">
                  <c:v>0.23911222085808143</c:v>
                </c:pt>
                <c:pt idx="107">
                  <c:v>0.25229355843513906</c:v>
                </c:pt>
                <c:pt idx="108">
                  <c:v>0.318906457578994</c:v>
                </c:pt>
                <c:pt idx="109">
                  <c:v>0.24705375550016923</c:v>
                </c:pt>
                <c:pt idx="110">
                  <c:v>0.23130195059384007</c:v>
                </c:pt>
                <c:pt idx="111">
                  <c:v>0.20977810142201186</c:v>
                </c:pt>
                <c:pt idx="112">
                  <c:v>0.19279055075904053</c:v>
                </c:pt>
                <c:pt idx="113">
                  <c:v>0.18034562407211616</c:v>
                </c:pt>
                <c:pt idx="114">
                  <c:v>0.19749574649085497</c:v>
                </c:pt>
                <c:pt idx="115">
                  <c:v>0.17424102897564753</c:v>
                </c:pt>
                <c:pt idx="116">
                  <c:v>0.1806310050201137</c:v>
                </c:pt>
                <c:pt idx="117">
                  <c:v>0.18474562695668223</c:v>
                </c:pt>
                <c:pt idx="118">
                  <c:v>0.18114446460180242</c:v>
                </c:pt>
                <c:pt idx="119">
                  <c:v>0.21225654903987959</c:v>
                </c:pt>
                <c:pt idx="120">
                  <c:v>0.2146981457756916</c:v>
                </c:pt>
                <c:pt idx="121">
                  <c:v>0.26494848323729325</c:v>
                </c:pt>
                <c:pt idx="122">
                  <c:v>0.34777304065406389</c:v>
                </c:pt>
                <c:pt idx="123">
                  <c:v>0.36902518719257016</c:v>
                </c:pt>
                <c:pt idx="124">
                  <c:v>0.3813157722162972</c:v>
                </c:pt>
                <c:pt idx="125">
                  <c:v>0.36839219514955995</c:v>
                </c:pt>
                <c:pt idx="126">
                  <c:v>0.31933978792070078</c:v>
                </c:pt>
                <c:pt idx="127">
                  <c:v>0.33834192300308635</c:v>
                </c:pt>
                <c:pt idx="128">
                  <c:v>0.36455923547106778</c:v>
                </c:pt>
                <c:pt idx="129">
                  <c:v>0.40436160905348234</c:v>
                </c:pt>
                <c:pt idx="130">
                  <c:v>0.33750841750841754</c:v>
                </c:pt>
                <c:pt idx="131">
                  <c:v>0.3060521022579808</c:v>
                </c:pt>
                <c:pt idx="132">
                  <c:v>0.26733134550875887</c:v>
                </c:pt>
                <c:pt idx="133">
                  <c:v>0.24550622215394069</c:v>
                </c:pt>
                <c:pt idx="134">
                  <c:v>0.24136295921633402</c:v>
                </c:pt>
                <c:pt idx="135">
                  <c:v>0.27475252396040384</c:v>
                </c:pt>
                <c:pt idx="136">
                  <c:v>0.3520789450904579</c:v>
                </c:pt>
                <c:pt idx="137">
                  <c:v>0.36991314869855291</c:v>
                </c:pt>
                <c:pt idx="138">
                  <c:v>0.35597139669956701</c:v>
                </c:pt>
                <c:pt idx="139">
                  <c:v>0.29144227661637379</c:v>
                </c:pt>
                <c:pt idx="140">
                  <c:v>0.31973225094353058</c:v>
                </c:pt>
                <c:pt idx="141">
                  <c:v>0.30401735421919424</c:v>
                </c:pt>
                <c:pt idx="142">
                  <c:v>0.22901620050292948</c:v>
                </c:pt>
                <c:pt idx="143">
                  <c:v>0.20900003256162286</c:v>
                </c:pt>
                <c:pt idx="144">
                  <c:v>0.2233242145627555</c:v>
                </c:pt>
                <c:pt idx="145">
                  <c:v>0.19984490711211672</c:v>
                </c:pt>
                <c:pt idx="146">
                  <c:v>0.1950473150440476</c:v>
                </c:pt>
                <c:pt idx="147">
                  <c:v>0.17767889928073094</c:v>
                </c:pt>
                <c:pt idx="148">
                  <c:v>0.19669762080444489</c:v>
                </c:pt>
                <c:pt idx="149">
                  <c:v>0.26003935723386645</c:v>
                </c:pt>
                <c:pt idx="150">
                  <c:v>0.19710541655291489</c:v>
                </c:pt>
                <c:pt idx="151">
                  <c:v>0.15905501426051405</c:v>
                </c:pt>
                <c:pt idx="152">
                  <c:v>0.14582573573428931</c:v>
                </c:pt>
                <c:pt idx="153">
                  <c:v>0.14832594280135064</c:v>
                </c:pt>
                <c:pt idx="154">
                  <c:v>0.14284962054643946</c:v>
                </c:pt>
                <c:pt idx="155">
                  <c:v>0.15719615009908813</c:v>
                </c:pt>
                <c:pt idx="156">
                  <c:v>0.13262089244796793</c:v>
                </c:pt>
                <c:pt idx="157">
                  <c:v>0.13340004213187276</c:v>
                </c:pt>
                <c:pt idx="158">
                  <c:v>0.20923343607290437</c:v>
                </c:pt>
                <c:pt idx="159">
                  <c:v>0.17188050362624019</c:v>
                </c:pt>
                <c:pt idx="160">
                  <c:v>0.17131558375867936</c:v>
                </c:pt>
                <c:pt idx="161">
                  <c:v>0.16546668948511459</c:v>
                </c:pt>
                <c:pt idx="162">
                  <c:v>0.13516951107264383</c:v>
                </c:pt>
                <c:pt idx="163">
                  <c:v>7.339500737856372E-2</c:v>
                </c:pt>
                <c:pt idx="164">
                  <c:v>7.7873017778670145E-2</c:v>
                </c:pt>
                <c:pt idx="165">
                  <c:v>0.11616812874779155</c:v>
                </c:pt>
                <c:pt idx="166">
                  <c:v>9.5572883467124226E-2</c:v>
                </c:pt>
                <c:pt idx="167">
                  <c:v>9.1831328369181731E-2</c:v>
                </c:pt>
                <c:pt idx="168">
                  <c:v>7.9338819829803925E-2</c:v>
                </c:pt>
                <c:pt idx="169">
                  <c:v>9.2018984843023149E-2</c:v>
                </c:pt>
                <c:pt idx="170">
                  <c:v>0.10869821811291842</c:v>
                </c:pt>
                <c:pt idx="171">
                  <c:v>9.2746499235821386E-2</c:v>
                </c:pt>
                <c:pt idx="172">
                  <c:v>9.0536150585100436E-2</c:v>
                </c:pt>
                <c:pt idx="173">
                  <c:v>0.13525869107147112</c:v>
                </c:pt>
                <c:pt idx="174">
                  <c:v>0.15389838651952012</c:v>
                </c:pt>
                <c:pt idx="175">
                  <c:v>0.16453180945154483</c:v>
                </c:pt>
                <c:pt idx="176">
                  <c:v>0.15626627701696727</c:v>
                </c:pt>
                <c:pt idx="177">
                  <c:v>0.19447894685807426</c:v>
                </c:pt>
                <c:pt idx="178">
                  <c:v>0.18916066410777996</c:v>
                </c:pt>
                <c:pt idx="179">
                  <c:v>0.24434933096554728</c:v>
                </c:pt>
                <c:pt idx="180">
                  <c:v>0.26835641248160585</c:v>
                </c:pt>
                <c:pt idx="181">
                  <c:v>0.22355843866505815</c:v>
                </c:pt>
                <c:pt idx="182">
                  <c:v>0.20710014912744085</c:v>
                </c:pt>
                <c:pt idx="183">
                  <c:v>0.18859596178155355</c:v>
                </c:pt>
                <c:pt idx="184">
                  <c:v>0.18092986430315161</c:v>
                </c:pt>
                <c:pt idx="185">
                  <c:v>0.22520513964946012</c:v>
                </c:pt>
                <c:pt idx="186">
                  <c:v>0.27660392303033127</c:v>
                </c:pt>
                <c:pt idx="187">
                  <c:v>0.27739141905636927</c:v>
                </c:pt>
                <c:pt idx="188">
                  <c:v>0.28980530271981697</c:v>
                </c:pt>
                <c:pt idx="189">
                  <c:v>0.23464807249847397</c:v>
                </c:pt>
                <c:pt idx="190">
                  <c:v>0.24578181235078217</c:v>
                </c:pt>
                <c:pt idx="191">
                  <c:v>0.22364620095668244</c:v>
                </c:pt>
                <c:pt idx="192">
                  <c:v>0.23186482562353775</c:v>
                </c:pt>
                <c:pt idx="193">
                  <c:v>0.27297303983860338</c:v>
                </c:pt>
                <c:pt idx="194">
                  <c:v>0.30497272462433811</c:v>
                </c:pt>
                <c:pt idx="195">
                  <c:v>0.26635262354570832</c:v>
                </c:pt>
                <c:pt idx="196">
                  <c:v>0.25112090802375969</c:v>
                </c:pt>
                <c:pt idx="197">
                  <c:v>0.24226657043589184</c:v>
                </c:pt>
                <c:pt idx="198">
                  <c:v>0.22979542634597808</c:v>
                </c:pt>
                <c:pt idx="199">
                  <c:v>0.21408277875996468</c:v>
                </c:pt>
                <c:pt idx="200">
                  <c:v>0.2041933007291406</c:v>
                </c:pt>
                <c:pt idx="201">
                  <c:v>0.21233729511344251</c:v>
                </c:pt>
                <c:pt idx="202">
                  <c:v>0.18246696265716073</c:v>
                </c:pt>
                <c:pt idx="203">
                  <c:v>0.15300370197422578</c:v>
                </c:pt>
                <c:pt idx="204">
                  <c:v>0.17614046414037191</c:v>
                </c:pt>
                <c:pt idx="205">
                  <c:v>0.1982422755392686</c:v>
                </c:pt>
                <c:pt idx="206">
                  <c:v>0.18371982962612399</c:v>
                </c:pt>
                <c:pt idx="207">
                  <c:v>0.17393797959022228</c:v>
                </c:pt>
                <c:pt idx="208">
                  <c:v>0.18017405877359985</c:v>
                </c:pt>
                <c:pt idx="209">
                  <c:v>0.18917609944125391</c:v>
                </c:pt>
                <c:pt idx="210">
                  <c:v>0.18284198473949639</c:v>
                </c:pt>
                <c:pt idx="211">
                  <c:v>0.17901691874450509</c:v>
                </c:pt>
                <c:pt idx="212">
                  <c:v>0.16535719613578109</c:v>
                </c:pt>
                <c:pt idx="213">
                  <c:v>0.1451865250993386</c:v>
                </c:pt>
                <c:pt idx="214">
                  <c:v>0.12291789516074353</c:v>
                </c:pt>
                <c:pt idx="215">
                  <c:v>0.10110377218846139</c:v>
                </c:pt>
                <c:pt idx="216">
                  <c:v>0.12754797672634866</c:v>
                </c:pt>
                <c:pt idx="217">
                  <c:v>0.13030582395506593</c:v>
                </c:pt>
                <c:pt idx="218">
                  <c:v>0.13151662148666002</c:v>
                </c:pt>
                <c:pt idx="219">
                  <c:v>0.1249196768715289</c:v>
                </c:pt>
                <c:pt idx="220">
                  <c:v>0.1489604815235088</c:v>
                </c:pt>
                <c:pt idx="221">
                  <c:v>0.17833403639252818</c:v>
                </c:pt>
                <c:pt idx="222">
                  <c:v>0.15461453031401018</c:v>
                </c:pt>
                <c:pt idx="223">
                  <c:v>0.16808484241778646</c:v>
                </c:pt>
                <c:pt idx="224">
                  <c:v>0.1561498873981032</c:v>
                </c:pt>
                <c:pt idx="225">
                  <c:v>0.22975279355094944</c:v>
                </c:pt>
                <c:pt idx="226">
                  <c:v>0.23212544484187045</c:v>
                </c:pt>
                <c:pt idx="227">
                  <c:v>0.23721275531260014</c:v>
                </c:pt>
                <c:pt idx="228">
                  <c:v>0.24838767881266541</c:v>
                </c:pt>
                <c:pt idx="229">
                  <c:v>0.28262652776638503</c:v>
                </c:pt>
                <c:pt idx="230">
                  <c:v>0.29079615389023228</c:v>
                </c:pt>
                <c:pt idx="231">
                  <c:v>0.29899224360815857</c:v>
                </c:pt>
                <c:pt idx="232">
                  <c:v>0.31154566456604649</c:v>
                </c:pt>
                <c:pt idx="233">
                  <c:v>0.26379880842398989</c:v>
                </c:pt>
                <c:pt idx="234">
                  <c:v>0.27836431507107573</c:v>
                </c:pt>
                <c:pt idx="235">
                  <c:v>0.25444804795894005</c:v>
                </c:pt>
                <c:pt idx="236">
                  <c:v>0.24300813812667582</c:v>
                </c:pt>
                <c:pt idx="237">
                  <c:v>0.23286483690433141</c:v>
                </c:pt>
                <c:pt idx="238">
                  <c:v>0.20826286266172017</c:v>
                </c:pt>
                <c:pt idx="239">
                  <c:v>0.2031602654947488</c:v>
                </c:pt>
                <c:pt idx="240">
                  <c:v>0.1757637055188627</c:v>
                </c:pt>
                <c:pt idx="241">
                  <c:v>0.16144405569181935</c:v>
                </c:pt>
                <c:pt idx="242">
                  <c:v>0.15963969368590941</c:v>
                </c:pt>
                <c:pt idx="243">
                  <c:v>0.15111428233738833</c:v>
                </c:pt>
                <c:pt idx="244">
                  <c:v>0.15568988812971063</c:v>
                </c:pt>
                <c:pt idx="245">
                  <c:v>0.17529354642375999</c:v>
                </c:pt>
                <c:pt idx="246">
                  <c:v>0.17953876293147891</c:v>
                </c:pt>
                <c:pt idx="247">
                  <c:v>0.19773356682335075</c:v>
                </c:pt>
                <c:pt idx="248">
                  <c:v>0.19290616177285794</c:v>
                </c:pt>
                <c:pt idx="249">
                  <c:v>0.24732642128684124</c:v>
                </c:pt>
                <c:pt idx="250">
                  <c:v>0.26603147017276502</c:v>
                </c:pt>
                <c:pt idx="251">
                  <c:v>0.26514660165947262</c:v>
                </c:pt>
                <c:pt idx="252">
                  <c:v>0.29708524792538232</c:v>
                </c:pt>
                <c:pt idx="253">
                  <c:v>0.26428135336838554</c:v>
                </c:pt>
                <c:pt idx="254">
                  <c:v>0.24699382515437113</c:v>
                </c:pt>
                <c:pt idx="255">
                  <c:v>0.22808560737798647</c:v>
                </c:pt>
                <c:pt idx="256">
                  <c:v>0.28268272589903654</c:v>
                </c:pt>
                <c:pt idx="257">
                  <c:v>0.24629190797276079</c:v>
                </c:pt>
                <c:pt idx="258">
                  <c:v>0.209255348863192</c:v>
                </c:pt>
                <c:pt idx="259">
                  <c:v>0.17334288801580591</c:v>
                </c:pt>
                <c:pt idx="260">
                  <c:v>0.15954072000102748</c:v>
                </c:pt>
                <c:pt idx="261">
                  <c:v>0.16477436746256072</c:v>
                </c:pt>
                <c:pt idx="262">
                  <c:v>0.14549030117205666</c:v>
                </c:pt>
                <c:pt idx="263">
                  <c:v>0.11721949635130487</c:v>
                </c:pt>
                <c:pt idx="264">
                  <c:v>0.11933622612738962</c:v>
                </c:pt>
                <c:pt idx="265">
                  <c:v>0.11148906277587237</c:v>
                </c:pt>
                <c:pt idx="266">
                  <c:v>0.1267813681806268</c:v>
                </c:pt>
                <c:pt idx="267">
                  <c:v>0.16945453540892577</c:v>
                </c:pt>
                <c:pt idx="268">
                  <c:v>0.20386928954641523</c:v>
                </c:pt>
                <c:pt idx="269">
                  <c:v>0.21980509950492144</c:v>
                </c:pt>
                <c:pt idx="270">
                  <c:v>0.20184870929745055</c:v>
                </c:pt>
                <c:pt idx="271">
                  <c:v>0.18182186766341282</c:v>
                </c:pt>
                <c:pt idx="272">
                  <c:v>0.17248678644941906</c:v>
                </c:pt>
                <c:pt idx="273">
                  <c:v>0.18814966744991835</c:v>
                </c:pt>
                <c:pt idx="274">
                  <c:v>0.21096294060648421</c:v>
                </c:pt>
                <c:pt idx="275">
                  <c:v>0.24542315990501803</c:v>
                </c:pt>
                <c:pt idx="276">
                  <c:v>0.228264518897413</c:v>
                </c:pt>
                <c:pt idx="277">
                  <c:v>0.1900087741643316</c:v>
                </c:pt>
                <c:pt idx="278">
                  <c:v>0.17801806161225717</c:v>
                </c:pt>
                <c:pt idx="279">
                  <c:v>0.15810374513768066</c:v>
                </c:pt>
                <c:pt idx="280">
                  <c:v>0.16074180539869087</c:v>
                </c:pt>
                <c:pt idx="281">
                  <c:v>0.16357004038612202</c:v>
                </c:pt>
                <c:pt idx="282">
                  <c:v>0.15437543609875742</c:v>
                </c:pt>
                <c:pt idx="283">
                  <c:v>0.12934139268832012</c:v>
                </c:pt>
                <c:pt idx="284">
                  <c:v>0.15786740940050328</c:v>
                </c:pt>
                <c:pt idx="285">
                  <c:v>0.14001163357386534</c:v>
                </c:pt>
                <c:pt idx="286">
                  <c:v>0.12569452374349521</c:v>
                </c:pt>
                <c:pt idx="287">
                  <c:v>0.11890106614157167</c:v>
                </c:pt>
                <c:pt idx="288">
                  <c:v>0.11076398918638669</c:v>
                </c:pt>
                <c:pt idx="289">
                  <c:v>0.12641284505089678</c:v>
                </c:pt>
                <c:pt idx="290">
                  <c:v>0.12509304838516028</c:v>
                </c:pt>
                <c:pt idx="291">
                  <c:v>0.13052451950306357</c:v>
                </c:pt>
                <c:pt idx="292">
                  <c:v>0.12802828608069219</c:v>
                </c:pt>
                <c:pt idx="293">
                  <c:v>0.1145398553520445</c:v>
                </c:pt>
                <c:pt idx="294">
                  <c:v>0.11851942340581481</c:v>
                </c:pt>
                <c:pt idx="295">
                  <c:v>0.13558588179662043</c:v>
                </c:pt>
                <c:pt idx="296">
                  <c:v>0.14220371423504735</c:v>
                </c:pt>
                <c:pt idx="297">
                  <c:v>0.1402943321804592</c:v>
                </c:pt>
                <c:pt idx="298">
                  <c:v>0.1502525464964852</c:v>
                </c:pt>
                <c:pt idx="299">
                  <c:v>0.15674373243072687</c:v>
                </c:pt>
                <c:pt idx="300">
                  <c:v>0.15812775876273469</c:v>
                </c:pt>
                <c:pt idx="301">
                  <c:v>0.18164736450197247</c:v>
                </c:pt>
                <c:pt idx="302">
                  <c:v>0.20854272565849308</c:v>
                </c:pt>
                <c:pt idx="303">
                  <c:v>0.23002173347758112</c:v>
                </c:pt>
                <c:pt idx="304">
                  <c:v>0.24797905337361531</c:v>
                </c:pt>
                <c:pt idx="305">
                  <c:v>0.2214789764145369</c:v>
                </c:pt>
                <c:pt idx="306">
                  <c:v>0.21905252898166924</c:v>
                </c:pt>
                <c:pt idx="307">
                  <c:v>0.20973643601299011</c:v>
                </c:pt>
                <c:pt idx="308">
                  <c:v>0.21071775431561138</c:v>
                </c:pt>
                <c:pt idx="309">
                  <c:v>0.22909988212873306</c:v>
                </c:pt>
                <c:pt idx="310">
                  <c:v>0.18607200498569806</c:v>
                </c:pt>
                <c:pt idx="311">
                  <c:v>0.18027862312977327</c:v>
                </c:pt>
                <c:pt idx="312">
                  <c:v>0.22451900117879814</c:v>
                </c:pt>
                <c:pt idx="313">
                  <c:v>0.24720497093554519</c:v>
                </c:pt>
                <c:pt idx="314">
                  <c:v>0.25448679292643284</c:v>
                </c:pt>
                <c:pt idx="315">
                  <c:v>0.23203238154742065</c:v>
                </c:pt>
                <c:pt idx="316">
                  <c:v>0.22850751375902006</c:v>
                </c:pt>
                <c:pt idx="317">
                  <c:v>0.19692431209400774</c:v>
                </c:pt>
                <c:pt idx="318">
                  <c:v>0.18101733726795263</c:v>
                </c:pt>
                <c:pt idx="319">
                  <c:v>0.17029454888382561</c:v>
                </c:pt>
                <c:pt idx="320">
                  <c:v>0.16155115013352583</c:v>
                </c:pt>
                <c:pt idx="321">
                  <c:v>0.17074633127849964</c:v>
                </c:pt>
                <c:pt idx="322">
                  <c:v>0.16657979125515157</c:v>
                </c:pt>
                <c:pt idx="323">
                  <c:v>0.18235674456074133</c:v>
                </c:pt>
                <c:pt idx="324">
                  <c:v>0.18226985896782</c:v>
                </c:pt>
                <c:pt idx="325">
                  <c:v>0.15841693470628501</c:v>
                </c:pt>
                <c:pt idx="326">
                  <c:v>0.13552021678670756</c:v>
                </c:pt>
                <c:pt idx="327">
                  <c:v>0.11063705299988993</c:v>
                </c:pt>
                <c:pt idx="328">
                  <c:v>0.1131518497476664</c:v>
                </c:pt>
                <c:pt idx="329">
                  <c:v>0.13726567946550153</c:v>
                </c:pt>
                <c:pt idx="330">
                  <c:v>0.12896995511727177</c:v>
                </c:pt>
                <c:pt idx="331">
                  <c:v>0.10948002493999372</c:v>
                </c:pt>
                <c:pt idx="332">
                  <c:v>9.127309418803245E-2</c:v>
                </c:pt>
                <c:pt idx="333">
                  <c:v>0.10215079908928137</c:v>
                </c:pt>
                <c:pt idx="334">
                  <c:v>0.10653314524194282</c:v>
                </c:pt>
                <c:pt idx="335">
                  <c:v>9.4965186134781193E-2</c:v>
                </c:pt>
                <c:pt idx="336">
                  <c:v>9.3200199423886548E-2</c:v>
                </c:pt>
                <c:pt idx="337">
                  <c:v>0.107811544970333</c:v>
                </c:pt>
                <c:pt idx="338">
                  <c:v>0.13562339574156712</c:v>
                </c:pt>
                <c:pt idx="339">
                  <c:v>0.18425416909800069</c:v>
                </c:pt>
                <c:pt idx="340">
                  <c:v>0.18344984425172764</c:v>
                </c:pt>
                <c:pt idx="341">
                  <c:v>0.18061832605802672</c:v>
                </c:pt>
                <c:pt idx="342">
                  <c:v>0.23381848113219586</c:v>
                </c:pt>
                <c:pt idx="343">
                  <c:v>0.26949074374899956</c:v>
                </c:pt>
                <c:pt idx="344">
                  <c:v>0.30283354120574357</c:v>
                </c:pt>
                <c:pt idx="345">
                  <c:v>0.29978292546059571</c:v>
                </c:pt>
                <c:pt idx="346">
                  <c:v>0.32318146096202366</c:v>
                </c:pt>
                <c:pt idx="347">
                  <c:v>0.3030897574302483</c:v>
                </c:pt>
                <c:pt idx="348">
                  <c:v>0.29623829194849216</c:v>
                </c:pt>
                <c:pt idx="349">
                  <c:v>0.32266758646228089</c:v>
                </c:pt>
                <c:pt idx="350">
                  <c:v>0.32725379536663324</c:v>
                </c:pt>
                <c:pt idx="351">
                  <c:v>0.32631520665347552</c:v>
                </c:pt>
                <c:pt idx="352">
                  <c:v>0.32691179074835386</c:v>
                </c:pt>
                <c:pt idx="353">
                  <c:v>0.31832779867077077</c:v>
                </c:pt>
                <c:pt idx="354">
                  <c:v>0.31917981774744131</c:v>
                </c:pt>
                <c:pt idx="355">
                  <c:v>0.33135342554561265</c:v>
                </c:pt>
                <c:pt idx="356">
                  <c:v>0.30902509474923651</c:v>
                </c:pt>
                <c:pt idx="357">
                  <c:v>0.31943072750566431</c:v>
                </c:pt>
                <c:pt idx="358">
                  <c:v>0.32912610589621438</c:v>
                </c:pt>
                <c:pt idx="359">
                  <c:v>0.28527340760009395</c:v>
                </c:pt>
                <c:pt idx="360">
                  <c:v>0.27258947355592356</c:v>
                </c:pt>
                <c:pt idx="361">
                  <c:v>0.24029642074767132</c:v>
                </c:pt>
                <c:pt idx="362">
                  <c:v>0.25207479655133386</c:v>
                </c:pt>
                <c:pt idx="363">
                  <c:v>0.26130464372164652</c:v>
                </c:pt>
                <c:pt idx="364">
                  <c:v>0.2627775573278488</c:v>
                </c:pt>
                <c:pt idx="365">
                  <c:v>0.26901902088251134</c:v>
                </c:pt>
                <c:pt idx="366">
                  <c:v>0.28076680003276089</c:v>
                </c:pt>
                <c:pt idx="367">
                  <c:v>0.28484392736886976</c:v>
                </c:pt>
                <c:pt idx="368">
                  <c:v>0.28589963803640278</c:v>
                </c:pt>
                <c:pt idx="369">
                  <c:v>0.2651922255169824</c:v>
                </c:pt>
                <c:pt idx="370">
                  <c:v>0.25015427843647009</c:v>
                </c:pt>
                <c:pt idx="371">
                  <c:v>0.25851965843669877</c:v>
                </c:pt>
                <c:pt idx="372">
                  <c:v>0.27826772417171569</c:v>
                </c:pt>
                <c:pt idx="373">
                  <c:v>0.28781297145222151</c:v>
                </c:pt>
                <c:pt idx="374">
                  <c:v>0.3134036084215589</c:v>
                </c:pt>
                <c:pt idx="375">
                  <c:v>0.30958335606049175</c:v>
                </c:pt>
                <c:pt idx="376">
                  <c:v>0.28157277974387307</c:v>
                </c:pt>
                <c:pt idx="377">
                  <c:v>0.24036808045738964</c:v>
                </c:pt>
                <c:pt idx="378">
                  <c:v>0.20697344655103436</c:v>
                </c:pt>
                <c:pt idx="379">
                  <c:v>0.15845353502487172</c:v>
                </c:pt>
                <c:pt idx="380">
                  <c:v>0.16592339864350983</c:v>
                </c:pt>
                <c:pt idx="381">
                  <c:v>0.13712294383352056</c:v>
                </c:pt>
                <c:pt idx="382">
                  <c:v>0.1277226592113283</c:v>
                </c:pt>
                <c:pt idx="383">
                  <c:v>0.15789963428010703</c:v>
                </c:pt>
                <c:pt idx="384">
                  <c:v>0.16445305770887167</c:v>
                </c:pt>
                <c:pt idx="385">
                  <c:v>0.16211332399237802</c:v>
                </c:pt>
                <c:pt idx="386">
                  <c:v>0.17777590852879283</c:v>
                </c:pt>
                <c:pt idx="387">
                  <c:v>0.18235253460626141</c:v>
                </c:pt>
                <c:pt idx="388">
                  <c:v>0.19851435477457052</c:v>
                </c:pt>
                <c:pt idx="389">
                  <c:v>0.21126152775361057</c:v>
                </c:pt>
                <c:pt idx="390">
                  <c:v>0.25210575817744801</c:v>
                </c:pt>
                <c:pt idx="391">
                  <c:v>0.25246087210061707</c:v>
                </c:pt>
                <c:pt idx="392">
                  <c:v>0.29094631483166516</c:v>
                </c:pt>
                <c:pt idx="393">
                  <c:v>0.32219681884111412</c:v>
                </c:pt>
                <c:pt idx="394">
                  <c:v>0.33601910594494272</c:v>
                </c:pt>
                <c:pt idx="395">
                  <c:v>0.36247030126011648</c:v>
                </c:pt>
                <c:pt idx="396">
                  <c:v>0.3558857326430504</c:v>
                </c:pt>
                <c:pt idx="397">
                  <c:v>0.34958845317920234</c:v>
                </c:pt>
                <c:pt idx="398">
                  <c:v>0.33226109188250919</c:v>
                </c:pt>
                <c:pt idx="399">
                  <c:v>0.29641786244667467</c:v>
                </c:pt>
                <c:pt idx="400">
                  <c:v>0.28762604223272459</c:v>
                </c:pt>
                <c:pt idx="401">
                  <c:v>0.27195615745151897</c:v>
                </c:pt>
                <c:pt idx="402">
                  <c:v>0.28364478165164625</c:v>
                </c:pt>
                <c:pt idx="403">
                  <c:v>0.26442359295513546</c:v>
                </c:pt>
                <c:pt idx="404">
                  <c:v>0.23164867523963584</c:v>
                </c:pt>
                <c:pt idx="405">
                  <c:v>0.26881360015502331</c:v>
                </c:pt>
                <c:pt idx="406">
                  <c:v>0.31387847365274657</c:v>
                </c:pt>
                <c:pt idx="407">
                  <c:v>0.28084087326598062</c:v>
                </c:pt>
                <c:pt idx="408">
                  <c:v>0.30111943737290681</c:v>
                </c:pt>
                <c:pt idx="409">
                  <c:v>0.33945825509213801</c:v>
                </c:pt>
                <c:pt idx="410">
                  <c:v>0.34079550622279559</c:v>
                </c:pt>
                <c:pt idx="411">
                  <c:v>0.3496606471593951</c:v>
                </c:pt>
                <c:pt idx="412">
                  <c:v>0.34939375696715963</c:v>
                </c:pt>
                <c:pt idx="413">
                  <c:v>0.34391667716601571</c:v>
                </c:pt>
                <c:pt idx="414">
                  <c:v>0.3553746319430548</c:v>
                </c:pt>
                <c:pt idx="415">
                  <c:v>0.34688754496939128</c:v>
                </c:pt>
                <c:pt idx="416">
                  <c:v>0.35184602926140734</c:v>
                </c:pt>
                <c:pt idx="417">
                  <c:v>0.35575335993168899</c:v>
                </c:pt>
                <c:pt idx="418">
                  <c:v>0.34479489665119484</c:v>
                </c:pt>
                <c:pt idx="419">
                  <c:v>0.30174390795958284</c:v>
                </c:pt>
                <c:pt idx="420">
                  <c:v>0.29792004327481336</c:v>
                </c:pt>
                <c:pt idx="421">
                  <c:v>0.30425502437052787</c:v>
                </c:pt>
                <c:pt idx="422">
                  <c:v>0.29727960029205508</c:v>
                </c:pt>
                <c:pt idx="423">
                  <c:v>0.26948162082976196</c:v>
                </c:pt>
                <c:pt idx="424">
                  <c:v>0.23992685953111736</c:v>
                </c:pt>
                <c:pt idx="425">
                  <c:v>0.20380480738614562</c:v>
                </c:pt>
                <c:pt idx="426">
                  <c:v>0.17021357855979186</c:v>
                </c:pt>
                <c:pt idx="427">
                  <c:v>0.13127260203203031</c:v>
                </c:pt>
                <c:pt idx="428">
                  <c:v>0.14961306756253781</c:v>
                </c:pt>
                <c:pt idx="429">
                  <c:v>0.18066074435348081</c:v>
                </c:pt>
                <c:pt idx="430">
                  <c:v>0.1391200937371625</c:v>
                </c:pt>
                <c:pt idx="431">
                  <c:v>0.11500960645423861</c:v>
                </c:pt>
                <c:pt idx="432">
                  <c:v>0.11085743425196438</c:v>
                </c:pt>
                <c:pt idx="433">
                  <c:v>0.12484986309447568</c:v>
                </c:pt>
                <c:pt idx="434">
                  <c:v>0.15334089730995509</c:v>
                </c:pt>
                <c:pt idx="435">
                  <c:v>0.10944510264727018</c:v>
                </c:pt>
                <c:pt idx="436">
                  <c:v>0.11728919836656068</c:v>
                </c:pt>
                <c:pt idx="437">
                  <c:v>0.10843136345343511</c:v>
                </c:pt>
                <c:pt idx="438">
                  <c:v>0.13668102703888502</c:v>
                </c:pt>
                <c:pt idx="439">
                  <c:v>0.16996057618520405</c:v>
                </c:pt>
                <c:pt idx="440">
                  <c:v>0.16352693701063456</c:v>
                </c:pt>
                <c:pt idx="441">
                  <c:v>0.19737073245930084</c:v>
                </c:pt>
                <c:pt idx="442">
                  <c:v>0.21954138748042543</c:v>
                </c:pt>
                <c:pt idx="443">
                  <c:v>0.21773007938841518</c:v>
                </c:pt>
                <c:pt idx="444">
                  <c:v>0.24573740918633644</c:v>
                </c:pt>
                <c:pt idx="445">
                  <c:v>0.28395797158392377</c:v>
                </c:pt>
                <c:pt idx="446">
                  <c:v>0.33231882532142454</c:v>
                </c:pt>
                <c:pt idx="447">
                  <c:v>0.311875991816913</c:v>
                </c:pt>
                <c:pt idx="448">
                  <c:v>0.23444348601286041</c:v>
                </c:pt>
                <c:pt idx="449">
                  <c:v>0.15862705907574107</c:v>
                </c:pt>
                <c:pt idx="450">
                  <c:v>0.16039207721014945</c:v>
                </c:pt>
                <c:pt idx="451">
                  <c:v>0.21240851377579234</c:v>
                </c:pt>
                <c:pt idx="452">
                  <c:v>0.17812063795466732</c:v>
                </c:pt>
                <c:pt idx="453">
                  <c:v>0.24558423800218118</c:v>
                </c:pt>
                <c:pt idx="454">
                  <c:v>0.24871113422319596</c:v>
                </c:pt>
                <c:pt idx="455">
                  <c:v>0.17317577031558795</c:v>
                </c:pt>
                <c:pt idx="456">
                  <c:v>0.1302215097576204</c:v>
                </c:pt>
                <c:pt idx="457">
                  <c:v>0.12078016753754481</c:v>
                </c:pt>
                <c:pt idx="458">
                  <c:v>0.13347473762343037</c:v>
                </c:pt>
                <c:pt idx="459">
                  <c:v>0.16928164853868435</c:v>
                </c:pt>
                <c:pt idx="460">
                  <c:v>0.28728034660700613</c:v>
                </c:pt>
                <c:pt idx="461">
                  <c:v>0.30373114535779383</c:v>
                </c:pt>
                <c:pt idx="462">
                  <c:v>0.28180089731006541</c:v>
                </c:pt>
                <c:pt idx="463">
                  <c:v>0.26039691786897584</c:v>
                </c:pt>
                <c:pt idx="464">
                  <c:v>0.14388577079692916</c:v>
                </c:pt>
                <c:pt idx="465">
                  <c:v>0.10635719865930798</c:v>
                </c:pt>
                <c:pt idx="466">
                  <c:v>9.8499631869743073E-2</c:v>
                </c:pt>
                <c:pt idx="467">
                  <c:v>0.10344601622633659</c:v>
                </c:pt>
                <c:pt idx="468">
                  <c:v>0.10387956113373785</c:v>
                </c:pt>
                <c:pt idx="469">
                  <c:v>0.10423391940477326</c:v>
                </c:pt>
                <c:pt idx="470">
                  <c:v>9.726389799556201E-2</c:v>
                </c:pt>
                <c:pt idx="471">
                  <c:v>9.2349947009389047E-2</c:v>
                </c:pt>
                <c:pt idx="472">
                  <c:v>8.9836452868375438E-2</c:v>
                </c:pt>
                <c:pt idx="473">
                  <c:v>0.10637961754655724</c:v>
                </c:pt>
                <c:pt idx="474">
                  <c:v>8.28853899810615E-2</c:v>
                </c:pt>
                <c:pt idx="475">
                  <c:v>7.7519394065021716E-2</c:v>
                </c:pt>
                <c:pt idx="476">
                  <c:v>9.9564332940958511E-2</c:v>
                </c:pt>
                <c:pt idx="477">
                  <c:v>0.10728667900666415</c:v>
                </c:pt>
                <c:pt idx="478">
                  <c:v>0.17736362859573582</c:v>
                </c:pt>
                <c:pt idx="479">
                  <c:v>0.19419394459913097</c:v>
                </c:pt>
                <c:pt idx="480">
                  <c:v>0.20871279355382366</c:v>
                </c:pt>
                <c:pt idx="481">
                  <c:v>0.18530609409049639</c:v>
                </c:pt>
                <c:pt idx="482">
                  <c:v>0.14445235108135168</c:v>
                </c:pt>
                <c:pt idx="483">
                  <c:v>0.13823602254625422</c:v>
                </c:pt>
                <c:pt idx="484">
                  <c:v>0.1841168725415207</c:v>
                </c:pt>
                <c:pt idx="485">
                  <c:v>0.23692878984270607</c:v>
                </c:pt>
                <c:pt idx="486">
                  <c:v>0.28902675535679756</c:v>
                </c:pt>
                <c:pt idx="487">
                  <c:v>0.29325663942268165</c:v>
                </c:pt>
                <c:pt idx="488">
                  <c:v>0.23579713329914781</c:v>
                </c:pt>
                <c:pt idx="489">
                  <c:v>0.21771121786962938</c:v>
                </c:pt>
                <c:pt idx="490">
                  <c:v>0.23788260563024136</c:v>
                </c:pt>
                <c:pt idx="491">
                  <c:v>0.2725721396771314</c:v>
                </c:pt>
                <c:pt idx="492">
                  <c:v>0.32424988862722059</c:v>
                </c:pt>
                <c:pt idx="493">
                  <c:v>0.341144524647083</c:v>
                </c:pt>
                <c:pt idx="494">
                  <c:v>0.31768051552610665</c:v>
                </c:pt>
                <c:pt idx="495">
                  <c:v>0.29098855697851317</c:v>
                </c:pt>
                <c:pt idx="496">
                  <c:v>0.25407284317646717</c:v>
                </c:pt>
                <c:pt idx="497">
                  <c:v>0.21289434865879514</c:v>
                </c:pt>
                <c:pt idx="498">
                  <c:v>0.17327498017819748</c:v>
                </c:pt>
                <c:pt idx="499">
                  <c:v>0.15215347288510792</c:v>
                </c:pt>
                <c:pt idx="500">
                  <c:v>0.15035113499862329</c:v>
                </c:pt>
                <c:pt idx="501">
                  <c:v>0.16192036125208523</c:v>
                </c:pt>
                <c:pt idx="502">
                  <c:v>0.22911638328618866</c:v>
                </c:pt>
                <c:pt idx="503">
                  <c:v>0.21978366981708136</c:v>
                </c:pt>
                <c:pt idx="504">
                  <c:v>0.21439593179546404</c:v>
                </c:pt>
                <c:pt idx="505">
                  <c:v>0.18464893545268554</c:v>
                </c:pt>
                <c:pt idx="506">
                  <c:v>0.15828242693430086</c:v>
                </c:pt>
                <c:pt idx="507">
                  <c:v>0.16024504650076554</c:v>
                </c:pt>
                <c:pt idx="508">
                  <c:v>0.17365672278530467</c:v>
                </c:pt>
                <c:pt idx="509">
                  <c:v>0.18566724137323137</c:v>
                </c:pt>
                <c:pt idx="510">
                  <c:v>0.17534681941750974</c:v>
                </c:pt>
                <c:pt idx="511">
                  <c:v>0.14314035049143561</c:v>
                </c:pt>
                <c:pt idx="512">
                  <c:v>0.12164163689024256</c:v>
                </c:pt>
                <c:pt idx="513">
                  <c:v>0.10911434630868226</c:v>
                </c:pt>
                <c:pt idx="514">
                  <c:v>0.11069200962889383</c:v>
                </c:pt>
                <c:pt idx="515">
                  <c:v>8.2666183144673416E-2</c:v>
                </c:pt>
                <c:pt idx="516">
                  <c:v>9.481587846553291E-2</c:v>
                </c:pt>
                <c:pt idx="517">
                  <c:v>9.1455714179590378E-2</c:v>
                </c:pt>
                <c:pt idx="518">
                  <c:v>9.298163043468663E-2</c:v>
                </c:pt>
                <c:pt idx="519">
                  <c:v>8.7217893320711379E-2</c:v>
                </c:pt>
                <c:pt idx="520">
                  <c:v>8.6632514483161713E-2</c:v>
                </c:pt>
                <c:pt idx="521">
                  <c:v>8.4665079625677223E-2</c:v>
                </c:pt>
                <c:pt idx="522">
                  <c:v>8.1128252532299591E-2</c:v>
                </c:pt>
                <c:pt idx="523">
                  <c:v>7.5107400744729033E-2</c:v>
                </c:pt>
                <c:pt idx="524">
                  <c:v>6.5965804906786565E-2</c:v>
                </c:pt>
                <c:pt idx="525">
                  <c:v>6.6578806072143309E-2</c:v>
                </c:pt>
                <c:pt idx="526">
                  <c:v>6.3983921079885556E-2</c:v>
                </c:pt>
                <c:pt idx="527">
                  <c:v>6.4685479843988286E-2</c:v>
                </c:pt>
                <c:pt idx="528">
                  <c:v>6.1257373564701047E-2</c:v>
                </c:pt>
                <c:pt idx="529">
                  <c:v>7.0686800433055405E-2</c:v>
                </c:pt>
                <c:pt idx="530">
                  <c:v>6.9197133140616277E-2</c:v>
                </c:pt>
                <c:pt idx="531">
                  <c:v>6.4092680501311075E-2</c:v>
                </c:pt>
                <c:pt idx="532">
                  <c:v>5.9310805897896987E-2</c:v>
                </c:pt>
                <c:pt idx="533">
                  <c:v>5.8332800531948906E-2</c:v>
                </c:pt>
                <c:pt idx="534">
                  <c:v>5.801322630175363E-2</c:v>
                </c:pt>
                <c:pt idx="535">
                  <c:v>5.4879816838213233E-2</c:v>
                </c:pt>
                <c:pt idx="536">
                  <c:v>5.7429784150493615E-2</c:v>
                </c:pt>
                <c:pt idx="537">
                  <c:v>6.2571712822859366E-2</c:v>
                </c:pt>
                <c:pt idx="538">
                  <c:v>6.2416395052908871E-2</c:v>
                </c:pt>
                <c:pt idx="539">
                  <c:v>8.7001286090585356E-2</c:v>
                </c:pt>
                <c:pt idx="540">
                  <c:v>0.10744552977086694</c:v>
                </c:pt>
                <c:pt idx="541">
                  <c:v>0.12898211709778287</c:v>
                </c:pt>
                <c:pt idx="542">
                  <c:v>0.12530159882271771</c:v>
                </c:pt>
                <c:pt idx="543">
                  <c:v>0.12247855831999858</c:v>
                </c:pt>
                <c:pt idx="544">
                  <c:v>0.11764490378693514</c:v>
                </c:pt>
                <c:pt idx="545">
                  <c:v>8.4647856688001524E-2</c:v>
                </c:pt>
                <c:pt idx="546">
                  <c:v>7.6171334638381535E-2</c:v>
                </c:pt>
                <c:pt idx="547">
                  <c:v>7.6808479390423831E-2</c:v>
                </c:pt>
                <c:pt idx="548">
                  <c:v>8.7110277846750572E-2</c:v>
                </c:pt>
                <c:pt idx="549">
                  <c:v>8.5087467330130326E-2</c:v>
                </c:pt>
                <c:pt idx="550">
                  <c:v>7.7579452524362172E-2</c:v>
                </c:pt>
                <c:pt idx="551">
                  <c:v>8.1326919515579951E-2</c:v>
                </c:pt>
                <c:pt idx="552">
                  <c:v>8.1780308359062831E-2</c:v>
                </c:pt>
                <c:pt idx="553">
                  <c:v>9.5493930917278119E-2</c:v>
                </c:pt>
                <c:pt idx="554">
                  <c:v>7.090186589346989E-2</c:v>
                </c:pt>
                <c:pt idx="555">
                  <c:v>7.3571830666311747E-2</c:v>
                </c:pt>
                <c:pt idx="556">
                  <c:v>7.0210205417836694E-2</c:v>
                </c:pt>
                <c:pt idx="557">
                  <c:v>6.088123521169074E-2</c:v>
                </c:pt>
                <c:pt idx="558">
                  <c:v>5.7136503687295136E-2</c:v>
                </c:pt>
                <c:pt idx="559">
                  <c:v>6.9956353055286136E-2</c:v>
                </c:pt>
                <c:pt idx="560">
                  <c:v>8.5501276849132585E-2</c:v>
                </c:pt>
                <c:pt idx="561">
                  <c:v>0.1132794195629402</c:v>
                </c:pt>
                <c:pt idx="562">
                  <c:v>0.14151515917768731</c:v>
                </c:pt>
                <c:pt idx="563">
                  <c:v>0.1756367292225201</c:v>
                </c:pt>
                <c:pt idx="564">
                  <c:v>0.2165666684198389</c:v>
                </c:pt>
                <c:pt idx="565">
                  <c:v>0.25014780687295146</c:v>
                </c:pt>
                <c:pt idx="566">
                  <c:v>0.26196234545441577</c:v>
                </c:pt>
                <c:pt idx="567">
                  <c:v>0.26406247037426511</c:v>
                </c:pt>
                <c:pt idx="568">
                  <c:v>0.30466293568858088</c:v>
                </c:pt>
                <c:pt idx="569">
                  <c:v>0.31358281756896672</c:v>
                </c:pt>
                <c:pt idx="570">
                  <c:v>0.31989196354125837</c:v>
                </c:pt>
                <c:pt idx="571">
                  <c:v>0.29751006480256781</c:v>
                </c:pt>
                <c:pt idx="572">
                  <c:v>0.30715879026066661</c:v>
                </c:pt>
                <c:pt idx="573">
                  <c:v>0.32948753340410214</c:v>
                </c:pt>
                <c:pt idx="574">
                  <c:v>0.28826042193483131</c:v>
                </c:pt>
                <c:pt idx="575">
                  <c:v>0.2407273124215418</c:v>
                </c:pt>
                <c:pt idx="576">
                  <c:v>0.1901845284414905</c:v>
                </c:pt>
                <c:pt idx="577">
                  <c:v>0.21377311371361082</c:v>
                </c:pt>
                <c:pt idx="578">
                  <c:v>0.20491443357863401</c:v>
                </c:pt>
                <c:pt idx="579">
                  <c:v>0.20909028245256647</c:v>
                </c:pt>
                <c:pt idx="580">
                  <c:v>0.19417463083130249</c:v>
                </c:pt>
                <c:pt idx="581">
                  <c:v>0.17900985643444287</c:v>
                </c:pt>
                <c:pt idx="582">
                  <c:v>0.17595884003741816</c:v>
                </c:pt>
                <c:pt idx="583">
                  <c:v>0.14416223682215182</c:v>
                </c:pt>
                <c:pt idx="584">
                  <c:v>0.1282444997120129</c:v>
                </c:pt>
                <c:pt idx="585">
                  <c:v>0.11113659267258043</c:v>
                </c:pt>
                <c:pt idx="586">
                  <c:v>9.054347797992747E-2</c:v>
                </c:pt>
                <c:pt idx="587">
                  <c:v>7.6450028702391537E-2</c:v>
                </c:pt>
                <c:pt idx="588">
                  <c:v>6.8537130603407978E-2</c:v>
                </c:pt>
                <c:pt idx="589">
                  <c:v>6.9612224585780924E-2</c:v>
                </c:pt>
                <c:pt idx="590">
                  <c:v>8.2062938916288949E-2</c:v>
                </c:pt>
                <c:pt idx="591">
                  <c:v>8.5895175731388607E-2</c:v>
                </c:pt>
                <c:pt idx="592">
                  <c:v>9.4919064054358501E-2</c:v>
                </c:pt>
                <c:pt idx="593">
                  <c:v>0.13448922087945783</c:v>
                </c:pt>
                <c:pt idx="594">
                  <c:v>0.14640685698045192</c:v>
                </c:pt>
                <c:pt idx="595">
                  <c:v>0.19306813878288229</c:v>
                </c:pt>
                <c:pt idx="596">
                  <c:v>0.19463394974475193</c:v>
                </c:pt>
                <c:pt idx="597">
                  <c:v>0.19782660893911275</c:v>
                </c:pt>
                <c:pt idx="598">
                  <c:v>0.18987497177050824</c:v>
                </c:pt>
                <c:pt idx="599">
                  <c:v>0.19271640807158466</c:v>
                </c:pt>
                <c:pt idx="600">
                  <c:v>0.15982823616110656</c:v>
                </c:pt>
                <c:pt idx="601">
                  <c:v>0.20072863318223536</c:v>
                </c:pt>
                <c:pt idx="602">
                  <c:v>0.20177410372199445</c:v>
                </c:pt>
                <c:pt idx="603">
                  <c:v>0.20594032715038588</c:v>
                </c:pt>
                <c:pt idx="604">
                  <c:v>0.20575669176163364</c:v>
                </c:pt>
                <c:pt idx="605">
                  <c:v>0.18677725473052961</c:v>
                </c:pt>
                <c:pt idx="606">
                  <c:v>0.20852409185085349</c:v>
                </c:pt>
                <c:pt idx="607">
                  <c:v>0.20962765212445833</c:v>
                </c:pt>
                <c:pt idx="608">
                  <c:v>0.15814384522744096</c:v>
                </c:pt>
                <c:pt idx="609">
                  <c:v>0.1535835655235443</c:v>
                </c:pt>
                <c:pt idx="610">
                  <c:v>0.1790842341143912</c:v>
                </c:pt>
                <c:pt idx="611">
                  <c:v>0.21709936419954354</c:v>
                </c:pt>
                <c:pt idx="612">
                  <c:v>0.28298725269654496</c:v>
                </c:pt>
                <c:pt idx="613">
                  <c:v>0.2941956990745942</c:v>
                </c:pt>
                <c:pt idx="614">
                  <c:v>0.29476409283348026</c:v>
                </c:pt>
                <c:pt idx="615">
                  <c:v>0.25983753207308646</c:v>
                </c:pt>
                <c:pt idx="616">
                  <c:v>0.24152412752565186</c:v>
                </c:pt>
                <c:pt idx="617">
                  <c:v>0.183010537276761</c:v>
                </c:pt>
                <c:pt idx="618">
                  <c:v>0.19647050636348626</c:v>
                </c:pt>
                <c:pt idx="619">
                  <c:v>0.13810055718223097</c:v>
                </c:pt>
                <c:pt idx="620">
                  <c:v>0.16730836493438089</c:v>
                </c:pt>
                <c:pt idx="621">
                  <c:v>0.12813964860632943</c:v>
                </c:pt>
                <c:pt idx="622">
                  <c:v>0.10894499157915362</c:v>
                </c:pt>
                <c:pt idx="623">
                  <c:v>0.12174030671248172</c:v>
                </c:pt>
                <c:pt idx="624">
                  <c:v>0.1237669852824025</c:v>
                </c:pt>
                <c:pt idx="625">
                  <c:v>0.11899018071202908</c:v>
                </c:pt>
                <c:pt idx="626">
                  <c:v>0.13423643385628337</c:v>
                </c:pt>
                <c:pt idx="627">
                  <c:v>0.13350376429973826</c:v>
                </c:pt>
                <c:pt idx="628">
                  <c:v>0.17462554669338451</c:v>
                </c:pt>
                <c:pt idx="629">
                  <c:v>0.21960014781024223</c:v>
                </c:pt>
                <c:pt idx="630">
                  <c:v>0.25550729826261692</c:v>
                </c:pt>
                <c:pt idx="631">
                  <c:v>0.26592191082739458</c:v>
                </c:pt>
                <c:pt idx="632">
                  <c:v>0.23634294774759981</c:v>
                </c:pt>
                <c:pt idx="633">
                  <c:v>0.29068392725770853</c:v>
                </c:pt>
                <c:pt idx="634">
                  <c:v>0.32436792632540051</c:v>
                </c:pt>
                <c:pt idx="635">
                  <c:v>0.35593528059561524</c:v>
                </c:pt>
                <c:pt idx="636">
                  <c:v>0.35773155714629196</c:v>
                </c:pt>
                <c:pt idx="637">
                  <c:v>0.37408309927254041</c:v>
                </c:pt>
                <c:pt idx="638">
                  <c:v>0.32395135967341165</c:v>
                </c:pt>
                <c:pt idx="639">
                  <c:v>0.31125221388475599</c:v>
                </c:pt>
                <c:pt idx="640">
                  <c:v>0.25748212429276524</c:v>
                </c:pt>
                <c:pt idx="641">
                  <c:v>0.2097292410908774</c:v>
                </c:pt>
                <c:pt idx="642">
                  <c:v>0.17862660666474331</c:v>
                </c:pt>
                <c:pt idx="643">
                  <c:v>0.16413038924037374</c:v>
                </c:pt>
                <c:pt idx="644">
                  <c:v>0.15319555945381227</c:v>
                </c:pt>
                <c:pt idx="645">
                  <c:v>0.14528529673401958</c:v>
                </c:pt>
                <c:pt idx="646">
                  <c:v>0.14956626925486238</c:v>
                </c:pt>
                <c:pt idx="647">
                  <c:v>0.14718230774323543</c:v>
                </c:pt>
                <c:pt idx="648">
                  <c:v>0.15749503936138204</c:v>
                </c:pt>
                <c:pt idx="649">
                  <c:v>0.14387233245645897</c:v>
                </c:pt>
                <c:pt idx="650">
                  <c:v>0.13752500465925327</c:v>
                </c:pt>
                <c:pt idx="651">
                  <c:v>0.14685607990126384</c:v>
                </c:pt>
                <c:pt idx="652">
                  <c:v>0.14727779928523327</c:v>
                </c:pt>
                <c:pt idx="653">
                  <c:v>0.14679375827696603</c:v>
                </c:pt>
                <c:pt idx="654">
                  <c:v>0.17000235402587466</c:v>
                </c:pt>
                <c:pt idx="655">
                  <c:v>0.17605531051770493</c:v>
                </c:pt>
                <c:pt idx="656">
                  <c:v>0.17255785063516388</c:v>
                </c:pt>
                <c:pt idx="657">
                  <c:v>0.17950382238503965</c:v>
                </c:pt>
                <c:pt idx="658">
                  <c:v>0.19264382717752093</c:v>
                </c:pt>
                <c:pt idx="659">
                  <c:v>0.20651748047853777</c:v>
                </c:pt>
                <c:pt idx="660">
                  <c:v>0.2728266596264089</c:v>
                </c:pt>
                <c:pt idx="661">
                  <c:v>0.28415040020537458</c:v>
                </c:pt>
                <c:pt idx="662">
                  <c:v>0.24692908923469267</c:v>
                </c:pt>
                <c:pt idx="663">
                  <c:v>0.26040077427721414</c:v>
                </c:pt>
                <c:pt idx="664">
                  <c:v>0.27033384493655804</c:v>
                </c:pt>
                <c:pt idx="665">
                  <c:v>0.24004320712415139</c:v>
                </c:pt>
                <c:pt idx="666">
                  <c:v>0.20782915684290476</c:v>
                </c:pt>
                <c:pt idx="667">
                  <c:v>0.23555640608554204</c:v>
                </c:pt>
                <c:pt idx="668">
                  <c:v>0.27876586542439741</c:v>
                </c:pt>
                <c:pt idx="669">
                  <c:v>0.22338278213316701</c:v>
                </c:pt>
                <c:pt idx="670">
                  <c:v>0.20086101295048167</c:v>
                </c:pt>
                <c:pt idx="671">
                  <c:v>0.18089055661260964</c:v>
                </c:pt>
                <c:pt idx="672">
                  <c:v>0.15228780156671815</c:v>
                </c:pt>
                <c:pt idx="673">
                  <c:v>0.14468056984790839</c:v>
                </c:pt>
                <c:pt idx="674">
                  <c:v>0.13419142442086013</c:v>
                </c:pt>
                <c:pt idx="675">
                  <c:v>0.12673878509305356</c:v>
                </c:pt>
                <c:pt idx="676">
                  <c:v>0.121365221551924</c:v>
                </c:pt>
                <c:pt idx="677">
                  <c:v>0.14479928046086937</c:v>
                </c:pt>
                <c:pt idx="678">
                  <c:v>0.12943214372959649</c:v>
                </c:pt>
                <c:pt idx="679">
                  <c:v>0.12593712368299531</c:v>
                </c:pt>
                <c:pt idx="680">
                  <c:v>0.13410211653632678</c:v>
                </c:pt>
                <c:pt idx="681">
                  <c:v>0.12649721403799855</c:v>
                </c:pt>
                <c:pt idx="682">
                  <c:v>0.11641938987483261</c:v>
                </c:pt>
                <c:pt idx="683">
                  <c:v>0.11203320811894314</c:v>
                </c:pt>
                <c:pt idx="684">
                  <c:v>0.11539197510532243</c:v>
                </c:pt>
                <c:pt idx="685">
                  <c:v>0.1178374508148876</c:v>
                </c:pt>
                <c:pt idx="686">
                  <c:v>0.11490873375928812</c:v>
                </c:pt>
                <c:pt idx="687">
                  <c:v>0.12315754791463331</c:v>
                </c:pt>
                <c:pt idx="688">
                  <c:v>0.14637393953114589</c:v>
                </c:pt>
                <c:pt idx="689">
                  <c:v>0.13128125593814771</c:v>
                </c:pt>
                <c:pt idx="690">
                  <c:v>0.13806979132444536</c:v>
                </c:pt>
                <c:pt idx="691">
                  <c:v>0.12980277084009989</c:v>
                </c:pt>
                <c:pt idx="692">
                  <c:v>0.13876312442058514</c:v>
                </c:pt>
                <c:pt idx="693">
                  <c:v>0.13855144600338729</c:v>
                </c:pt>
                <c:pt idx="694">
                  <c:v>0.13241919583866435</c:v>
                </c:pt>
                <c:pt idx="695">
                  <c:v>0.14826427051109525</c:v>
                </c:pt>
                <c:pt idx="696">
                  <c:v>0.15295847847488309</c:v>
                </c:pt>
                <c:pt idx="697">
                  <c:v>0.16130169797542823</c:v>
                </c:pt>
                <c:pt idx="698">
                  <c:v>0.1572792173871749</c:v>
                </c:pt>
                <c:pt idx="699">
                  <c:v>0.13767364432059639</c:v>
                </c:pt>
                <c:pt idx="700">
                  <c:v>0.12314263062325771</c:v>
                </c:pt>
                <c:pt idx="701">
                  <c:v>0.13246523817515116</c:v>
                </c:pt>
                <c:pt idx="702">
                  <c:v>0.1385344417596554</c:v>
                </c:pt>
                <c:pt idx="703">
                  <c:v>0.14440330509800134</c:v>
                </c:pt>
                <c:pt idx="704">
                  <c:v>0.13616454727484301</c:v>
                </c:pt>
                <c:pt idx="705">
                  <c:v>0.15518494858434123</c:v>
                </c:pt>
                <c:pt idx="706">
                  <c:v>0.14265968955307476</c:v>
                </c:pt>
                <c:pt idx="707">
                  <c:v>0.14271243878527659</c:v>
                </c:pt>
                <c:pt idx="708">
                  <c:v>0.15157895773160734</c:v>
                </c:pt>
                <c:pt idx="709">
                  <c:v>0.15924946364780643</c:v>
                </c:pt>
                <c:pt idx="710">
                  <c:v>0.16945639211929103</c:v>
                </c:pt>
                <c:pt idx="711">
                  <c:v>0.15307084495979434</c:v>
                </c:pt>
                <c:pt idx="712">
                  <c:v>0.14612580559747249</c:v>
                </c:pt>
                <c:pt idx="713">
                  <c:v>0.13183983201205432</c:v>
                </c:pt>
                <c:pt idx="714">
                  <c:v>0.12932908646666241</c:v>
                </c:pt>
                <c:pt idx="715">
                  <c:v>0.13530205558334593</c:v>
                </c:pt>
                <c:pt idx="716">
                  <c:v>0.12447302806581333</c:v>
                </c:pt>
                <c:pt idx="717">
                  <c:v>0.12737667421185267</c:v>
                </c:pt>
                <c:pt idx="718">
                  <c:v>0.12338081689756611</c:v>
                </c:pt>
                <c:pt idx="719">
                  <c:v>0.13526934554185013</c:v>
                </c:pt>
                <c:pt idx="720">
                  <c:v>0.14095063046910508</c:v>
                </c:pt>
                <c:pt idx="721">
                  <c:v>0.13927592465575345</c:v>
                </c:pt>
                <c:pt idx="722">
                  <c:v>0.15629839908348148</c:v>
                </c:pt>
                <c:pt idx="723">
                  <c:v>0.16810400425138919</c:v>
                </c:pt>
                <c:pt idx="724">
                  <c:v>0.20268259463061131</c:v>
                </c:pt>
                <c:pt idx="725">
                  <c:v>0.20408895316682363</c:v>
                </c:pt>
                <c:pt idx="726">
                  <c:v>0.21541583305447373</c:v>
                </c:pt>
                <c:pt idx="727">
                  <c:v>0.20947972300107046</c:v>
                </c:pt>
                <c:pt idx="728">
                  <c:v>0.17520459879198813</c:v>
                </c:pt>
                <c:pt idx="729">
                  <c:v>0.16405334999041746</c:v>
                </c:pt>
                <c:pt idx="730">
                  <c:v>0.13425876175772455</c:v>
                </c:pt>
                <c:pt idx="731">
                  <c:v>0.12904817094678997</c:v>
                </c:pt>
                <c:pt idx="732">
                  <c:v>0.13174151747655585</c:v>
                </c:pt>
                <c:pt idx="733">
                  <c:v>0.13160718799073534</c:v>
                </c:pt>
                <c:pt idx="734">
                  <c:v>0.14135953456877134</c:v>
                </c:pt>
                <c:pt idx="735">
                  <c:v>0.12655513153503489</c:v>
                </c:pt>
                <c:pt idx="736">
                  <c:v>0.13631941160418723</c:v>
                </c:pt>
                <c:pt idx="737">
                  <c:v>0.12202323821998397</c:v>
                </c:pt>
                <c:pt idx="738">
                  <c:v>0.17698489747083848</c:v>
                </c:pt>
                <c:pt idx="739">
                  <c:v>0.17694144257351094</c:v>
                </c:pt>
                <c:pt idx="740">
                  <c:v>0.17226570103535532</c:v>
                </c:pt>
                <c:pt idx="741">
                  <c:v>0.18012990107150476</c:v>
                </c:pt>
                <c:pt idx="742">
                  <c:v>0.18155875933607987</c:v>
                </c:pt>
                <c:pt idx="743">
                  <c:v>0.18275921013478863</c:v>
                </c:pt>
                <c:pt idx="744">
                  <c:v>0.17315833972044217</c:v>
                </c:pt>
                <c:pt idx="745">
                  <c:v>0.15592695356075467</c:v>
                </c:pt>
                <c:pt idx="746">
                  <c:v>0.15089943939738565</c:v>
                </c:pt>
                <c:pt idx="747">
                  <c:v>0.15844660518020648</c:v>
                </c:pt>
                <c:pt idx="748">
                  <c:v>0.12322537443575698</c:v>
                </c:pt>
                <c:pt idx="749">
                  <c:v>0.12276172007068084</c:v>
                </c:pt>
                <c:pt idx="750">
                  <c:v>0.10807167197558427</c:v>
                </c:pt>
                <c:pt idx="751">
                  <c:v>0.10416859314604872</c:v>
                </c:pt>
                <c:pt idx="752">
                  <c:v>0.10837500271251384</c:v>
                </c:pt>
                <c:pt idx="753">
                  <c:v>0.12304458099988085</c:v>
                </c:pt>
                <c:pt idx="754">
                  <c:v>0.11622833764867002</c:v>
                </c:pt>
                <c:pt idx="755">
                  <c:v>0.18591718548253072</c:v>
                </c:pt>
                <c:pt idx="756">
                  <c:v>0.15978635337963878</c:v>
                </c:pt>
                <c:pt idx="757">
                  <c:v>0.14865820831074811</c:v>
                </c:pt>
                <c:pt idx="758">
                  <c:v>0.15021208159043772</c:v>
                </c:pt>
                <c:pt idx="759">
                  <c:v>0.1708359860273814</c:v>
                </c:pt>
                <c:pt idx="760">
                  <c:v>0.20571439618009241</c:v>
                </c:pt>
                <c:pt idx="761">
                  <c:v>0.23676566718772205</c:v>
                </c:pt>
                <c:pt idx="762">
                  <c:v>0.16759398303867176</c:v>
                </c:pt>
                <c:pt idx="763">
                  <c:v>0.18115337132619008</c:v>
                </c:pt>
                <c:pt idx="764">
                  <c:v>0.1904287496014023</c:v>
                </c:pt>
                <c:pt idx="765">
                  <c:v>0.1643807075269578</c:v>
                </c:pt>
                <c:pt idx="766">
                  <c:v>0.14850283514951851</c:v>
                </c:pt>
                <c:pt idx="767">
                  <c:v>0.17297581178199653</c:v>
                </c:pt>
                <c:pt idx="768">
                  <c:v>0.13823573143014933</c:v>
                </c:pt>
                <c:pt idx="769">
                  <c:v>0.11187715805842455</c:v>
                </c:pt>
                <c:pt idx="770">
                  <c:v>0.14783016514493838</c:v>
                </c:pt>
                <c:pt idx="771">
                  <c:v>0.13463678720313885</c:v>
                </c:pt>
                <c:pt idx="772">
                  <c:v>0.12852812288940896</c:v>
                </c:pt>
                <c:pt idx="773">
                  <c:v>0.12348234133530633</c:v>
                </c:pt>
                <c:pt idx="774">
                  <c:v>0.15133454668954047</c:v>
                </c:pt>
                <c:pt idx="775">
                  <c:v>0.21057096833269173</c:v>
                </c:pt>
                <c:pt idx="776">
                  <c:v>0.2429964594074166</c:v>
                </c:pt>
                <c:pt idx="777">
                  <c:v>0.26035599870415033</c:v>
                </c:pt>
                <c:pt idx="778">
                  <c:v>0.26706952251387672</c:v>
                </c:pt>
                <c:pt idx="779">
                  <c:v>0.23675150575989709</c:v>
                </c:pt>
                <c:pt idx="780">
                  <c:v>0.18990200847869901</c:v>
                </c:pt>
                <c:pt idx="781">
                  <c:v>0.21344404944712062</c:v>
                </c:pt>
                <c:pt idx="782">
                  <c:v>0.22709558279109068</c:v>
                </c:pt>
                <c:pt idx="783">
                  <c:v>0.15068233577366216</c:v>
                </c:pt>
                <c:pt idx="784">
                  <c:v>0.11229352696248376</c:v>
                </c:pt>
                <c:pt idx="785">
                  <c:v>0.11837859628349602</c:v>
                </c:pt>
                <c:pt idx="786">
                  <c:v>0.14540694115455247</c:v>
                </c:pt>
                <c:pt idx="787">
                  <c:v>0.1182320304569317</c:v>
                </c:pt>
                <c:pt idx="788">
                  <c:v>0.14589340937387044</c:v>
                </c:pt>
                <c:pt idx="789">
                  <c:v>0.13897122434797407</c:v>
                </c:pt>
                <c:pt idx="790">
                  <c:v>0.12410380916761225</c:v>
                </c:pt>
                <c:pt idx="791">
                  <c:v>0.20040509589169722</c:v>
                </c:pt>
                <c:pt idx="792">
                  <c:v>0.30244492089672759</c:v>
                </c:pt>
                <c:pt idx="793">
                  <c:v>0.2558891824805829</c:v>
                </c:pt>
                <c:pt idx="794">
                  <c:v>0.12701234047884036</c:v>
                </c:pt>
                <c:pt idx="795">
                  <c:v>0.10602223954879657</c:v>
                </c:pt>
                <c:pt idx="796">
                  <c:v>9.9893640250473689E-2</c:v>
                </c:pt>
                <c:pt idx="797">
                  <c:v>0.14087525600547102</c:v>
                </c:pt>
                <c:pt idx="798">
                  <c:v>0.22556105478485688</c:v>
                </c:pt>
                <c:pt idx="799">
                  <c:v>0.25658543926585797</c:v>
                </c:pt>
                <c:pt idx="800">
                  <c:v>0.26973803351804998</c:v>
                </c:pt>
                <c:pt idx="801">
                  <c:v>0.26102042627561817</c:v>
                </c:pt>
                <c:pt idx="802">
                  <c:v>0.27415068925952407</c:v>
                </c:pt>
                <c:pt idx="803">
                  <c:v>0.25383074031312208</c:v>
                </c:pt>
                <c:pt idx="804">
                  <c:v>0.27099642138224111</c:v>
                </c:pt>
                <c:pt idx="805">
                  <c:v>0.26052930995026641</c:v>
                </c:pt>
                <c:pt idx="806">
                  <c:v>0.31884691219975914</c:v>
                </c:pt>
                <c:pt idx="807">
                  <c:v>0.27535167803525196</c:v>
                </c:pt>
                <c:pt idx="808">
                  <c:v>0.21618924906899639</c:v>
                </c:pt>
                <c:pt idx="809">
                  <c:v>0.19856224847996654</c:v>
                </c:pt>
                <c:pt idx="810">
                  <c:v>0.17456594170140807</c:v>
                </c:pt>
                <c:pt idx="811">
                  <c:v>0.14727456906294736</c:v>
                </c:pt>
                <c:pt idx="812">
                  <c:v>0.15408637142439421</c:v>
                </c:pt>
                <c:pt idx="813">
                  <c:v>0.16145596542768198</c:v>
                </c:pt>
                <c:pt idx="814">
                  <c:v>0.18582338064721149</c:v>
                </c:pt>
                <c:pt idx="815">
                  <c:v>0.17059376193421272</c:v>
                </c:pt>
                <c:pt idx="816">
                  <c:v>0.1198357588258096</c:v>
                </c:pt>
                <c:pt idx="817">
                  <c:v>9.4387114950297044E-2</c:v>
                </c:pt>
                <c:pt idx="818">
                  <c:v>7.0023175700684823E-2</c:v>
                </c:pt>
                <c:pt idx="819">
                  <c:v>9.0128162755682861E-2</c:v>
                </c:pt>
                <c:pt idx="820">
                  <c:v>9.6356733500122249E-2</c:v>
                </c:pt>
                <c:pt idx="821">
                  <c:v>0.13340571150639244</c:v>
                </c:pt>
                <c:pt idx="822">
                  <c:v>0.10404596710377571</c:v>
                </c:pt>
                <c:pt idx="823">
                  <c:v>0.13168343739904656</c:v>
                </c:pt>
                <c:pt idx="824">
                  <c:v>0.19955258638700768</c:v>
                </c:pt>
                <c:pt idx="825">
                  <c:v>0.23798664332359584</c:v>
                </c:pt>
                <c:pt idx="826">
                  <c:v>0.24940551054805055</c:v>
                </c:pt>
                <c:pt idx="827">
                  <c:v>0.27428333982419051</c:v>
                </c:pt>
                <c:pt idx="828">
                  <c:v>0.27580655536783799</c:v>
                </c:pt>
                <c:pt idx="829">
                  <c:v>0.31218770721089856</c:v>
                </c:pt>
                <c:pt idx="830">
                  <c:v>0.3625688763940132</c:v>
                </c:pt>
                <c:pt idx="831">
                  <c:v>0.27589850755367845</c:v>
                </c:pt>
                <c:pt idx="832">
                  <c:v>0.23475321737595492</c:v>
                </c:pt>
                <c:pt idx="833">
                  <c:v>0.30612287644282199</c:v>
                </c:pt>
                <c:pt idx="834">
                  <c:v>0.261604985564103</c:v>
                </c:pt>
                <c:pt idx="835">
                  <c:v>0.26939599678206333</c:v>
                </c:pt>
                <c:pt idx="836">
                  <c:v>0.24023156165997045</c:v>
                </c:pt>
                <c:pt idx="837">
                  <c:v>0.20409847378287924</c:v>
                </c:pt>
                <c:pt idx="838">
                  <c:v>0.23556142987025558</c:v>
                </c:pt>
                <c:pt idx="839">
                  <c:v>0.20238339465058286</c:v>
                </c:pt>
                <c:pt idx="840">
                  <c:v>0.1932006045114916</c:v>
                </c:pt>
                <c:pt idx="841">
                  <c:v>0.17553465533522192</c:v>
                </c:pt>
                <c:pt idx="842">
                  <c:v>0.1651543776271413</c:v>
                </c:pt>
                <c:pt idx="843">
                  <c:v>0.17651335014611105</c:v>
                </c:pt>
                <c:pt idx="844">
                  <c:v>0.13370815142996559</c:v>
                </c:pt>
                <c:pt idx="845">
                  <c:v>0.15171982076963628</c:v>
                </c:pt>
                <c:pt idx="846">
                  <c:v>0.14628826505041864</c:v>
                </c:pt>
                <c:pt idx="847">
                  <c:v>0.15462569717079586</c:v>
                </c:pt>
                <c:pt idx="848">
                  <c:v>0.180398851206032</c:v>
                </c:pt>
                <c:pt idx="849">
                  <c:v>0.19249270807059751</c:v>
                </c:pt>
                <c:pt idx="850">
                  <c:v>0.19102623505103</c:v>
                </c:pt>
                <c:pt idx="851">
                  <c:v>0.24184133197395341</c:v>
                </c:pt>
                <c:pt idx="852">
                  <c:v>0.2438984237968955</c:v>
                </c:pt>
                <c:pt idx="853">
                  <c:v>0.25882297714339364</c:v>
                </c:pt>
                <c:pt idx="854">
                  <c:v>0.23344885496183207</c:v>
                </c:pt>
                <c:pt idx="855">
                  <c:v>0.34878752057961981</c:v>
                </c:pt>
                <c:pt idx="856">
                  <c:v>0.27830235346396021</c:v>
                </c:pt>
                <c:pt idx="857">
                  <c:v>0.23145683324784605</c:v>
                </c:pt>
                <c:pt idx="858">
                  <c:v>0.19967848843853567</c:v>
                </c:pt>
                <c:pt idx="859">
                  <c:v>0.17644406432544393</c:v>
                </c:pt>
                <c:pt idx="860">
                  <c:v>0.17413995238540492</c:v>
                </c:pt>
                <c:pt idx="861">
                  <c:v>0.18653082785358888</c:v>
                </c:pt>
                <c:pt idx="862">
                  <c:v>0.2137777659009053</c:v>
                </c:pt>
                <c:pt idx="863">
                  <c:v>0.2589888583879662</c:v>
                </c:pt>
                <c:pt idx="864">
                  <c:v>0.31586330501318349</c:v>
                </c:pt>
                <c:pt idx="865">
                  <c:v>0.25730792693867299</c:v>
                </c:pt>
                <c:pt idx="866">
                  <c:v>0.27887222121814564</c:v>
                </c:pt>
                <c:pt idx="867">
                  <c:v>0.2596080496439192</c:v>
                </c:pt>
                <c:pt idx="868">
                  <c:v>0.35560111208814843</c:v>
                </c:pt>
                <c:pt idx="869">
                  <c:v>0.42194452333617344</c:v>
                </c:pt>
                <c:pt idx="870">
                  <c:v>0.3833767812722601</c:v>
                </c:pt>
                <c:pt idx="871">
                  <c:v>0.33887726228964676</c:v>
                </c:pt>
                <c:pt idx="872">
                  <c:v>0.34402579827034324</c:v>
                </c:pt>
                <c:pt idx="873">
                  <c:v>0.23915238179060122</c:v>
                </c:pt>
                <c:pt idx="874">
                  <c:v>0.25279960771129634</c:v>
                </c:pt>
                <c:pt idx="875">
                  <c:v>0.26432350976283747</c:v>
                </c:pt>
                <c:pt idx="876">
                  <c:v>0.32076323619704339</c:v>
                </c:pt>
                <c:pt idx="877">
                  <c:v>0.25157353011503047</c:v>
                </c:pt>
                <c:pt idx="878">
                  <c:v>0.30170898665334822</c:v>
                </c:pt>
                <c:pt idx="879">
                  <c:v>0.295364958771757</c:v>
                </c:pt>
                <c:pt idx="880">
                  <c:v>0.28863622890738605</c:v>
                </c:pt>
                <c:pt idx="881">
                  <c:v>0.26697173565385807</c:v>
                </c:pt>
                <c:pt idx="882">
                  <c:v>0.27764499561568334</c:v>
                </c:pt>
                <c:pt idx="883">
                  <c:v>0.22533210144651453</c:v>
                </c:pt>
                <c:pt idx="884">
                  <c:v>0.24008953380673048</c:v>
                </c:pt>
                <c:pt idx="885">
                  <c:v>0.20801024992512229</c:v>
                </c:pt>
                <c:pt idx="886">
                  <c:v>0.17475191655543748</c:v>
                </c:pt>
                <c:pt idx="887">
                  <c:v>0.18452492454990113</c:v>
                </c:pt>
                <c:pt idx="888">
                  <c:v>0.16500348199404802</c:v>
                </c:pt>
                <c:pt idx="889">
                  <c:v>0.17171853927710462</c:v>
                </c:pt>
                <c:pt idx="890">
                  <c:v>0.1971834157945484</c:v>
                </c:pt>
                <c:pt idx="891">
                  <c:v>0.21352279959945239</c:v>
                </c:pt>
                <c:pt idx="892">
                  <c:v>0.23798866795106033</c:v>
                </c:pt>
                <c:pt idx="893">
                  <c:v>0.28978993877348524</c:v>
                </c:pt>
                <c:pt idx="894">
                  <c:v>0.28848792337278012</c:v>
                </c:pt>
                <c:pt idx="895">
                  <c:v>0.26265347638682313</c:v>
                </c:pt>
                <c:pt idx="896">
                  <c:v>0.25772453134080797</c:v>
                </c:pt>
                <c:pt idx="897">
                  <c:v>0.24350935476202901</c:v>
                </c:pt>
                <c:pt idx="898">
                  <c:v>0.22834550326666631</c:v>
                </c:pt>
                <c:pt idx="899">
                  <c:v>0.31468086261439476</c:v>
                </c:pt>
                <c:pt idx="900">
                  <c:v>0.31710692130419343</c:v>
                </c:pt>
                <c:pt idx="901">
                  <c:v>0.25035312780691332</c:v>
                </c:pt>
                <c:pt idx="902">
                  <c:v>0.26722162943889383</c:v>
                </c:pt>
                <c:pt idx="903">
                  <c:v>0.29864795909859493</c:v>
                </c:pt>
                <c:pt idx="904">
                  <c:v>0.26451739492827653</c:v>
                </c:pt>
                <c:pt idx="905">
                  <c:v>0.2736182496873833</c:v>
                </c:pt>
                <c:pt idx="906">
                  <c:v>0.29186435428002988</c:v>
                </c:pt>
                <c:pt idx="907">
                  <c:v>0.26501801920817764</c:v>
                </c:pt>
                <c:pt idx="908">
                  <c:v>0.23183602218013372</c:v>
                </c:pt>
                <c:pt idx="909">
                  <c:v>0.1747830227317789</c:v>
                </c:pt>
                <c:pt idx="910">
                  <c:v>0.23497241808162822</c:v>
                </c:pt>
                <c:pt idx="911">
                  <c:v>0.24337213819711442</c:v>
                </c:pt>
                <c:pt idx="912">
                  <c:v>0.22833957388267767</c:v>
                </c:pt>
                <c:pt idx="913">
                  <c:v>0.25595409020743659</c:v>
                </c:pt>
                <c:pt idx="914">
                  <c:v>0.26837623004479072</c:v>
                </c:pt>
                <c:pt idx="915">
                  <c:v>0.24489187609585039</c:v>
                </c:pt>
                <c:pt idx="916">
                  <c:v>0.25599962156644029</c:v>
                </c:pt>
                <c:pt idx="917">
                  <c:v>0.30591648546408851</c:v>
                </c:pt>
                <c:pt idx="918">
                  <c:v>0.34108999271223195</c:v>
                </c:pt>
                <c:pt idx="919">
                  <c:v>0.3371565912741088</c:v>
                </c:pt>
                <c:pt idx="920">
                  <c:v>0.30824196946377663</c:v>
                </c:pt>
                <c:pt idx="921">
                  <c:v>0.34250604151459529</c:v>
                </c:pt>
                <c:pt idx="922">
                  <c:v>0.30232347849422375</c:v>
                </c:pt>
                <c:pt idx="923">
                  <c:v>0.31097268661975558</c:v>
                </c:pt>
                <c:pt idx="924">
                  <c:v>0.33043342153318672</c:v>
                </c:pt>
                <c:pt idx="925">
                  <c:v>0.40303677608266486</c:v>
                </c:pt>
                <c:pt idx="926">
                  <c:v>0.43949431244675746</c:v>
                </c:pt>
                <c:pt idx="927">
                  <c:v>0.48460775256514682</c:v>
                </c:pt>
                <c:pt idx="928">
                  <c:v>0.37685582742744816</c:v>
                </c:pt>
                <c:pt idx="929">
                  <c:v>0.37609710339198721</c:v>
                </c:pt>
                <c:pt idx="930">
                  <c:v>0.3798275987831512</c:v>
                </c:pt>
                <c:pt idx="931">
                  <c:v>0.38083476863796967</c:v>
                </c:pt>
                <c:pt idx="932">
                  <c:v>0.44026475711845137</c:v>
                </c:pt>
                <c:pt idx="933">
                  <c:v>0.42961327709228525</c:v>
                </c:pt>
                <c:pt idx="934">
                  <c:v>0.42170997806365895</c:v>
                </c:pt>
                <c:pt idx="935">
                  <c:v>0.47207611258594817</c:v>
                </c:pt>
                <c:pt idx="936">
                  <c:v>0.42387746351462291</c:v>
                </c:pt>
                <c:pt idx="937">
                  <c:v>0.40542303089706638</c:v>
                </c:pt>
                <c:pt idx="938">
                  <c:v>0.40800622962383337</c:v>
                </c:pt>
                <c:pt idx="939">
                  <c:v>0.34703303776266742</c:v>
                </c:pt>
                <c:pt idx="940">
                  <c:v>0.32718741452166644</c:v>
                </c:pt>
                <c:pt idx="941">
                  <c:v>0.30328197680323371</c:v>
                </c:pt>
                <c:pt idx="942">
                  <c:v>0.26461252490883169</c:v>
                </c:pt>
                <c:pt idx="943">
                  <c:v>0.25681608163675984</c:v>
                </c:pt>
                <c:pt idx="944">
                  <c:v>0.27531428795104479</c:v>
                </c:pt>
                <c:pt idx="945">
                  <c:v>0.23497476455985625</c:v>
                </c:pt>
                <c:pt idx="946">
                  <c:v>0.2134632250595232</c:v>
                </c:pt>
                <c:pt idx="947">
                  <c:v>0.1533819808775615</c:v>
                </c:pt>
                <c:pt idx="948">
                  <c:v>0.13640588798401754</c:v>
                </c:pt>
                <c:pt idx="949">
                  <c:v>0.14411146579154177</c:v>
                </c:pt>
                <c:pt idx="950">
                  <c:v>0.15360392314860358</c:v>
                </c:pt>
                <c:pt idx="951">
                  <c:v>0.15524406728931608</c:v>
                </c:pt>
                <c:pt idx="952">
                  <c:v>0.17210835490119322</c:v>
                </c:pt>
                <c:pt idx="953">
                  <c:v>0.17466473102342062</c:v>
                </c:pt>
                <c:pt idx="954">
                  <c:v>0.18149016910852667</c:v>
                </c:pt>
                <c:pt idx="955">
                  <c:v>0.19317364848399615</c:v>
                </c:pt>
                <c:pt idx="956">
                  <c:v>0.20955404361809241</c:v>
                </c:pt>
                <c:pt idx="957">
                  <c:v>0.21440465375189469</c:v>
                </c:pt>
                <c:pt idx="958">
                  <c:v>0.25943696534026739</c:v>
                </c:pt>
                <c:pt idx="959">
                  <c:v>0.27880513594279305</c:v>
                </c:pt>
                <c:pt idx="960">
                  <c:v>0.29980396222957395</c:v>
                </c:pt>
                <c:pt idx="961">
                  <c:v>0.37113810887997523</c:v>
                </c:pt>
                <c:pt idx="962">
                  <c:v>0.38256120114288955</c:v>
                </c:pt>
                <c:pt idx="963">
                  <c:v>0.40808476435131219</c:v>
                </c:pt>
                <c:pt idx="964">
                  <c:v>0.41945283093821695</c:v>
                </c:pt>
                <c:pt idx="965">
                  <c:v>0.34449755538616161</c:v>
                </c:pt>
                <c:pt idx="966">
                  <c:v>0.32722729716538201</c:v>
                </c:pt>
                <c:pt idx="967">
                  <c:v>0.31603935662995691</c:v>
                </c:pt>
                <c:pt idx="968">
                  <c:v>0.33358379794518833</c:v>
                </c:pt>
                <c:pt idx="969">
                  <c:v>0.29123935327550032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8E-43B3-BD0D-B9A984FB23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9788559"/>
        <c:axId val="539790479"/>
      </c:lineChart>
      <c:dateAx>
        <c:axId val="539788559"/>
        <c:scaling>
          <c:orientation val="minMax"/>
        </c:scaling>
        <c:delete val="0"/>
        <c:axPos val="b"/>
        <c:numFmt formatCode="[$-409]d\-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790479"/>
        <c:crosses val="autoZero"/>
        <c:auto val="1"/>
        <c:lblOffset val="100"/>
        <c:baseTimeUnit val="days"/>
      </c:dateAx>
      <c:valAx>
        <c:axId val="539790479"/>
        <c:scaling>
          <c:orientation val="minMax"/>
          <c:max val="0.48000000000000004"/>
          <c:min val="4.0000000000000008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788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image" Target="../media/image1.jpeg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7</xdr:row>
      <xdr:rowOff>23812</xdr:rowOff>
    </xdr:from>
    <xdr:to>
      <xdr:col>51</xdr:col>
      <xdr:colOff>266700</xdr:colOff>
      <xdr:row>26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353F52-1361-6686-00CA-73AA6432F5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61</xdr:col>
      <xdr:colOff>162350</xdr:colOff>
      <xdr:row>104</xdr:row>
      <xdr:rowOff>168852</xdr:rowOff>
    </xdr:from>
    <xdr:to>
      <xdr:col>73</xdr:col>
      <xdr:colOff>211282</xdr:colOff>
      <xdr:row>130</xdr:row>
      <xdr:rowOff>94804</xdr:rowOff>
    </xdr:to>
    <xdr:pic>
      <xdr:nvPicPr>
        <xdr:cNvPr id="3" name="Picture 2" descr="Image">
          <a:extLst>
            <a:ext uri="{FF2B5EF4-FFF2-40B4-BE49-F238E27FC236}">
              <a16:creationId xmlns:a16="http://schemas.microsoft.com/office/drawing/2014/main" id="{53F4FB95-FFA9-E2D8-CC40-57940BBBE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3577" y="19980852"/>
          <a:ext cx="7322569" cy="48789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0</xdr:colOff>
      <xdr:row>29</xdr:row>
      <xdr:rowOff>0</xdr:rowOff>
    </xdr:from>
    <xdr:to>
      <xdr:col>51</xdr:col>
      <xdr:colOff>209550</xdr:colOff>
      <xdr:row>48</xdr:row>
      <xdr:rowOff>147638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98CB8CC-3465-420B-B6B7-FCE39CCE84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39</xdr:col>
      <xdr:colOff>0</xdr:colOff>
      <xdr:row>51</xdr:row>
      <xdr:rowOff>0</xdr:rowOff>
    </xdr:from>
    <xdr:to>
      <xdr:col>51</xdr:col>
      <xdr:colOff>209550</xdr:colOff>
      <xdr:row>70</xdr:row>
      <xdr:rowOff>147638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645A822-10F9-45F1-A8D3-C78A37FD3B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39</xdr:col>
      <xdr:colOff>0</xdr:colOff>
      <xdr:row>72</xdr:row>
      <xdr:rowOff>0</xdr:rowOff>
    </xdr:from>
    <xdr:to>
      <xdr:col>51</xdr:col>
      <xdr:colOff>209550</xdr:colOff>
      <xdr:row>91</xdr:row>
      <xdr:rowOff>147638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94C5E40-8D8A-454A-9826-0B438EBC32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38</xdr:col>
      <xdr:colOff>609599</xdr:colOff>
      <xdr:row>100</xdr:row>
      <xdr:rowOff>0</xdr:rowOff>
    </xdr:from>
    <xdr:to>
      <xdr:col>58</xdr:col>
      <xdr:colOff>447674</xdr:colOff>
      <xdr:row>132</xdr:row>
      <xdr:rowOff>57150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6130404-3F59-4D86-AF32-170C13C5DE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39</xdr:col>
      <xdr:colOff>0</xdr:colOff>
      <xdr:row>135</xdr:row>
      <xdr:rowOff>0</xdr:rowOff>
    </xdr:from>
    <xdr:to>
      <xdr:col>58</xdr:col>
      <xdr:colOff>447675</xdr:colOff>
      <xdr:row>167</xdr:row>
      <xdr:rowOff>57150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9183C7F-BC2B-4E9F-B1C7-F6FA4D76A3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0EC47-D19C-4268-8E61-7A50BA0439AD}">
  <dimension ref="B2:AP1948"/>
  <sheetViews>
    <sheetView tabSelected="1" topLeftCell="AH109" zoomScaleNormal="100" workbookViewId="0">
      <selection activeCell="AX1" sqref="AX1"/>
    </sheetView>
  </sheetViews>
  <sheetFormatPr defaultRowHeight="15" x14ac:dyDescent="0.25"/>
  <cols>
    <col min="2" max="2" width="10.42578125" bestFit="1" customWidth="1"/>
    <col min="3" max="3" width="14.7109375" bestFit="1" customWidth="1"/>
    <col min="13" max="13" width="9.140625" style="3"/>
    <col min="25" max="25" width="9.140625" style="5"/>
  </cols>
  <sheetData>
    <row r="2" spans="2:42" x14ac:dyDescent="0.25">
      <c r="N2" t="s">
        <v>8</v>
      </c>
      <c r="O2" t="s">
        <v>9</v>
      </c>
      <c r="T2" t="s">
        <v>11</v>
      </c>
      <c r="U2" t="s">
        <v>12</v>
      </c>
    </row>
    <row r="3" spans="2:42" x14ac:dyDescent="0.25">
      <c r="B3" t="s">
        <v>2</v>
      </c>
      <c r="C3" s="1">
        <v>39447</v>
      </c>
      <c r="N3" t="s">
        <v>15</v>
      </c>
      <c r="O3" t="s">
        <v>16</v>
      </c>
      <c r="T3" t="s">
        <v>17</v>
      </c>
      <c r="U3" t="s">
        <v>18</v>
      </c>
      <c r="AP3" t="str">
        <f ca="1">"WTI - Manage Money Short (%) - Last Value: "&amp;TEXT(AP4,"0.0%")</f>
        <v>WTI - Manage Money Short (%) - Last Value: 35.1%</v>
      </c>
    </row>
    <row r="4" spans="2:42" x14ac:dyDescent="0.25">
      <c r="B4" t="s">
        <v>3</v>
      </c>
      <c r="F4" t="s">
        <v>23</v>
      </c>
      <c r="G4" t="s">
        <v>24</v>
      </c>
      <c r="AP4">
        <f ca="1">+OFFSET($F$9,AP5-1,0)</f>
        <v>0.35097164571208178</v>
      </c>
    </row>
    <row r="5" spans="2:42" x14ac:dyDescent="0.25">
      <c r="C5" t="s">
        <v>22</v>
      </c>
      <c r="I5" t="s">
        <v>21</v>
      </c>
      <c r="N5" t="s">
        <v>19</v>
      </c>
      <c r="T5" t="s">
        <v>20</v>
      </c>
      <c r="Z5" t="s">
        <v>25</v>
      </c>
      <c r="AE5" t="s">
        <v>26</v>
      </c>
      <c r="AP5">
        <f>+COUNT(F:F)</f>
        <v>976</v>
      </c>
    </row>
    <row r="6" spans="2:42" x14ac:dyDescent="0.25">
      <c r="C6" t="s">
        <v>1</v>
      </c>
      <c r="D6" t="s">
        <v>0</v>
      </c>
      <c r="I6" t="s">
        <v>6</v>
      </c>
      <c r="J6" t="s">
        <v>7</v>
      </c>
      <c r="N6" t="s">
        <v>15</v>
      </c>
      <c r="O6" t="s">
        <v>16</v>
      </c>
      <c r="T6" t="s">
        <v>17</v>
      </c>
      <c r="U6" t="s">
        <v>18</v>
      </c>
      <c r="Z6" t="s">
        <v>13</v>
      </c>
      <c r="AA6" t="s">
        <v>14</v>
      </c>
      <c r="AE6" t="s">
        <v>13</v>
      </c>
      <c r="AF6" t="s">
        <v>14</v>
      </c>
    </row>
    <row r="7" spans="2:42" x14ac:dyDescent="0.25">
      <c r="C7" t="str">
        <f>_xll.BFieldInfo(C$8)</f>
        <v>Last Price</v>
      </c>
      <c r="D7" t="str">
        <f>_xll.BFieldInfo(D$8)</f>
        <v>Last Price</v>
      </c>
      <c r="I7" t="str">
        <f>_xll.BFieldInfo(I$8)</f>
        <v>Last Price</v>
      </c>
      <c r="J7" t="str">
        <f>_xll.BFieldInfo(J$8)</f>
        <v>Last Price</v>
      </c>
      <c r="N7" t="str">
        <f>_xll.BFieldInfo(N$8)</f>
        <v>Last Price</v>
      </c>
      <c r="O7" t="str">
        <f>_xll.BFieldInfo(O$8)</f>
        <v>Last Price</v>
      </c>
      <c r="T7" t="str">
        <f>_xll.BFieldInfo(T$8)</f>
        <v>Last Price</v>
      </c>
      <c r="U7" t="str">
        <f>_xll.BFieldInfo(U$8)</f>
        <v>Last Price</v>
      </c>
    </row>
    <row r="8" spans="2:42" x14ac:dyDescent="0.25">
      <c r="B8" t="s">
        <v>4</v>
      </c>
      <c r="C8" t="s">
        <v>5</v>
      </c>
      <c r="D8" t="s">
        <v>5</v>
      </c>
      <c r="I8" t="s">
        <v>5</v>
      </c>
      <c r="J8" t="s">
        <v>5</v>
      </c>
      <c r="N8" t="s">
        <v>5</v>
      </c>
      <c r="O8" t="s">
        <v>5</v>
      </c>
      <c r="T8" t="s">
        <v>5</v>
      </c>
      <c r="U8" t="s">
        <v>5</v>
      </c>
    </row>
    <row r="9" spans="2:42" x14ac:dyDescent="0.25">
      <c r="B9" s="1">
        <f>_xll.BDH(C$6,C$8,$C3,$C4,"Dir=V","Per=W","Days=A","Dts=S","cols=2;rows=976")</f>
        <v>39448</v>
      </c>
      <c r="C9">
        <v>166165</v>
      </c>
      <c r="D9">
        <f>_xll.BDH(D$6,D$8,$C3,$C4,"Dir=V","Per=W","Days=A","Dts=H","cols=1;rows=976")</f>
        <v>78760</v>
      </c>
      <c r="F9" s="2">
        <f>+D9/SUM(C9:D9)</f>
        <v>0.32156782688578134</v>
      </c>
      <c r="I9">
        <f>_xll.BDH(I$6,I$8,$C3,$C4,"Dir=V","Per=W","Days=A","Dts=H","cols=1;rows=976")</f>
        <v>204081</v>
      </c>
      <c r="J9">
        <f>_xll.BDH(J$6,J$8,$C3,$C4,"Dir=V","Per=W","Days=A","Dts=H","cols=1;rows=976")</f>
        <v>82585</v>
      </c>
      <c r="L9" s="2">
        <f>+J9/SUM(I9:J9)</f>
        <v>0.28808787927413787</v>
      </c>
      <c r="N9" t="str">
        <f>_xll.BDH(N$6,N$8,$C3,$C4,"Dir=V","Per=W","Days=A","Dts=H","cols=1;rows=976")</f>
        <v>#N/A N/A</v>
      </c>
      <c r="O9" t="str">
        <f>_xll.BDH(O$6,O$8,$C3,$C4,"Dir=V","Per=W","Days=A","Dts=H","cols=1;rows=976")</f>
        <v>#N/A N/A</v>
      </c>
      <c r="Q9" s="2" t="e">
        <f>+O9/SUM(N9:O9)</f>
        <v>#VALUE!</v>
      </c>
      <c r="T9" t="str">
        <f>_xll.BDH(T$6,T$8,$C3,$C4,"Dir=V","Per=W","Days=A","Dts=H","cols=1;rows=976")</f>
        <v>#N/A N/A</v>
      </c>
      <c r="U9" t="str">
        <f>_xll.BDH(U$6,U$8,$C3,$C4,"Dir=V","Per=W","Days=A","Dts=H","cols=1;rows=976")</f>
        <v>#N/A N/A</v>
      </c>
      <c r="W9" s="2" t="e">
        <f>+U9/SUM(T9:U9)</f>
        <v>#VALUE!</v>
      </c>
      <c r="Z9">
        <f t="shared" ref="Z9:Z72" si="0">IFERROR(+C9+N9,C9)</f>
        <v>166165</v>
      </c>
      <c r="AA9">
        <f t="shared" ref="AA9:AA72" si="1">IFERROR(+D9+O9,D9)</f>
        <v>78760</v>
      </c>
      <c r="AC9" s="2">
        <f>+AA9/SUM(Z9:AA9)</f>
        <v>0.32156782688578134</v>
      </c>
      <c r="AD9" s="2"/>
      <c r="AE9">
        <f>IFERROR(+I9+T9,I9)</f>
        <v>204081</v>
      </c>
      <c r="AF9">
        <f>IFERROR(+J9+U9,J9)</f>
        <v>82585</v>
      </c>
      <c r="AH9" s="2">
        <f>+AF9/SUM(AE9:AF9)</f>
        <v>0.28808787927413787</v>
      </c>
      <c r="AI9" s="2"/>
      <c r="AJ9" s="2"/>
    </row>
    <row r="10" spans="2:42" x14ac:dyDescent="0.25">
      <c r="B10" s="1">
        <v>39455</v>
      </c>
      <c r="C10">
        <v>168249</v>
      </c>
      <c r="D10">
        <v>79900</v>
      </c>
      <c r="F10" s="2">
        <f t="shared" ref="F10:F73" si="2">+D10/SUM(C10:D10)</f>
        <v>0.32198396930876205</v>
      </c>
      <c r="I10">
        <v>205521</v>
      </c>
      <c r="J10">
        <v>83543</v>
      </c>
      <c r="L10" s="2">
        <f t="shared" ref="L10:L73" si="3">+J10/SUM(I10:J10)</f>
        <v>0.2890121218830432</v>
      </c>
      <c r="N10" t="s">
        <v>10</v>
      </c>
      <c r="O10" t="s">
        <v>10</v>
      </c>
      <c r="Q10" s="2" t="e">
        <f t="shared" ref="Q10:Q73" si="4">+O10/SUM(N10:O10)</f>
        <v>#VALUE!</v>
      </c>
      <c r="T10" t="s">
        <v>10</v>
      </c>
      <c r="U10" t="s">
        <v>10</v>
      </c>
      <c r="W10" s="2" t="e">
        <f t="shared" ref="W10:W73" si="5">+U10/SUM(T10:U10)</f>
        <v>#VALUE!</v>
      </c>
      <c r="Z10">
        <f t="shared" si="0"/>
        <v>168249</v>
      </c>
      <c r="AA10">
        <f t="shared" si="1"/>
        <v>79900</v>
      </c>
      <c r="AC10" s="2">
        <f t="shared" ref="AC10:AC73" si="6">+AA10/SUM(Z10:AA10)</f>
        <v>0.32198396930876205</v>
      </c>
      <c r="AD10" s="2"/>
      <c r="AE10">
        <f t="shared" ref="AE10:AE73" si="7">IFERROR(+I10+T10,I10)</f>
        <v>205521</v>
      </c>
      <c r="AF10">
        <f t="shared" ref="AF10:AF73" si="8">IFERROR(+J10+U10,J10)</f>
        <v>83543</v>
      </c>
      <c r="AH10" s="2">
        <f t="shared" ref="AH10:AH73" si="9">+AF10/SUM(AE10:AF10)</f>
        <v>0.2890121218830432</v>
      </c>
      <c r="AI10" s="2"/>
      <c r="AJ10" s="2"/>
    </row>
    <row r="11" spans="2:42" x14ac:dyDescent="0.25">
      <c r="B11" s="1">
        <v>39462</v>
      </c>
      <c r="C11">
        <v>159629</v>
      </c>
      <c r="D11">
        <v>78094</v>
      </c>
      <c r="F11" s="2">
        <f t="shared" si="2"/>
        <v>0.32850839001695248</v>
      </c>
      <c r="I11">
        <v>191078</v>
      </c>
      <c r="J11">
        <v>83119</v>
      </c>
      <c r="L11" s="2">
        <f t="shared" si="3"/>
        <v>0.30313606640481117</v>
      </c>
      <c r="N11" t="s">
        <v>10</v>
      </c>
      <c r="O11" t="s">
        <v>10</v>
      </c>
      <c r="Q11" s="2" t="e">
        <f t="shared" si="4"/>
        <v>#VALUE!</v>
      </c>
      <c r="T11" t="s">
        <v>10</v>
      </c>
      <c r="U11" t="s">
        <v>10</v>
      </c>
      <c r="W11" s="2" t="e">
        <f t="shared" si="5"/>
        <v>#VALUE!</v>
      </c>
      <c r="Z11">
        <f t="shared" si="0"/>
        <v>159629</v>
      </c>
      <c r="AA11">
        <f t="shared" si="1"/>
        <v>78094</v>
      </c>
      <c r="AC11" s="2">
        <f t="shared" si="6"/>
        <v>0.32850839001695248</v>
      </c>
      <c r="AD11" s="2"/>
      <c r="AE11">
        <f t="shared" si="7"/>
        <v>191078</v>
      </c>
      <c r="AF11">
        <f t="shared" si="8"/>
        <v>83119</v>
      </c>
      <c r="AH11" s="2">
        <f t="shared" si="9"/>
        <v>0.30313606640481117</v>
      </c>
      <c r="AI11" s="2"/>
      <c r="AJ11" s="2"/>
    </row>
    <row r="12" spans="2:42" x14ac:dyDescent="0.25">
      <c r="B12" s="1">
        <v>39469</v>
      </c>
      <c r="C12">
        <v>143008</v>
      </c>
      <c r="D12">
        <v>86198</v>
      </c>
      <c r="F12" s="2">
        <f t="shared" si="2"/>
        <v>0.37607217961135397</v>
      </c>
      <c r="I12">
        <v>178238</v>
      </c>
      <c r="J12">
        <v>91916</v>
      </c>
      <c r="L12" s="2">
        <f t="shared" si="3"/>
        <v>0.34023556934193089</v>
      </c>
      <c r="N12" t="s">
        <v>10</v>
      </c>
      <c r="O12" t="s">
        <v>10</v>
      </c>
      <c r="Q12" s="2" t="e">
        <f t="shared" si="4"/>
        <v>#VALUE!</v>
      </c>
      <c r="T12" t="s">
        <v>10</v>
      </c>
      <c r="U12" t="s">
        <v>10</v>
      </c>
      <c r="W12" s="2" t="e">
        <f t="shared" si="5"/>
        <v>#VALUE!</v>
      </c>
      <c r="Z12">
        <f t="shared" si="0"/>
        <v>143008</v>
      </c>
      <c r="AA12">
        <f t="shared" si="1"/>
        <v>86198</v>
      </c>
      <c r="AC12" s="2">
        <f t="shared" si="6"/>
        <v>0.37607217961135397</v>
      </c>
      <c r="AD12" s="2"/>
      <c r="AE12">
        <f t="shared" si="7"/>
        <v>178238</v>
      </c>
      <c r="AF12">
        <f t="shared" si="8"/>
        <v>91916</v>
      </c>
      <c r="AH12" s="2">
        <f t="shared" si="9"/>
        <v>0.34023556934193089</v>
      </c>
      <c r="AI12" s="2"/>
      <c r="AJ12" s="2"/>
    </row>
    <row r="13" spans="2:42" x14ac:dyDescent="0.25">
      <c r="B13" s="1">
        <v>39476</v>
      </c>
      <c r="C13">
        <v>149947</v>
      </c>
      <c r="D13">
        <v>100831</v>
      </c>
      <c r="F13" s="2">
        <f t="shared" si="2"/>
        <v>0.40207274960323475</v>
      </c>
      <c r="I13">
        <v>186008</v>
      </c>
      <c r="J13">
        <v>101487</v>
      </c>
      <c r="L13" s="2">
        <f t="shared" si="3"/>
        <v>0.35300440007652306</v>
      </c>
      <c r="N13" t="s">
        <v>10</v>
      </c>
      <c r="O13" t="s">
        <v>10</v>
      </c>
      <c r="Q13" s="2" t="e">
        <f t="shared" si="4"/>
        <v>#VALUE!</v>
      </c>
      <c r="T13" t="s">
        <v>10</v>
      </c>
      <c r="U13" t="s">
        <v>10</v>
      </c>
      <c r="W13" s="2" t="e">
        <f t="shared" si="5"/>
        <v>#VALUE!</v>
      </c>
      <c r="Z13">
        <f t="shared" si="0"/>
        <v>149947</v>
      </c>
      <c r="AA13">
        <f t="shared" si="1"/>
        <v>100831</v>
      </c>
      <c r="AC13" s="2">
        <f t="shared" si="6"/>
        <v>0.40207274960323475</v>
      </c>
      <c r="AD13" s="2"/>
      <c r="AE13">
        <f t="shared" si="7"/>
        <v>186008</v>
      </c>
      <c r="AF13">
        <f t="shared" si="8"/>
        <v>101487</v>
      </c>
      <c r="AH13" s="2">
        <f t="shared" si="9"/>
        <v>0.35300440007652306</v>
      </c>
      <c r="AI13" s="2"/>
      <c r="AJ13" s="2"/>
    </row>
    <row r="14" spans="2:42" x14ac:dyDescent="0.25">
      <c r="B14" s="1">
        <v>39483</v>
      </c>
      <c r="C14">
        <v>142618</v>
      </c>
      <c r="D14">
        <v>96987</v>
      </c>
      <c r="F14" s="2">
        <f t="shared" si="2"/>
        <v>0.40477869827424301</v>
      </c>
      <c r="I14">
        <v>175552</v>
      </c>
      <c r="J14">
        <v>104208</v>
      </c>
      <c r="L14" s="2">
        <f t="shared" si="3"/>
        <v>0.3724907063197026</v>
      </c>
      <c r="N14" t="s">
        <v>10</v>
      </c>
      <c r="O14" t="s">
        <v>10</v>
      </c>
      <c r="Q14" s="2" t="e">
        <f t="shared" si="4"/>
        <v>#VALUE!</v>
      </c>
      <c r="T14" t="s">
        <v>10</v>
      </c>
      <c r="U14" t="s">
        <v>10</v>
      </c>
      <c r="W14" s="2" t="e">
        <f t="shared" si="5"/>
        <v>#VALUE!</v>
      </c>
      <c r="Z14">
        <f t="shared" si="0"/>
        <v>142618</v>
      </c>
      <c r="AA14">
        <f t="shared" si="1"/>
        <v>96987</v>
      </c>
      <c r="AC14" s="2">
        <f t="shared" si="6"/>
        <v>0.40477869827424301</v>
      </c>
      <c r="AD14" s="2"/>
      <c r="AE14">
        <f t="shared" si="7"/>
        <v>175552</v>
      </c>
      <c r="AF14">
        <f t="shared" si="8"/>
        <v>104208</v>
      </c>
      <c r="AH14" s="2">
        <f t="shared" si="9"/>
        <v>0.3724907063197026</v>
      </c>
      <c r="AI14" s="2"/>
      <c r="AJ14" s="2"/>
    </row>
    <row r="15" spans="2:42" x14ac:dyDescent="0.25">
      <c r="B15" s="1">
        <v>39490</v>
      </c>
      <c r="C15">
        <v>158999</v>
      </c>
      <c r="D15">
        <v>91352</v>
      </c>
      <c r="F15" s="2">
        <f t="shared" si="2"/>
        <v>0.36489568645621545</v>
      </c>
      <c r="I15">
        <v>198900</v>
      </c>
      <c r="J15">
        <v>94719</v>
      </c>
      <c r="L15" s="2">
        <f t="shared" si="3"/>
        <v>0.32259152166583227</v>
      </c>
      <c r="N15" t="s">
        <v>10</v>
      </c>
      <c r="O15" t="s">
        <v>10</v>
      </c>
      <c r="Q15" s="2" t="e">
        <f t="shared" si="4"/>
        <v>#VALUE!</v>
      </c>
      <c r="T15" t="s">
        <v>10</v>
      </c>
      <c r="U15" t="s">
        <v>10</v>
      </c>
      <c r="W15" s="2" t="e">
        <f t="shared" si="5"/>
        <v>#VALUE!</v>
      </c>
      <c r="Z15">
        <f t="shared" si="0"/>
        <v>158999</v>
      </c>
      <c r="AA15">
        <f t="shared" si="1"/>
        <v>91352</v>
      </c>
      <c r="AC15" s="2">
        <f t="shared" si="6"/>
        <v>0.36489568645621545</v>
      </c>
      <c r="AD15" s="2"/>
      <c r="AE15">
        <f t="shared" si="7"/>
        <v>198900</v>
      </c>
      <c r="AF15">
        <f t="shared" si="8"/>
        <v>94719</v>
      </c>
      <c r="AH15" s="2">
        <f t="shared" si="9"/>
        <v>0.32259152166583227</v>
      </c>
      <c r="AI15" s="2"/>
      <c r="AJ15" s="2"/>
    </row>
    <row r="16" spans="2:42" x14ac:dyDescent="0.25">
      <c r="B16" s="1">
        <v>39497</v>
      </c>
      <c r="C16">
        <v>172891</v>
      </c>
      <c r="D16">
        <v>91679</v>
      </c>
      <c r="F16" s="2">
        <f t="shared" si="2"/>
        <v>0.34652076955059152</v>
      </c>
      <c r="I16">
        <v>220948</v>
      </c>
      <c r="J16">
        <v>91355</v>
      </c>
      <c r="L16" s="2">
        <f t="shared" si="3"/>
        <v>0.29252040486322578</v>
      </c>
      <c r="N16" t="s">
        <v>10</v>
      </c>
      <c r="O16" t="s">
        <v>10</v>
      </c>
      <c r="Q16" s="2" t="e">
        <f t="shared" si="4"/>
        <v>#VALUE!</v>
      </c>
      <c r="T16" t="s">
        <v>10</v>
      </c>
      <c r="U16" t="s">
        <v>10</v>
      </c>
      <c r="W16" s="2" t="e">
        <f t="shared" si="5"/>
        <v>#VALUE!</v>
      </c>
      <c r="Z16">
        <f t="shared" si="0"/>
        <v>172891</v>
      </c>
      <c r="AA16">
        <f t="shared" si="1"/>
        <v>91679</v>
      </c>
      <c r="AC16" s="2">
        <f t="shared" si="6"/>
        <v>0.34652076955059152</v>
      </c>
      <c r="AD16" s="2"/>
      <c r="AE16">
        <f t="shared" si="7"/>
        <v>220948</v>
      </c>
      <c r="AF16">
        <f t="shared" si="8"/>
        <v>91355</v>
      </c>
      <c r="AH16" s="2">
        <f t="shared" si="9"/>
        <v>0.29252040486322578</v>
      </c>
      <c r="AI16" s="2"/>
      <c r="AJ16" s="2"/>
    </row>
    <row r="17" spans="2:36" x14ac:dyDescent="0.25">
      <c r="B17" s="1">
        <v>39504</v>
      </c>
      <c r="C17">
        <v>193604</v>
      </c>
      <c r="D17">
        <v>90302</v>
      </c>
      <c r="F17" s="2">
        <f t="shared" si="2"/>
        <v>0.3180700654441963</v>
      </c>
      <c r="I17">
        <v>243995</v>
      </c>
      <c r="J17">
        <v>93507</v>
      </c>
      <c r="L17" s="2">
        <f t="shared" si="3"/>
        <v>0.27705613596363876</v>
      </c>
      <c r="N17" t="s">
        <v>10</v>
      </c>
      <c r="O17" t="s">
        <v>10</v>
      </c>
      <c r="Q17" s="2" t="e">
        <f t="shared" si="4"/>
        <v>#VALUE!</v>
      </c>
      <c r="T17" t="s">
        <v>10</v>
      </c>
      <c r="U17" t="s">
        <v>10</v>
      </c>
      <c r="W17" s="2" t="e">
        <f t="shared" si="5"/>
        <v>#VALUE!</v>
      </c>
      <c r="Z17">
        <f t="shared" si="0"/>
        <v>193604</v>
      </c>
      <c r="AA17">
        <f t="shared" si="1"/>
        <v>90302</v>
      </c>
      <c r="AC17" s="2">
        <f t="shared" si="6"/>
        <v>0.3180700654441963</v>
      </c>
      <c r="AD17" s="2"/>
      <c r="AE17">
        <f t="shared" si="7"/>
        <v>243995</v>
      </c>
      <c r="AF17">
        <f t="shared" si="8"/>
        <v>93507</v>
      </c>
      <c r="AH17" s="2">
        <f t="shared" si="9"/>
        <v>0.27705613596363876</v>
      </c>
      <c r="AI17" s="2"/>
      <c r="AJ17" s="2"/>
    </row>
    <row r="18" spans="2:36" x14ac:dyDescent="0.25">
      <c r="B18" s="1">
        <v>39511</v>
      </c>
      <c r="C18">
        <v>191931</v>
      </c>
      <c r="D18">
        <v>82559</v>
      </c>
      <c r="F18" s="2">
        <f t="shared" si="2"/>
        <v>0.30077234143320342</v>
      </c>
      <c r="I18">
        <v>231886</v>
      </c>
      <c r="J18">
        <v>87857</v>
      </c>
      <c r="L18" s="2">
        <f t="shared" si="3"/>
        <v>0.27477380271030172</v>
      </c>
      <c r="N18" t="s">
        <v>10</v>
      </c>
      <c r="O18" t="s">
        <v>10</v>
      </c>
      <c r="Q18" s="2" t="e">
        <f t="shared" si="4"/>
        <v>#VALUE!</v>
      </c>
      <c r="T18" t="s">
        <v>10</v>
      </c>
      <c r="U18" t="s">
        <v>10</v>
      </c>
      <c r="W18" s="2" t="e">
        <f t="shared" si="5"/>
        <v>#VALUE!</v>
      </c>
      <c r="Z18">
        <f t="shared" si="0"/>
        <v>191931</v>
      </c>
      <c r="AA18">
        <f t="shared" si="1"/>
        <v>82559</v>
      </c>
      <c r="AC18" s="2">
        <f t="shared" si="6"/>
        <v>0.30077234143320342</v>
      </c>
      <c r="AD18" s="2"/>
      <c r="AE18">
        <f t="shared" si="7"/>
        <v>231886</v>
      </c>
      <c r="AF18">
        <f t="shared" si="8"/>
        <v>87857</v>
      </c>
      <c r="AH18" s="2">
        <f t="shared" si="9"/>
        <v>0.27477380271030172</v>
      </c>
      <c r="AI18" s="2"/>
      <c r="AJ18" s="2"/>
    </row>
    <row r="19" spans="2:36" x14ac:dyDescent="0.25">
      <c r="B19" s="1">
        <v>39518</v>
      </c>
      <c r="C19">
        <v>181744</v>
      </c>
      <c r="D19">
        <v>79612</v>
      </c>
      <c r="F19" s="2">
        <f t="shared" si="2"/>
        <v>0.3046113347311713</v>
      </c>
      <c r="I19">
        <v>231294</v>
      </c>
      <c r="J19">
        <v>81898</v>
      </c>
      <c r="L19" s="2">
        <f t="shared" si="3"/>
        <v>0.2614945464762829</v>
      </c>
      <c r="N19" t="s">
        <v>10</v>
      </c>
      <c r="O19" t="s">
        <v>10</v>
      </c>
      <c r="Q19" s="2" t="e">
        <f t="shared" si="4"/>
        <v>#VALUE!</v>
      </c>
      <c r="T19" t="s">
        <v>10</v>
      </c>
      <c r="U19" t="s">
        <v>10</v>
      </c>
      <c r="W19" s="2" t="e">
        <f t="shared" si="5"/>
        <v>#VALUE!</v>
      </c>
      <c r="Z19">
        <f t="shared" si="0"/>
        <v>181744</v>
      </c>
      <c r="AA19">
        <f t="shared" si="1"/>
        <v>79612</v>
      </c>
      <c r="AC19" s="2">
        <f t="shared" si="6"/>
        <v>0.3046113347311713</v>
      </c>
      <c r="AD19" s="2"/>
      <c r="AE19">
        <f t="shared" si="7"/>
        <v>231294</v>
      </c>
      <c r="AF19">
        <f t="shared" si="8"/>
        <v>81898</v>
      </c>
      <c r="AH19" s="2">
        <f t="shared" si="9"/>
        <v>0.2614945464762829</v>
      </c>
      <c r="AI19" s="2"/>
      <c r="AJ19" s="2"/>
    </row>
    <row r="20" spans="2:36" x14ac:dyDescent="0.25">
      <c r="B20" s="1">
        <v>39525</v>
      </c>
      <c r="C20">
        <v>174189</v>
      </c>
      <c r="D20">
        <v>83701</v>
      </c>
      <c r="F20" s="2">
        <f t="shared" si="2"/>
        <v>0.32456085928108885</v>
      </c>
      <c r="I20">
        <v>218118</v>
      </c>
      <c r="J20">
        <v>83732</v>
      </c>
      <c r="L20" s="2">
        <f t="shared" si="3"/>
        <v>0.27739605764452541</v>
      </c>
      <c r="N20" t="s">
        <v>10</v>
      </c>
      <c r="O20" t="s">
        <v>10</v>
      </c>
      <c r="Q20" s="2" t="e">
        <f t="shared" si="4"/>
        <v>#VALUE!</v>
      </c>
      <c r="T20" t="s">
        <v>10</v>
      </c>
      <c r="U20" t="s">
        <v>10</v>
      </c>
      <c r="W20" s="2" t="e">
        <f t="shared" si="5"/>
        <v>#VALUE!</v>
      </c>
      <c r="Z20">
        <f t="shared" si="0"/>
        <v>174189</v>
      </c>
      <c r="AA20">
        <f t="shared" si="1"/>
        <v>83701</v>
      </c>
      <c r="AC20" s="2">
        <f t="shared" si="6"/>
        <v>0.32456085928108885</v>
      </c>
      <c r="AD20" s="2"/>
      <c r="AE20">
        <f t="shared" si="7"/>
        <v>218118</v>
      </c>
      <c r="AF20">
        <f t="shared" si="8"/>
        <v>83732</v>
      </c>
      <c r="AH20" s="2">
        <f t="shared" si="9"/>
        <v>0.27739605764452541</v>
      </c>
      <c r="AI20" s="2"/>
      <c r="AJ20" s="2"/>
    </row>
    <row r="21" spans="2:36" x14ac:dyDescent="0.25">
      <c r="B21" s="1">
        <v>39532</v>
      </c>
      <c r="C21">
        <v>158336</v>
      </c>
      <c r="D21">
        <v>83950</v>
      </c>
      <c r="F21" s="2">
        <f t="shared" si="2"/>
        <v>0.34649133668474447</v>
      </c>
      <c r="I21">
        <v>198229</v>
      </c>
      <c r="J21">
        <v>85657</v>
      </c>
      <c r="L21" s="2">
        <f t="shared" si="3"/>
        <v>0.30173027201059582</v>
      </c>
      <c r="N21" t="s">
        <v>10</v>
      </c>
      <c r="O21" t="s">
        <v>10</v>
      </c>
      <c r="Q21" s="2" t="e">
        <f t="shared" si="4"/>
        <v>#VALUE!</v>
      </c>
      <c r="T21" t="s">
        <v>10</v>
      </c>
      <c r="U21" t="s">
        <v>10</v>
      </c>
      <c r="W21" s="2" t="e">
        <f t="shared" si="5"/>
        <v>#VALUE!</v>
      </c>
      <c r="Z21">
        <f t="shared" si="0"/>
        <v>158336</v>
      </c>
      <c r="AA21">
        <f t="shared" si="1"/>
        <v>83950</v>
      </c>
      <c r="AC21" s="2">
        <f t="shared" si="6"/>
        <v>0.34649133668474447</v>
      </c>
      <c r="AD21" s="2"/>
      <c r="AE21">
        <f t="shared" si="7"/>
        <v>198229</v>
      </c>
      <c r="AF21">
        <f t="shared" si="8"/>
        <v>85657</v>
      </c>
      <c r="AH21" s="2">
        <f t="shared" si="9"/>
        <v>0.30173027201059582</v>
      </c>
      <c r="AI21" s="2"/>
      <c r="AJ21" s="2"/>
    </row>
    <row r="22" spans="2:36" x14ac:dyDescent="0.25">
      <c r="B22" s="1">
        <v>39539</v>
      </c>
      <c r="C22">
        <v>157205</v>
      </c>
      <c r="D22">
        <v>95546</v>
      </c>
      <c r="F22" s="2">
        <f t="shared" si="2"/>
        <v>0.37802422146697739</v>
      </c>
      <c r="I22">
        <v>195918</v>
      </c>
      <c r="J22">
        <v>97707</v>
      </c>
      <c r="L22" s="2">
        <f t="shared" si="3"/>
        <v>0.3327611749680715</v>
      </c>
      <c r="N22" t="s">
        <v>10</v>
      </c>
      <c r="O22" t="s">
        <v>10</v>
      </c>
      <c r="Q22" s="2" t="e">
        <f t="shared" si="4"/>
        <v>#VALUE!</v>
      </c>
      <c r="T22" t="s">
        <v>10</v>
      </c>
      <c r="U22" t="s">
        <v>10</v>
      </c>
      <c r="W22" s="2" t="e">
        <f t="shared" si="5"/>
        <v>#VALUE!</v>
      </c>
      <c r="Z22">
        <f t="shared" si="0"/>
        <v>157205</v>
      </c>
      <c r="AA22">
        <f t="shared" si="1"/>
        <v>95546</v>
      </c>
      <c r="AC22" s="2">
        <f t="shared" si="6"/>
        <v>0.37802422146697739</v>
      </c>
      <c r="AD22" s="2"/>
      <c r="AE22">
        <f t="shared" si="7"/>
        <v>195918</v>
      </c>
      <c r="AF22">
        <f t="shared" si="8"/>
        <v>97707</v>
      </c>
      <c r="AH22" s="2">
        <f t="shared" si="9"/>
        <v>0.3327611749680715</v>
      </c>
      <c r="AI22" s="2"/>
      <c r="AJ22" s="2"/>
    </row>
    <row r="23" spans="2:36" x14ac:dyDescent="0.25">
      <c r="B23" s="1">
        <v>39546</v>
      </c>
      <c r="C23">
        <v>167882</v>
      </c>
      <c r="D23">
        <v>83521</v>
      </c>
      <c r="F23" s="2">
        <f t="shared" si="2"/>
        <v>0.33221958369629639</v>
      </c>
      <c r="I23">
        <v>212560</v>
      </c>
      <c r="J23">
        <v>86870</v>
      </c>
      <c r="L23" s="2">
        <f t="shared" si="3"/>
        <v>0.29011789065891863</v>
      </c>
      <c r="N23" t="s">
        <v>10</v>
      </c>
      <c r="O23" t="s">
        <v>10</v>
      </c>
      <c r="Q23" s="2" t="e">
        <f t="shared" si="4"/>
        <v>#VALUE!</v>
      </c>
      <c r="T23" t="s">
        <v>10</v>
      </c>
      <c r="U23" t="s">
        <v>10</v>
      </c>
      <c r="W23" s="2" t="e">
        <f t="shared" si="5"/>
        <v>#VALUE!</v>
      </c>
      <c r="Z23">
        <f t="shared" si="0"/>
        <v>167882</v>
      </c>
      <c r="AA23">
        <f t="shared" si="1"/>
        <v>83521</v>
      </c>
      <c r="AC23" s="2">
        <f t="shared" si="6"/>
        <v>0.33221958369629639</v>
      </c>
      <c r="AD23" s="2"/>
      <c r="AE23">
        <f t="shared" si="7"/>
        <v>212560</v>
      </c>
      <c r="AF23">
        <f t="shared" si="8"/>
        <v>86870</v>
      </c>
      <c r="AH23" s="2">
        <f t="shared" si="9"/>
        <v>0.29011789065891863</v>
      </c>
      <c r="AI23" s="2"/>
      <c r="AJ23" s="2"/>
    </row>
    <row r="24" spans="2:36" x14ac:dyDescent="0.25">
      <c r="B24" s="1">
        <v>39553</v>
      </c>
      <c r="C24">
        <v>175267</v>
      </c>
      <c r="D24">
        <v>83645</v>
      </c>
      <c r="F24" s="2">
        <f t="shared" si="2"/>
        <v>0.32306343468050919</v>
      </c>
      <c r="I24">
        <v>221608</v>
      </c>
      <c r="J24">
        <v>86864</v>
      </c>
      <c r="L24" s="2">
        <f t="shared" si="3"/>
        <v>0.281594439689826</v>
      </c>
      <c r="N24" t="s">
        <v>10</v>
      </c>
      <c r="O24" t="s">
        <v>10</v>
      </c>
      <c r="Q24" s="2" t="e">
        <f t="shared" si="4"/>
        <v>#VALUE!</v>
      </c>
      <c r="T24" t="s">
        <v>10</v>
      </c>
      <c r="U24" t="s">
        <v>10</v>
      </c>
      <c r="W24" s="2" t="e">
        <f t="shared" si="5"/>
        <v>#VALUE!</v>
      </c>
      <c r="Z24">
        <f t="shared" si="0"/>
        <v>175267</v>
      </c>
      <c r="AA24">
        <f t="shared" si="1"/>
        <v>83645</v>
      </c>
      <c r="AC24" s="2">
        <f t="shared" si="6"/>
        <v>0.32306343468050919</v>
      </c>
      <c r="AD24" s="2"/>
      <c r="AE24">
        <f t="shared" si="7"/>
        <v>221608</v>
      </c>
      <c r="AF24">
        <f t="shared" si="8"/>
        <v>86864</v>
      </c>
      <c r="AH24" s="2">
        <f t="shared" si="9"/>
        <v>0.281594439689826</v>
      </c>
      <c r="AI24" s="2"/>
      <c r="AJ24" s="2"/>
    </row>
    <row r="25" spans="2:36" x14ac:dyDescent="0.25">
      <c r="B25" s="1">
        <v>39560</v>
      </c>
      <c r="C25">
        <v>188485</v>
      </c>
      <c r="D25">
        <v>73743</v>
      </c>
      <c r="F25" s="2">
        <f t="shared" si="2"/>
        <v>0.28121710877556932</v>
      </c>
      <c r="I25">
        <v>227982</v>
      </c>
      <c r="J25">
        <v>78963</v>
      </c>
      <c r="L25" s="2">
        <f t="shared" si="3"/>
        <v>0.25725455700532668</v>
      </c>
      <c r="N25" t="s">
        <v>10</v>
      </c>
      <c r="O25" t="s">
        <v>10</v>
      </c>
      <c r="Q25" s="2" t="e">
        <f t="shared" si="4"/>
        <v>#VALUE!</v>
      </c>
      <c r="T25" t="s">
        <v>10</v>
      </c>
      <c r="U25" t="s">
        <v>10</v>
      </c>
      <c r="W25" s="2" t="e">
        <f t="shared" si="5"/>
        <v>#VALUE!</v>
      </c>
      <c r="Z25">
        <f t="shared" si="0"/>
        <v>188485</v>
      </c>
      <c r="AA25">
        <f t="shared" si="1"/>
        <v>73743</v>
      </c>
      <c r="AC25" s="2">
        <f t="shared" si="6"/>
        <v>0.28121710877556932</v>
      </c>
      <c r="AD25" s="2"/>
      <c r="AE25">
        <f t="shared" si="7"/>
        <v>227982</v>
      </c>
      <c r="AF25">
        <f t="shared" si="8"/>
        <v>78963</v>
      </c>
      <c r="AH25" s="2">
        <f t="shared" si="9"/>
        <v>0.25725455700532668</v>
      </c>
      <c r="AI25" s="2"/>
      <c r="AJ25" s="2"/>
    </row>
    <row r="26" spans="2:36" x14ac:dyDescent="0.25">
      <c r="B26" s="1">
        <v>39567</v>
      </c>
      <c r="C26">
        <v>195769</v>
      </c>
      <c r="D26">
        <v>86788</v>
      </c>
      <c r="F26" s="2">
        <f t="shared" si="2"/>
        <v>0.30715218522280457</v>
      </c>
      <c r="I26">
        <v>221842</v>
      </c>
      <c r="J26">
        <v>90079</v>
      </c>
      <c r="L26" s="2">
        <f t="shared" si="3"/>
        <v>0.28878786615841834</v>
      </c>
      <c r="N26" t="s">
        <v>10</v>
      </c>
      <c r="O26" t="s">
        <v>10</v>
      </c>
      <c r="Q26" s="2" t="e">
        <f t="shared" si="4"/>
        <v>#VALUE!</v>
      </c>
      <c r="T26" t="s">
        <v>10</v>
      </c>
      <c r="U26" t="s">
        <v>10</v>
      </c>
      <c r="W26" s="2" t="e">
        <f t="shared" si="5"/>
        <v>#VALUE!</v>
      </c>
      <c r="Z26">
        <f t="shared" si="0"/>
        <v>195769</v>
      </c>
      <c r="AA26">
        <f t="shared" si="1"/>
        <v>86788</v>
      </c>
      <c r="AC26" s="2">
        <f t="shared" si="6"/>
        <v>0.30715218522280457</v>
      </c>
      <c r="AD26" s="2"/>
      <c r="AE26">
        <f t="shared" si="7"/>
        <v>221842</v>
      </c>
      <c r="AF26">
        <f t="shared" si="8"/>
        <v>90079</v>
      </c>
      <c r="AH26" s="2">
        <f t="shared" si="9"/>
        <v>0.28878786615841834</v>
      </c>
      <c r="AI26" s="2"/>
      <c r="AJ26" s="2"/>
    </row>
    <row r="27" spans="2:36" x14ac:dyDescent="0.25">
      <c r="B27" s="1">
        <v>39574</v>
      </c>
      <c r="C27">
        <v>198202</v>
      </c>
      <c r="D27">
        <v>85026</v>
      </c>
      <c r="F27" s="2">
        <f t="shared" si="2"/>
        <v>0.30020336972333245</v>
      </c>
      <c r="I27">
        <v>237941</v>
      </c>
      <c r="J27">
        <v>92795</v>
      </c>
      <c r="L27" s="2">
        <f t="shared" si="3"/>
        <v>0.28057121087513909</v>
      </c>
      <c r="N27" t="s">
        <v>10</v>
      </c>
      <c r="O27" t="s">
        <v>10</v>
      </c>
      <c r="Q27" s="2" t="e">
        <f t="shared" si="4"/>
        <v>#VALUE!</v>
      </c>
      <c r="T27" t="s">
        <v>10</v>
      </c>
      <c r="U27" t="s">
        <v>10</v>
      </c>
      <c r="W27" s="2" t="e">
        <f t="shared" si="5"/>
        <v>#VALUE!</v>
      </c>
      <c r="Z27">
        <f t="shared" si="0"/>
        <v>198202</v>
      </c>
      <c r="AA27">
        <f t="shared" si="1"/>
        <v>85026</v>
      </c>
      <c r="AC27" s="2">
        <f t="shared" si="6"/>
        <v>0.30020336972333245</v>
      </c>
      <c r="AD27" s="2"/>
      <c r="AE27">
        <f t="shared" si="7"/>
        <v>237941</v>
      </c>
      <c r="AF27">
        <f t="shared" si="8"/>
        <v>92795</v>
      </c>
      <c r="AH27" s="2">
        <f t="shared" si="9"/>
        <v>0.28057121087513909</v>
      </c>
      <c r="AI27" s="2"/>
      <c r="AJ27" s="2"/>
    </row>
    <row r="28" spans="2:36" x14ac:dyDescent="0.25">
      <c r="B28" s="1">
        <v>39581</v>
      </c>
      <c r="C28">
        <v>190750</v>
      </c>
      <c r="D28">
        <v>86902</v>
      </c>
      <c r="F28" s="2">
        <f t="shared" si="2"/>
        <v>0.31298892138360251</v>
      </c>
      <c r="I28">
        <v>232169</v>
      </c>
      <c r="J28">
        <v>83953</v>
      </c>
      <c r="L28" s="2">
        <f t="shared" si="3"/>
        <v>0.26557151985625804</v>
      </c>
      <c r="N28" t="s">
        <v>10</v>
      </c>
      <c r="O28" t="s">
        <v>10</v>
      </c>
      <c r="Q28" s="2" t="e">
        <f t="shared" si="4"/>
        <v>#VALUE!</v>
      </c>
      <c r="T28" t="s">
        <v>10</v>
      </c>
      <c r="U28" t="s">
        <v>10</v>
      </c>
      <c r="W28" s="2" t="e">
        <f t="shared" si="5"/>
        <v>#VALUE!</v>
      </c>
      <c r="Z28">
        <f t="shared" si="0"/>
        <v>190750</v>
      </c>
      <c r="AA28">
        <f t="shared" si="1"/>
        <v>86902</v>
      </c>
      <c r="AC28" s="2">
        <f t="shared" si="6"/>
        <v>0.31298892138360251</v>
      </c>
      <c r="AD28" s="2"/>
      <c r="AE28">
        <f t="shared" si="7"/>
        <v>232169</v>
      </c>
      <c r="AF28">
        <f t="shared" si="8"/>
        <v>83953</v>
      </c>
      <c r="AH28" s="2">
        <f t="shared" si="9"/>
        <v>0.26557151985625804</v>
      </c>
      <c r="AI28" s="2"/>
      <c r="AJ28" s="2"/>
    </row>
    <row r="29" spans="2:36" x14ac:dyDescent="0.25">
      <c r="B29" s="1">
        <v>39588</v>
      </c>
      <c r="C29">
        <v>177765</v>
      </c>
      <c r="D29">
        <v>88968</v>
      </c>
      <c r="F29" s="2">
        <f t="shared" si="2"/>
        <v>0.33354703017624365</v>
      </c>
      <c r="I29">
        <v>222420</v>
      </c>
      <c r="J29">
        <v>99184</v>
      </c>
      <c r="L29" s="2">
        <f t="shared" si="3"/>
        <v>0.30840412432681186</v>
      </c>
      <c r="N29" t="s">
        <v>10</v>
      </c>
      <c r="O29" t="s">
        <v>10</v>
      </c>
      <c r="Q29" s="2" t="e">
        <f t="shared" si="4"/>
        <v>#VALUE!</v>
      </c>
      <c r="T29" t="s">
        <v>10</v>
      </c>
      <c r="U29" t="s">
        <v>10</v>
      </c>
      <c r="W29" s="2" t="e">
        <f t="shared" si="5"/>
        <v>#VALUE!</v>
      </c>
      <c r="Z29">
        <f t="shared" si="0"/>
        <v>177765</v>
      </c>
      <c r="AA29">
        <f t="shared" si="1"/>
        <v>88968</v>
      </c>
      <c r="AC29" s="2">
        <f t="shared" si="6"/>
        <v>0.33354703017624365</v>
      </c>
      <c r="AD29" s="2"/>
      <c r="AE29">
        <f t="shared" si="7"/>
        <v>222420</v>
      </c>
      <c r="AF29">
        <f t="shared" si="8"/>
        <v>99184</v>
      </c>
      <c r="AH29" s="2">
        <f t="shared" si="9"/>
        <v>0.30840412432681186</v>
      </c>
      <c r="AI29" s="2"/>
      <c r="AJ29" s="2"/>
    </row>
    <row r="30" spans="2:36" x14ac:dyDescent="0.25">
      <c r="B30" s="1">
        <v>39595</v>
      </c>
      <c r="C30">
        <v>167224</v>
      </c>
      <c r="D30">
        <v>89843</v>
      </c>
      <c r="F30" s="2">
        <f t="shared" si="2"/>
        <v>0.34949254474514424</v>
      </c>
      <c r="I30">
        <v>198099</v>
      </c>
      <c r="J30">
        <v>94432</v>
      </c>
      <c r="L30" s="2">
        <f t="shared" si="3"/>
        <v>0.32281023207796783</v>
      </c>
      <c r="N30" t="s">
        <v>10</v>
      </c>
      <c r="O30" t="s">
        <v>10</v>
      </c>
      <c r="Q30" s="2" t="e">
        <f t="shared" si="4"/>
        <v>#VALUE!</v>
      </c>
      <c r="T30" t="s">
        <v>10</v>
      </c>
      <c r="U30" t="s">
        <v>10</v>
      </c>
      <c r="W30" s="2" t="e">
        <f t="shared" si="5"/>
        <v>#VALUE!</v>
      </c>
      <c r="Z30">
        <f t="shared" si="0"/>
        <v>167224</v>
      </c>
      <c r="AA30">
        <f t="shared" si="1"/>
        <v>89843</v>
      </c>
      <c r="AC30" s="2">
        <f t="shared" si="6"/>
        <v>0.34949254474514424</v>
      </c>
      <c r="AD30" s="2"/>
      <c r="AE30">
        <f t="shared" si="7"/>
        <v>198099</v>
      </c>
      <c r="AF30">
        <f t="shared" si="8"/>
        <v>94432</v>
      </c>
      <c r="AH30" s="2">
        <f t="shared" si="9"/>
        <v>0.32281023207796783</v>
      </c>
      <c r="AI30" s="2"/>
      <c r="AJ30" s="2"/>
    </row>
    <row r="31" spans="2:36" x14ac:dyDescent="0.25">
      <c r="B31" s="1">
        <v>39602</v>
      </c>
      <c r="C31">
        <v>161182</v>
      </c>
      <c r="D31">
        <v>84217</v>
      </c>
      <c r="F31" s="2">
        <f t="shared" si="2"/>
        <v>0.34318395755483927</v>
      </c>
      <c r="I31">
        <v>193769</v>
      </c>
      <c r="J31">
        <v>95033</v>
      </c>
      <c r="L31" s="2">
        <f t="shared" si="3"/>
        <v>0.32905935554462917</v>
      </c>
      <c r="N31" t="s">
        <v>10</v>
      </c>
      <c r="O31" t="s">
        <v>10</v>
      </c>
      <c r="Q31" s="2" t="e">
        <f t="shared" si="4"/>
        <v>#VALUE!</v>
      </c>
      <c r="T31" t="s">
        <v>10</v>
      </c>
      <c r="U31" t="s">
        <v>10</v>
      </c>
      <c r="W31" s="2" t="e">
        <f t="shared" si="5"/>
        <v>#VALUE!</v>
      </c>
      <c r="Z31">
        <f t="shared" si="0"/>
        <v>161182</v>
      </c>
      <c r="AA31">
        <f t="shared" si="1"/>
        <v>84217</v>
      </c>
      <c r="AC31" s="2">
        <f t="shared" si="6"/>
        <v>0.34318395755483927</v>
      </c>
      <c r="AD31" s="2"/>
      <c r="AE31">
        <f t="shared" si="7"/>
        <v>193769</v>
      </c>
      <c r="AF31">
        <f t="shared" si="8"/>
        <v>95033</v>
      </c>
      <c r="AH31" s="2">
        <f t="shared" si="9"/>
        <v>0.32905935554462917</v>
      </c>
      <c r="AI31" s="2"/>
      <c r="AJ31" s="2"/>
    </row>
    <row r="32" spans="2:36" x14ac:dyDescent="0.25">
      <c r="B32" s="1">
        <v>39609</v>
      </c>
      <c r="C32">
        <v>157517</v>
      </c>
      <c r="D32">
        <v>83996</v>
      </c>
      <c r="F32" s="2">
        <f t="shared" si="2"/>
        <v>0.34779080215143698</v>
      </c>
      <c r="I32">
        <v>191635</v>
      </c>
      <c r="J32">
        <v>90102</v>
      </c>
      <c r="L32" s="2">
        <f t="shared" si="3"/>
        <v>0.31980889978952004</v>
      </c>
      <c r="N32" t="s">
        <v>10</v>
      </c>
      <c r="O32" t="s">
        <v>10</v>
      </c>
      <c r="Q32" s="2" t="e">
        <f t="shared" si="4"/>
        <v>#VALUE!</v>
      </c>
      <c r="T32" t="s">
        <v>10</v>
      </c>
      <c r="U32" t="s">
        <v>10</v>
      </c>
      <c r="W32" s="2" t="e">
        <f t="shared" si="5"/>
        <v>#VALUE!</v>
      </c>
      <c r="Z32">
        <f t="shared" si="0"/>
        <v>157517</v>
      </c>
      <c r="AA32">
        <f t="shared" si="1"/>
        <v>83996</v>
      </c>
      <c r="AC32" s="2">
        <f t="shared" si="6"/>
        <v>0.34779080215143698</v>
      </c>
      <c r="AD32" s="2"/>
      <c r="AE32">
        <f t="shared" si="7"/>
        <v>191635</v>
      </c>
      <c r="AF32">
        <f t="shared" si="8"/>
        <v>90102</v>
      </c>
      <c r="AH32" s="2">
        <f t="shared" si="9"/>
        <v>0.31980889978952004</v>
      </c>
      <c r="AI32" s="2"/>
      <c r="AJ32" s="2"/>
    </row>
    <row r="33" spans="2:36" x14ac:dyDescent="0.25">
      <c r="B33" s="1">
        <v>39616</v>
      </c>
      <c r="C33">
        <v>146671</v>
      </c>
      <c r="D33">
        <v>88594</v>
      </c>
      <c r="F33" s="2">
        <f t="shared" si="2"/>
        <v>0.37657110067370836</v>
      </c>
      <c r="I33">
        <v>182032</v>
      </c>
      <c r="J33">
        <v>89640</v>
      </c>
      <c r="L33" s="2">
        <f t="shared" si="3"/>
        <v>0.32995671250625752</v>
      </c>
      <c r="N33" t="s">
        <v>10</v>
      </c>
      <c r="O33" t="s">
        <v>10</v>
      </c>
      <c r="Q33" s="2" t="e">
        <f t="shared" si="4"/>
        <v>#VALUE!</v>
      </c>
      <c r="T33" t="s">
        <v>10</v>
      </c>
      <c r="U33" t="s">
        <v>10</v>
      </c>
      <c r="W33" s="2" t="e">
        <f t="shared" si="5"/>
        <v>#VALUE!</v>
      </c>
      <c r="Z33">
        <f t="shared" si="0"/>
        <v>146671</v>
      </c>
      <c r="AA33">
        <f t="shared" si="1"/>
        <v>88594</v>
      </c>
      <c r="AC33" s="2">
        <f t="shared" si="6"/>
        <v>0.37657110067370836</v>
      </c>
      <c r="AD33" s="2"/>
      <c r="AE33">
        <f t="shared" si="7"/>
        <v>182032</v>
      </c>
      <c r="AF33">
        <f t="shared" si="8"/>
        <v>89640</v>
      </c>
      <c r="AH33" s="2">
        <f t="shared" si="9"/>
        <v>0.32995671250625752</v>
      </c>
      <c r="AI33" s="2"/>
      <c r="AJ33" s="2"/>
    </row>
    <row r="34" spans="2:36" x14ac:dyDescent="0.25">
      <c r="B34" s="1">
        <v>39623</v>
      </c>
      <c r="C34">
        <v>150282</v>
      </c>
      <c r="D34">
        <v>86816</v>
      </c>
      <c r="F34" s="2">
        <f t="shared" si="2"/>
        <v>0.36616082801204564</v>
      </c>
      <c r="I34">
        <v>184917</v>
      </c>
      <c r="J34">
        <v>90479</v>
      </c>
      <c r="L34" s="2">
        <f t="shared" si="3"/>
        <v>0.32854144577263289</v>
      </c>
      <c r="N34" t="s">
        <v>10</v>
      </c>
      <c r="O34" t="s">
        <v>10</v>
      </c>
      <c r="Q34" s="2" t="e">
        <f t="shared" si="4"/>
        <v>#VALUE!</v>
      </c>
      <c r="T34" t="s">
        <v>10</v>
      </c>
      <c r="U34" t="s">
        <v>10</v>
      </c>
      <c r="W34" s="2" t="e">
        <f t="shared" si="5"/>
        <v>#VALUE!</v>
      </c>
      <c r="Z34">
        <f t="shared" si="0"/>
        <v>150282</v>
      </c>
      <c r="AA34">
        <f t="shared" si="1"/>
        <v>86816</v>
      </c>
      <c r="AC34" s="2">
        <f t="shared" si="6"/>
        <v>0.36616082801204564</v>
      </c>
      <c r="AD34" s="2"/>
      <c r="AE34">
        <f t="shared" si="7"/>
        <v>184917</v>
      </c>
      <c r="AF34">
        <f t="shared" si="8"/>
        <v>90479</v>
      </c>
      <c r="AH34" s="2">
        <f t="shared" si="9"/>
        <v>0.32854144577263289</v>
      </c>
      <c r="AI34" s="2"/>
      <c r="AJ34" s="2"/>
    </row>
    <row r="35" spans="2:36" x14ac:dyDescent="0.25">
      <c r="B35" s="1">
        <v>39630</v>
      </c>
      <c r="C35">
        <v>158677</v>
      </c>
      <c r="D35">
        <v>82862</v>
      </c>
      <c r="F35" s="2">
        <f t="shared" si="2"/>
        <v>0.34305847088875918</v>
      </c>
      <c r="I35">
        <v>183772</v>
      </c>
      <c r="J35">
        <v>91954</v>
      </c>
      <c r="L35" s="2">
        <f t="shared" si="3"/>
        <v>0.33349774776408464</v>
      </c>
      <c r="N35" t="s">
        <v>10</v>
      </c>
      <c r="O35" t="s">
        <v>10</v>
      </c>
      <c r="Q35" s="2" t="e">
        <f t="shared" si="4"/>
        <v>#VALUE!</v>
      </c>
      <c r="T35" t="s">
        <v>10</v>
      </c>
      <c r="U35" t="s">
        <v>10</v>
      </c>
      <c r="W35" s="2" t="e">
        <f t="shared" si="5"/>
        <v>#VALUE!</v>
      </c>
      <c r="Z35">
        <f t="shared" si="0"/>
        <v>158677</v>
      </c>
      <c r="AA35">
        <f t="shared" si="1"/>
        <v>82862</v>
      </c>
      <c r="AC35" s="2">
        <f t="shared" si="6"/>
        <v>0.34305847088875918</v>
      </c>
      <c r="AD35" s="2"/>
      <c r="AE35">
        <f t="shared" si="7"/>
        <v>183772</v>
      </c>
      <c r="AF35">
        <f t="shared" si="8"/>
        <v>91954</v>
      </c>
      <c r="AH35" s="2">
        <f t="shared" si="9"/>
        <v>0.33349774776408464</v>
      </c>
      <c r="AI35" s="2"/>
      <c r="AJ35" s="2"/>
    </row>
    <row r="36" spans="2:36" x14ac:dyDescent="0.25">
      <c r="B36" s="1">
        <v>39637</v>
      </c>
      <c r="C36">
        <v>155732</v>
      </c>
      <c r="D36">
        <v>94961</v>
      </c>
      <c r="F36" s="2">
        <f t="shared" si="2"/>
        <v>0.37879398307890527</v>
      </c>
      <c r="I36">
        <v>178842</v>
      </c>
      <c r="J36">
        <v>104047</v>
      </c>
      <c r="L36" s="2">
        <f t="shared" si="3"/>
        <v>0.36780150518401211</v>
      </c>
      <c r="N36" t="s">
        <v>10</v>
      </c>
      <c r="O36" t="s">
        <v>10</v>
      </c>
      <c r="Q36" s="2" t="e">
        <f t="shared" si="4"/>
        <v>#VALUE!</v>
      </c>
      <c r="T36" t="s">
        <v>10</v>
      </c>
      <c r="U36" t="s">
        <v>10</v>
      </c>
      <c r="W36" s="2" t="e">
        <f t="shared" si="5"/>
        <v>#VALUE!</v>
      </c>
      <c r="Z36">
        <f t="shared" si="0"/>
        <v>155732</v>
      </c>
      <c r="AA36">
        <f t="shared" si="1"/>
        <v>94961</v>
      </c>
      <c r="AC36" s="2">
        <f t="shared" si="6"/>
        <v>0.37879398307890527</v>
      </c>
      <c r="AD36" s="2"/>
      <c r="AE36">
        <f t="shared" si="7"/>
        <v>178842</v>
      </c>
      <c r="AF36">
        <f t="shared" si="8"/>
        <v>104047</v>
      </c>
      <c r="AH36" s="2">
        <f t="shared" si="9"/>
        <v>0.36780150518401211</v>
      </c>
      <c r="AI36" s="2"/>
      <c r="AJ36" s="2"/>
    </row>
    <row r="37" spans="2:36" x14ac:dyDescent="0.25">
      <c r="B37" s="1">
        <v>39644</v>
      </c>
      <c r="C37">
        <v>152980</v>
      </c>
      <c r="D37">
        <v>83498</v>
      </c>
      <c r="F37" s="2">
        <f t="shared" si="2"/>
        <v>0.35308992802713146</v>
      </c>
      <c r="I37">
        <v>175676</v>
      </c>
      <c r="J37">
        <v>91959</v>
      </c>
      <c r="L37" s="2">
        <f t="shared" si="3"/>
        <v>0.34359855773721676</v>
      </c>
      <c r="N37" t="s">
        <v>10</v>
      </c>
      <c r="O37" t="s">
        <v>10</v>
      </c>
      <c r="Q37" s="2" t="e">
        <f t="shared" si="4"/>
        <v>#VALUE!</v>
      </c>
      <c r="T37" t="s">
        <v>10</v>
      </c>
      <c r="U37" t="s">
        <v>10</v>
      </c>
      <c r="W37" s="2" t="e">
        <f t="shared" si="5"/>
        <v>#VALUE!</v>
      </c>
      <c r="Z37">
        <f t="shared" si="0"/>
        <v>152980</v>
      </c>
      <c r="AA37">
        <f t="shared" si="1"/>
        <v>83498</v>
      </c>
      <c r="AC37" s="2">
        <f t="shared" si="6"/>
        <v>0.35308992802713146</v>
      </c>
      <c r="AD37" s="2"/>
      <c r="AE37">
        <f t="shared" si="7"/>
        <v>175676</v>
      </c>
      <c r="AF37">
        <f t="shared" si="8"/>
        <v>91959</v>
      </c>
      <c r="AH37" s="2">
        <f t="shared" si="9"/>
        <v>0.34359855773721676</v>
      </c>
      <c r="AI37" s="2"/>
      <c r="AJ37" s="2"/>
    </row>
    <row r="38" spans="2:36" x14ac:dyDescent="0.25">
      <c r="B38" s="1">
        <v>39651</v>
      </c>
      <c r="C38">
        <v>136629</v>
      </c>
      <c r="D38">
        <v>81482</v>
      </c>
      <c r="F38" s="2">
        <f t="shared" si="2"/>
        <v>0.37358042464616642</v>
      </c>
      <c r="I38">
        <v>156919</v>
      </c>
      <c r="J38">
        <v>87421</v>
      </c>
      <c r="L38" s="2">
        <f t="shared" si="3"/>
        <v>0.35778423508226243</v>
      </c>
      <c r="N38" t="s">
        <v>10</v>
      </c>
      <c r="O38" t="s">
        <v>10</v>
      </c>
      <c r="Q38" s="2" t="e">
        <f t="shared" si="4"/>
        <v>#VALUE!</v>
      </c>
      <c r="T38" t="s">
        <v>10</v>
      </c>
      <c r="U38" t="s">
        <v>10</v>
      </c>
      <c r="W38" s="2" t="e">
        <f t="shared" si="5"/>
        <v>#VALUE!</v>
      </c>
      <c r="Z38">
        <f t="shared" si="0"/>
        <v>136629</v>
      </c>
      <c r="AA38">
        <f t="shared" si="1"/>
        <v>81482</v>
      </c>
      <c r="AC38" s="2">
        <f t="shared" si="6"/>
        <v>0.37358042464616642</v>
      </c>
      <c r="AD38" s="2"/>
      <c r="AE38">
        <f t="shared" si="7"/>
        <v>156919</v>
      </c>
      <c r="AF38">
        <f t="shared" si="8"/>
        <v>87421</v>
      </c>
      <c r="AH38" s="2">
        <f t="shared" si="9"/>
        <v>0.35778423508226243</v>
      </c>
      <c r="AI38" s="2"/>
      <c r="AJ38" s="2"/>
    </row>
    <row r="39" spans="2:36" x14ac:dyDescent="0.25">
      <c r="B39" s="1">
        <v>39658</v>
      </c>
      <c r="C39">
        <v>136923</v>
      </c>
      <c r="D39">
        <v>73926</v>
      </c>
      <c r="F39" s="2">
        <f t="shared" si="2"/>
        <v>0.35061110083519487</v>
      </c>
      <c r="I39">
        <v>155726</v>
      </c>
      <c r="J39">
        <v>76694</v>
      </c>
      <c r="L39" s="2">
        <f t="shared" si="3"/>
        <v>0.32998020824369678</v>
      </c>
      <c r="N39" t="s">
        <v>10</v>
      </c>
      <c r="O39" t="s">
        <v>10</v>
      </c>
      <c r="Q39" s="2" t="e">
        <f t="shared" si="4"/>
        <v>#VALUE!</v>
      </c>
      <c r="T39" t="s">
        <v>10</v>
      </c>
      <c r="U39" t="s">
        <v>10</v>
      </c>
      <c r="W39" s="2" t="e">
        <f t="shared" si="5"/>
        <v>#VALUE!</v>
      </c>
      <c r="Z39">
        <f t="shared" si="0"/>
        <v>136923</v>
      </c>
      <c r="AA39">
        <f t="shared" si="1"/>
        <v>73926</v>
      </c>
      <c r="AC39" s="2">
        <f t="shared" si="6"/>
        <v>0.35061110083519487</v>
      </c>
      <c r="AD39" s="2"/>
      <c r="AE39">
        <f t="shared" si="7"/>
        <v>155726</v>
      </c>
      <c r="AF39">
        <f t="shared" si="8"/>
        <v>76694</v>
      </c>
      <c r="AH39" s="2">
        <f t="shared" si="9"/>
        <v>0.32998020824369678</v>
      </c>
      <c r="AI39" s="2"/>
      <c r="AJ39" s="2"/>
    </row>
    <row r="40" spans="2:36" x14ac:dyDescent="0.25">
      <c r="B40" s="1">
        <v>39665</v>
      </c>
      <c r="C40">
        <v>128336</v>
      </c>
      <c r="D40">
        <v>76418</v>
      </c>
      <c r="F40" s="2">
        <f t="shared" si="2"/>
        <v>0.37321859402014124</v>
      </c>
      <c r="I40">
        <v>146406</v>
      </c>
      <c r="J40">
        <v>77645</v>
      </c>
      <c r="L40" s="2">
        <f t="shared" si="3"/>
        <v>0.34655056214879648</v>
      </c>
      <c r="N40" t="s">
        <v>10</v>
      </c>
      <c r="O40" t="s">
        <v>10</v>
      </c>
      <c r="Q40" s="2" t="e">
        <f t="shared" si="4"/>
        <v>#VALUE!</v>
      </c>
      <c r="T40" t="s">
        <v>10</v>
      </c>
      <c r="U40" t="s">
        <v>10</v>
      </c>
      <c r="W40" s="2" t="e">
        <f t="shared" si="5"/>
        <v>#VALUE!</v>
      </c>
      <c r="Z40">
        <f t="shared" si="0"/>
        <v>128336</v>
      </c>
      <c r="AA40">
        <f t="shared" si="1"/>
        <v>76418</v>
      </c>
      <c r="AC40" s="2">
        <f t="shared" si="6"/>
        <v>0.37321859402014124</v>
      </c>
      <c r="AD40" s="2"/>
      <c r="AE40">
        <f t="shared" si="7"/>
        <v>146406</v>
      </c>
      <c r="AF40">
        <f t="shared" si="8"/>
        <v>77645</v>
      </c>
      <c r="AH40" s="2">
        <f t="shared" si="9"/>
        <v>0.34655056214879648</v>
      </c>
      <c r="AI40" s="2"/>
      <c r="AJ40" s="2"/>
    </row>
    <row r="41" spans="2:36" x14ac:dyDescent="0.25">
      <c r="B41" s="1">
        <v>39672</v>
      </c>
      <c r="C41">
        <v>118921</v>
      </c>
      <c r="D41">
        <v>74853</v>
      </c>
      <c r="F41" s="2">
        <f t="shared" si="2"/>
        <v>0.38629021437344535</v>
      </c>
      <c r="I41">
        <v>138300</v>
      </c>
      <c r="J41">
        <v>81143</v>
      </c>
      <c r="L41" s="2">
        <f t="shared" si="3"/>
        <v>0.3697680035362258</v>
      </c>
      <c r="N41" t="s">
        <v>10</v>
      </c>
      <c r="O41" t="s">
        <v>10</v>
      </c>
      <c r="Q41" s="2" t="e">
        <f t="shared" si="4"/>
        <v>#VALUE!</v>
      </c>
      <c r="T41" t="s">
        <v>10</v>
      </c>
      <c r="U41" t="s">
        <v>10</v>
      </c>
      <c r="W41" s="2" t="e">
        <f t="shared" si="5"/>
        <v>#VALUE!</v>
      </c>
      <c r="Z41">
        <f t="shared" si="0"/>
        <v>118921</v>
      </c>
      <c r="AA41">
        <f t="shared" si="1"/>
        <v>74853</v>
      </c>
      <c r="AC41" s="2">
        <f t="shared" si="6"/>
        <v>0.38629021437344535</v>
      </c>
      <c r="AD41" s="2"/>
      <c r="AE41">
        <f t="shared" si="7"/>
        <v>138300</v>
      </c>
      <c r="AF41">
        <f t="shared" si="8"/>
        <v>81143</v>
      </c>
      <c r="AH41" s="2">
        <f t="shared" si="9"/>
        <v>0.3697680035362258</v>
      </c>
      <c r="AI41" s="2"/>
      <c r="AJ41" s="2"/>
    </row>
    <row r="42" spans="2:36" x14ac:dyDescent="0.25">
      <c r="B42" s="1">
        <v>39679</v>
      </c>
      <c r="C42">
        <v>125373</v>
      </c>
      <c r="D42">
        <v>82640</v>
      </c>
      <c r="F42" s="2">
        <f t="shared" si="2"/>
        <v>0.39728286212880926</v>
      </c>
      <c r="I42">
        <v>144661</v>
      </c>
      <c r="J42">
        <v>84614</v>
      </c>
      <c r="L42" s="2">
        <f t="shared" si="3"/>
        <v>0.36905026714643985</v>
      </c>
      <c r="N42" t="s">
        <v>10</v>
      </c>
      <c r="O42" t="s">
        <v>10</v>
      </c>
      <c r="Q42" s="2" t="e">
        <f t="shared" si="4"/>
        <v>#VALUE!</v>
      </c>
      <c r="T42" t="s">
        <v>10</v>
      </c>
      <c r="U42" t="s">
        <v>10</v>
      </c>
      <c r="W42" s="2" t="e">
        <f t="shared" si="5"/>
        <v>#VALUE!</v>
      </c>
      <c r="Z42">
        <f t="shared" si="0"/>
        <v>125373</v>
      </c>
      <c r="AA42">
        <f t="shared" si="1"/>
        <v>82640</v>
      </c>
      <c r="AC42" s="2">
        <f t="shared" si="6"/>
        <v>0.39728286212880926</v>
      </c>
      <c r="AD42" s="2"/>
      <c r="AE42">
        <f t="shared" si="7"/>
        <v>144661</v>
      </c>
      <c r="AF42">
        <f t="shared" si="8"/>
        <v>84614</v>
      </c>
      <c r="AH42" s="2">
        <f t="shared" si="9"/>
        <v>0.36905026714643985</v>
      </c>
      <c r="AI42" s="2"/>
      <c r="AJ42" s="2"/>
    </row>
    <row r="43" spans="2:36" x14ac:dyDescent="0.25">
      <c r="B43" s="1">
        <v>39686</v>
      </c>
      <c r="C43">
        <v>125588</v>
      </c>
      <c r="D43">
        <v>77376</v>
      </c>
      <c r="F43" s="2">
        <f t="shared" si="2"/>
        <v>0.38123016889694722</v>
      </c>
      <c r="I43">
        <v>145341</v>
      </c>
      <c r="J43">
        <v>79560</v>
      </c>
      <c r="L43" s="2">
        <f t="shared" si="3"/>
        <v>0.35375565248709434</v>
      </c>
      <c r="N43" t="s">
        <v>10</v>
      </c>
      <c r="O43" t="s">
        <v>10</v>
      </c>
      <c r="Q43" s="2" t="e">
        <f t="shared" si="4"/>
        <v>#VALUE!</v>
      </c>
      <c r="T43" t="s">
        <v>10</v>
      </c>
      <c r="U43" t="s">
        <v>10</v>
      </c>
      <c r="W43" s="2" t="e">
        <f t="shared" si="5"/>
        <v>#VALUE!</v>
      </c>
      <c r="Z43">
        <f t="shared" si="0"/>
        <v>125588</v>
      </c>
      <c r="AA43">
        <f t="shared" si="1"/>
        <v>77376</v>
      </c>
      <c r="AC43" s="2">
        <f t="shared" si="6"/>
        <v>0.38123016889694722</v>
      </c>
      <c r="AD43" s="2"/>
      <c r="AE43">
        <f t="shared" si="7"/>
        <v>145341</v>
      </c>
      <c r="AF43">
        <f t="shared" si="8"/>
        <v>79560</v>
      </c>
      <c r="AH43" s="2">
        <f t="shared" si="9"/>
        <v>0.35375565248709434</v>
      </c>
      <c r="AI43" s="2"/>
      <c r="AJ43" s="2"/>
    </row>
    <row r="44" spans="2:36" x14ac:dyDescent="0.25">
      <c r="B44" s="1">
        <v>39693</v>
      </c>
      <c r="C44">
        <v>115729</v>
      </c>
      <c r="D44">
        <v>76879</v>
      </c>
      <c r="F44" s="2">
        <f t="shared" si="2"/>
        <v>0.39914749127762089</v>
      </c>
      <c r="I44">
        <v>133871</v>
      </c>
      <c r="J44">
        <v>78418</v>
      </c>
      <c r="L44" s="2">
        <f t="shared" si="3"/>
        <v>0.36939266754283079</v>
      </c>
      <c r="N44" t="s">
        <v>10</v>
      </c>
      <c r="O44" t="s">
        <v>10</v>
      </c>
      <c r="Q44" s="2" t="e">
        <f t="shared" si="4"/>
        <v>#VALUE!</v>
      </c>
      <c r="T44" t="s">
        <v>10</v>
      </c>
      <c r="U44" t="s">
        <v>10</v>
      </c>
      <c r="W44" s="2" t="e">
        <f t="shared" si="5"/>
        <v>#VALUE!</v>
      </c>
      <c r="Z44">
        <f t="shared" si="0"/>
        <v>115729</v>
      </c>
      <c r="AA44">
        <f t="shared" si="1"/>
        <v>76879</v>
      </c>
      <c r="AC44" s="2">
        <f t="shared" si="6"/>
        <v>0.39914749127762089</v>
      </c>
      <c r="AD44" s="2"/>
      <c r="AE44">
        <f t="shared" si="7"/>
        <v>133871</v>
      </c>
      <c r="AF44">
        <f t="shared" si="8"/>
        <v>78418</v>
      </c>
      <c r="AH44" s="2">
        <f t="shared" si="9"/>
        <v>0.36939266754283079</v>
      </c>
      <c r="AI44" s="2"/>
      <c r="AJ44" s="2"/>
    </row>
    <row r="45" spans="2:36" x14ac:dyDescent="0.25">
      <c r="B45" s="1">
        <v>39700</v>
      </c>
      <c r="C45">
        <v>106902</v>
      </c>
      <c r="D45">
        <v>90097</v>
      </c>
      <c r="F45" s="2">
        <f t="shared" si="2"/>
        <v>0.45734749922588441</v>
      </c>
      <c r="I45">
        <v>120795</v>
      </c>
      <c r="J45">
        <v>79605</v>
      </c>
      <c r="L45" s="2">
        <f t="shared" si="3"/>
        <v>0.39723053892215571</v>
      </c>
      <c r="N45" t="s">
        <v>10</v>
      </c>
      <c r="O45" t="s">
        <v>10</v>
      </c>
      <c r="Q45" s="2" t="e">
        <f t="shared" si="4"/>
        <v>#VALUE!</v>
      </c>
      <c r="T45" t="s">
        <v>10</v>
      </c>
      <c r="U45" t="s">
        <v>10</v>
      </c>
      <c r="W45" s="2" t="e">
        <f t="shared" si="5"/>
        <v>#VALUE!</v>
      </c>
      <c r="Z45">
        <f t="shared" si="0"/>
        <v>106902</v>
      </c>
      <c r="AA45">
        <f t="shared" si="1"/>
        <v>90097</v>
      </c>
      <c r="AC45" s="2">
        <f t="shared" si="6"/>
        <v>0.45734749922588441</v>
      </c>
      <c r="AD45" s="2"/>
      <c r="AE45">
        <f t="shared" si="7"/>
        <v>120795</v>
      </c>
      <c r="AF45">
        <f t="shared" si="8"/>
        <v>79605</v>
      </c>
      <c r="AH45" s="2">
        <f t="shared" si="9"/>
        <v>0.39723053892215571</v>
      </c>
      <c r="AI45" s="2"/>
      <c r="AJ45" s="2"/>
    </row>
    <row r="46" spans="2:36" x14ac:dyDescent="0.25">
      <c r="B46" s="1">
        <v>39707</v>
      </c>
      <c r="C46">
        <v>107772</v>
      </c>
      <c r="D46">
        <v>96640</v>
      </c>
      <c r="F46" s="2">
        <f t="shared" si="2"/>
        <v>0.47277067882511792</v>
      </c>
      <c r="I46">
        <v>121638</v>
      </c>
      <c r="J46">
        <v>76407</v>
      </c>
      <c r="L46" s="2">
        <f t="shared" si="3"/>
        <v>0.3858062561539044</v>
      </c>
      <c r="N46" t="s">
        <v>10</v>
      </c>
      <c r="O46" t="s">
        <v>10</v>
      </c>
      <c r="Q46" s="2" t="e">
        <f t="shared" si="4"/>
        <v>#VALUE!</v>
      </c>
      <c r="T46" t="s">
        <v>10</v>
      </c>
      <c r="U46" t="s">
        <v>10</v>
      </c>
      <c r="W46" s="2" t="e">
        <f t="shared" si="5"/>
        <v>#VALUE!</v>
      </c>
      <c r="Z46">
        <f t="shared" si="0"/>
        <v>107772</v>
      </c>
      <c r="AA46">
        <f t="shared" si="1"/>
        <v>96640</v>
      </c>
      <c r="AC46" s="2">
        <f t="shared" si="6"/>
        <v>0.47277067882511792</v>
      </c>
      <c r="AD46" s="2"/>
      <c r="AE46">
        <f t="shared" si="7"/>
        <v>121638</v>
      </c>
      <c r="AF46">
        <f t="shared" si="8"/>
        <v>76407</v>
      </c>
      <c r="AH46" s="2">
        <f t="shared" si="9"/>
        <v>0.3858062561539044</v>
      </c>
      <c r="AI46" s="2"/>
      <c r="AJ46" s="2"/>
    </row>
    <row r="47" spans="2:36" x14ac:dyDescent="0.25">
      <c r="B47" s="1">
        <v>39714</v>
      </c>
      <c r="C47">
        <v>112689</v>
      </c>
      <c r="D47">
        <v>89295</v>
      </c>
      <c r="F47" s="2">
        <f t="shared" si="2"/>
        <v>0.44208947243346008</v>
      </c>
      <c r="I47">
        <v>124794</v>
      </c>
      <c r="J47">
        <v>83697</v>
      </c>
      <c r="L47" s="2">
        <f t="shared" si="3"/>
        <v>0.40144178885419513</v>
      </c>
      <c r="N47" t="s">
        <v>10</v>
      </c>
      <c r="O47" t="s">
        <v>10</v>
      </c>
      <c r="Q47" s="2" t="e">
        <f t="shared" si="4"/>
        <v>#VALUE!</v>
      </c>
      <c r="T47" t="s">
        <v>10</v>
      </c>
      <c r="U47" t="s">
        <v>10</v>
      </c>
      <c r="W47" s="2" t="e">
        <f t="shared" si="5"/>
        <v>#VALUE!</v>
      </c>
      <c r="Z47">
        <f t="shared" si="0"/>
        <v>112689</v>
      </c>
      <c r="AA47">
        <f t="shared" si="1"/>
        <v>89295</v>
      </c>
      <c r="AC47" s="2">
        <f t="shared" si="6"/>
        <v>0.44208947243346008</v>
      </c>
      <c r="AD47" s="2"/>
      <c r="AE47">
        <f t="shared" si="7"/>
        <v>124794</v>
      </c>
      <c r="AF47">
        <f t="shared" si="8"/>
        <v>83697</v>
      </c>
      <c r="AH47" s="2">
        <f t="shared" si="9"/>
        <v>0.40144178885419513</v>
      </c>
      <c r="AI47" s="2"/>
      <c r="AJ47" s="2"/>
    </row>
    <row r="48" spans="2:36" x14ac:dyDescent="0.25">
      <c r="B48" s="1">
        <v>39721</v>
      </c>
      <c r="C48">
        <v>107620</v>
      </c>
      <c r="D48">
        <v>80349</v>
      </c>
      <c r="F48" s="2">
        <f t="shared" si="2"/>
        <v>0.42745878309721286</v>
      </c>
      <c r="I48">
        <v>117516</v>
      </c>
      <c r="J48">
        <v>72508</v>
      </c>
      <c r="L48" s="2">
        <f t="shared" si="3"/>
        <v>0.38157285395528984</v>
      </c>
      <c r="N48" t="s">
        <v>10</v>
      </c>
      <c r="O48" t="s">
        <v>10</v>
      </c>
      <c r="Q48" s="2" t="e">
        <f t="shared" si="4"/>
        <v>#VALUE!</v>
      </c>
      <c r="T48" t="s">
        <v>10</v>
      </c>
      <c r="U48" t="s">
        <v>10</v>
      </c>
      <c r="W48" s="2" t="e">
        <f t="shared" si="5"/>
        <v>#VALUE!</v>
      </c>
      <c r="Z48">
        <f t="shared" si="0"/>
        <v>107620</v>
      </c>
      <c r="AA48">
        <f t="shared" si="1"/>
        <v>80349</v>
      </c>
      <c r="AC48" s="2">
        <f t="shared" si="6"/>
        <v>0.42745878309721286</v>
      </c>
      <c r="AD48" s="2"/>
      <c r="AE48">
        <f t="shared" si="7"/>
        <v>117516</v>
      </c>
      <c r="AF48">
        <f t="shared" si="8"/>
        <v>72508</v>
      </c>
      <c r="AH48" s="2">
        <f t="shared" si="9"/>
        <v>0.38157285395528984</v>
      </c>
      <c r="AI48" s="2"/>
      <c r="AJ48" s="2"/>
    </row>
    <row r="49" spans="2:37" x14ac:dyDescent="0.25">
      <c r="B49" s="1">
        <v>39728</v>
      </c>
      <c r="C49">
        <v>88941</v>
      </c>
      <c r="D49">
        <v>78857</v>
      </c>
      <c r="F49" s="2">
        <f t="shared" si="2"/>
        <v>0.46995196605442258</v>
      </c>
      <c r="I49">
        <v>104004</v>
      </c>
      <c r="J49">
        <v>76179</v>
      </c>
      <c r="L49" s="2">
        <f t="shared" si="3"/>
        <v>0.42278683338605749</v>
      </c>
      <c r="N49" t="s">
        <v>10</v>
      </c>
      <c r="O49" t="s">
        <v>10</v>
      </c>
      <c r="Q49" s="2" t="e">
        <f t="shared" si="4"/>
        <v>#VALUE!</v>
      </c>
      <c r="T49" t="s">
        <v>10</v>
      </c>
      <c r="U49" t="s">
        <v>10</v>
      </c>
      <c r="W49" s="2" t="e">
        <f t="shared" si="5"/>
        <v>#VALUE!</v>
      </c>
      <c r="Z49">
        <f t="shared" si="0"/>
        <v>88941</v>
      </c>
      <c r="AA49">
        <f t="shared" si="1"/>
        <v>78857</v>
      </c>
      <c r="AC49" s="2">
        <f t="shared" si="6"/>
        <v>0.46995196605442258</v>
      </c>
      <c r="AD49" s="2"/>
      <c r="AE49">
        <f t="shared" si="7"/>
        <v>104004</v>
      </c>
      <c r="AF49">
        <f t="shared" si="8"/>
        <v>76179</v>
      </c>
      <c r="AH49" s="2">
        <f t="shared" si="9"/>
        <v>0.42278683338605749</v>
      </c>
      <c r="AI49" s="2"/>
      <c r="AJ49" s="2"/>
    </row>
    <row r="50" spans="2:37" x14ac:dyDescent="0.25">
      <c r="B50" s="1">
        <v>39735</v>
      </c>
      <c r="C50">
        <v>83540</v>
      </c>
      <c r="D50">
        <v>81425</v>
      </c>
      <c r="F50" s="2">
        <f t="shared" si="2"/>
        <v>0.49358954929833598</v>
      </c>
      <c r="I50">
        <v>101855</v>
      </c>
      <c r="J50">
        <v>67427</v>
      </c>
      <c r="L50" s="2">
        <f t="shared" si="3"/>
        <v>0.39831169291478125</v>
      </c>
      <c r="N50" t="s">
        <v>10</v>
      </c>
      <c r="O50" t="s">
        <v>10</v>
      </c>
      <c r="Q50" s="2" t="e">
        <f t="shared" si="4"/>
        <v>#VALUE!</v>
      </c>
      <c r="T50" t="s">
        <v>10</v>
      </c>
      <c r="U50" t="s">
        <v>10</v>
      </c>
      <c r="W50" s="2" t="e">
        <f t="shared" si="5"/>
        <v>#VALUE!</v>
      </c>
      <c r="Z50">
        <f t="shared" si="0"/>
        <v>83540</v>
      </c>
      <c r="AA50">
        <f t="shared" si="1"/>
        <v>81425</v>
      </c>
      <c r="AC50" s="2">
        <f t="shared" si="6"/>
        <v>0.49358954929833598</v>
      </c>
      <c r="AD50" s="2"/>
      <c r="AE50">
        <f t="shared" si="7"/>
        <v>101855</v>
      </c>
      <c r="AF50">
        <f t="shared" si="8"/>
        <v>67427</v>
      </c>
      <c r="AH50" s="2">
        <f t="shared" si="9"/>
        <v>0.39831169291478125</v>
      </c>
      <c r="AI50" s="2"/>
      <c r="AJ50" s="2"/>
    </row>
    <row r="51" spans="2:37" x14ac:dyDescent="0.25">
      <c r="B51" s="1">
        <v>39742</v>
      </c>
      <c r="C51">
        <v>92451</v>
      </c>
      <c r="D51">
        <v>98403</v>
      </c>
      <c r="F51" s="2">
        <f t="shared" si="2"/>
        <v>0.51559307114338704</v>
      </c>
      <c r="I51">
        <v>103741</v>
      </c>
      <c r="J51">
        <v>65566</v>
      </c>
      <c r="L51" s="2">
        <f t="shared" si="3"/>
        <v>0.38726101106274402</v>
      </c>
      <c r="N51" t="s">
        <v>10</v>
      </c>
      <c r="O51" t="s">
        <v>10</v>
      </c>
      <c r="Q51" s="2" t="e">
        <f t="shared" si="4"/>
        <v>#VALUE!</v>
      </c>
      <c r="T51" t="s">
        <v>10</v>
      </c>
      <c r="U51" t="s">
        <v>10</v>
      </c>
      <c r="W51" s="2" t="e">
        <f t="shared" si="5"/>
        <v>#VALUE!</v>
      </c>
      <c r="Z51">
        <f t="shared" si="0"/>
        <v>92451</v>
      </c>
      <c r="AA51">
        <f t="shared" si="1"/>
        <v>98403</v>
      </c>
      <c r="AC51" s="2">
        <f t="shared" si="6"/>
        <v>0.51559307114338704</v>
      </c>
      <c r="AD51" s="2"/>
      <c r="AE51">
        <f t="shared" si="7"/>
        <v>103741</v>
      </c>
      <c r="AF51">
        <f t="shared" si="8"/>
        <v>65566</v>
      </c>
      <c r="AH51" s="2">
        <f t="shared" si="9"/>
        <v>0.38726101106274402</v>
      </c>
      <c r="AI51" s="2"/>
      <c r="AJ51" s="2"/>
      <c r="AK51" t="str">
        <f ca="1">"Brent - Manage Money Short (%) - Last Value: "&amp;TEXT(AK52,"0.0%")</f>
        <v>Brent - Manage Money Short (%) - Last Value: 21.4%</v>
      </c>
    </row>
    <row r="52" spans="2:37" x14ac:dyDescent="0.25">
      <c r="B52" s="1">
        <v>39749</v>
      </c>
      <c r="C52">
        <v>97490</v>
      </c>
      <c r="D52">
        <v>108250</v>
      </c>
      <c r="F52" s="2">
        <f t="shared" si="2"/>
        <v>0.5261495090891416</v>
      </c>
      <c r="I52">
        <v>109270</v>
      </c>
      <c r="J52">
        <v>63084</v>
      </c>
      <c r="L52" s="2">
        <f t="shared" si="3"/>
        <v>0.36601413370156771</v>
      </c>
      <c r="N52" t="s">
        <v>10</v>
      </c>
      <c r="O52" t="s">
        <v>10</v>
      </c>
      <c r="Q52" s="2" t="e">
        <f t="shared" si="4"/>
        <v>#VALUE!</v>
      </c>
      <c r="T52" t="s">
        <v>10</v>
      </c>
      <c r="U52" t="s">
        <v>10</v>
      </c>
      <c r="W52" s="2" t="e">
        <f t="shared" si="5"/>
        <v>#VALUE!</v>
      </c>
      <c r="Z52">
        <f t="shared" si="0"/>
        <v>97490</v>
      </c>
      <c r="AA52">
        <f t="shared" si="1"/>
        <v>108250</v>
      </c>
      <c r="AC52" s="2">
        <f t="shared" si="6"/>
        <v>0.5261495090891416</v>
      </c>
      <c r="AD52" s="2"/>
      <c r="AE52">
        <f t="shared" si="7"/>
        <v>109270</v>
      </c>
      <c r="AF52">
        <f t="shared" si="8"/>
        <v>63084</v>
      </c>
      <c r="AH52" s="2">
        <f t="shared" si="9"/>
        <v>0.36601413370156771</v>
      </c>
      <c r="AI52" s="2"/>
      <c r="AJ52" s="2"/>
      <c r="AK52">
        <f ca="1">+OFFSET($Q$9,AK53-1,0)</f>
        <v>0.21430537541591155</v>
      </c>
    </row>
    <row r="53" spans="2:37" x14ac:dyDescent="0.25">
      <c r="B53" s="1">
        <v>39756</v>
      </c>
      <c r="C53">
        <v>98479</v>
      </c>
      <c r="D53">
        <v>119733</v>
      </c>
      <c r="F53" s="2">
        <f t="shared" si="2"/>
        <v>0.54870034645207411</v>
      </c>
      <c r="I53">
        <v>107001</v>
      </c>
      <c r="J53">
        <v>63748</v>
      </c>
      <c r="L53" s="2">
        <f t="shared" si="3"/>
        <v>0.37334332851144075</v>
      </c>
      <c r="N53" t="s">
        <v>10</v>
      </c>
      <c r="O53" t="s">
        <v>10</v>
      </c>
      <c r="Q53" s="2" t="e">
        <f t="shared" si="4"/>
        <v>#VALUE!</v>
      </c>
      <c r="T53" t="s">
        <v>10</v>
      </c>
      <c r="U53" t="s">
        <v>10</v>
      </c>
      <c r="W53" s="2" t="e">
        <f t="shared" si="5"/>
        <v>#VALUE!</v>
      </c>
      <c r="Z53">
        <f t="shared" si="0"/>
        <v>98479</v>
      </c>
      <c r="AA53">
        <f t="shared" si="1"/>
        <v>119733</v>
      </c>
      <c r="AC53" s="2">
        <f t="shared" si="6"/>
        <v>0.54870034645207411</v>
      </c>
      <c r="AD53" s="2"/>
      <c r="AE53">
        <f t="shared" si="7"/>
        <v>107001</v>
      </c>
      <c r="AF53">
        <f t="shared" si="8"/>
        <v>63748</v>
      </c>
      <c r="AH53" s="2">
        <f t="shared" si="9"/>
        <v>0.37334332851144075</v>
      </c>
      <c r="AI53" s="2"/>
      <c r="AJ53" s="2"/>
      <c r="AK53">
        <f>+AP5</f>
        <v>976</v>
      </c>
    </row>
    <row r="54" spans="2:37" x14ac:dyDescent="0.25">
      <c r="B54" s="1">
        <v>39763</v>
      </c>
      <c r="C54">
        <v>98697</v>
      </c>
      <c r="D54">
        <v>141432</v>
      </c>
      <c r="F54" s="2">
        <f t="shared" si="2"/>
        <v>0.58898342141099158</v>
      </c>
      <c r="I54">
        <v>116346</v>
      </c>
      <c r="J54">
        <v>58673</v>
      </c>
      <c r="L54" s="2">
        <f t="shared" si="3"/>
        <v>0.3352378884578246</v>
      </c>
      <c r="N54" t="s">
        <v>10</v>
      </c>
      <c r="O54" t="s">
        <v>10</v>
      </c>
      <c r="Q54" s="2" t="e">
        <f t="shared" si="4"/>
        <v>#VALUE!</v>
      </c>
      <c r="T54" t="s">
        <v>10</v>
      </c>
      <c r="U54" t="s">
        <v>10</v>
      </c>
      <c r="W54" s="2" t="e">
        <f t="shared" si="5"/>
        <v>#VALUE!</v>
      </c>
      <c r="Z54">
        <f t="shared" si="0"/>
        <v>98697</v>
      </c>
      <c r="AA54">
        <f t="shared" si="1"/>
        <v>141432</v>
      </c>
      <c r="AC54" s="2">
        <f t="shared" si="6"/>
        <v>0.58898342141099158</v>
      </c>
      <c r="AD54" s="2"/>
      <c r="AE54">
        <f t="shared" si="7"/>
        <v>116346</v>
      </c>
      <c r="AF54">
        <f t="shared" si="8"/>
        <v>58673</v>
      </c>
      <c r="AH54" s="2">
        <f t="shared" si="9"/>
        <v>0.3352378884578246</v>
      </c>
      <c r="AI54" s="2"/>
      <c r="AJ54" s="2"/>
    </row>
    <row r="55" spans="2:37" x14ac:dyDescent="0.25">
      <c r="B55" s="1">
        <v>39770</v>
      </c>
      <c r="C55">
        <v>91038</v>
      </c>
      <c r="D55">
        <v>105000</v>
      </c>
      <c r="F55" s="2">
        <f t="shared" si="2"/>
        <v>0.53561044287332049</v>
      </c>
      <c r="I55">
        <v>106357</v>
      </c>
      <c r="J55">
        <v>55429</v>
      </c>
      <c r="L55" s="2">
        <f t="shared" si="3"/>
        <v>0.34260690047346493</v>
      </c>
      <c r="N55" t="s">
        <v>10</v>
      </c>
      <c r="O55" t="s">
        <v>10</v>
      </c>
      <c r="Q55" s="2" t="e">
        <f t="shared" si="4"/>
        <v>#VALUE!</v>
      </c>
      <c r="T55" t="s">
        <v>10</v>
      </c>
      <c r="U55" t="s">
        <v>10</v>
      </c>
      <c r="W55" s="2" t="e">
        <f t="shared" si="5"/>
        <v>#VALUE!</v>
      </c>
      <c r="Z55">
        <f t="shared" si="0"/>
        <v>91038</v>
      </c>
      <c r="AA55">
        <f t="shared" si="1"/>
        <v>105000</v>
      </c>
      <c r="AC55" s="2">
        <f t="shared" si="6"/>
        <v>0.53561044287332049</v>
      </c>
      <c r="AD55" s="2"/>
      <c r="AE55">
        <f t="shared" si="7"/>
        <v>106357</v>
      </c>
      <c r="AF55">
        <f t="shared" si="8"/>
        <v>55429</v>
      </c>
      <c r="AH55" s="2">
        <f t="shared" si="9"/>
        <v>0.34260690047346493</v>
      </c>
      <c r="AI55" s="2"/>
      <c r="AJ55" s="2"/>
    </row>
    <row r="56" spans="2:37" x14ac:dyDescent="0.25">
      <c r="B56" s="1">
        <v>39777</v>
      </c>
      <c r="C56">
        <v>90448</v>
      </c>
      <c r="D56">
        <v>102972</v>
      </c>
      <c r="F56" s="2">
        <f t="shared" si="2"/>
        <v>0.53237514217764448</v>
      </c>
      <c r="I56">
        <v>107203</v>
      </c>
      <c r="J56">
        <v>56768</v>
      </c>
      <c r="L56" s="2">
        <f t="shared" si="3"/>
        <v>0.34620756109312012</v>
      </c>
      <c r="N56" t="s">
        <v>10</v>
      </c>
      <c r="O56" t="s">
        <v>10</v>
      </c>
      <c r="Q56" s="2" t="e">
        <f t="shared" si="4"/>
        <v>#VALUE!</v>
      </c>
      <c r="T56" t="s">
        <v>10</v>
      </c>
      <c r="U56" t="s">
        <v>10</v>
      </c>
      <c r="W56" s="2" t="e">
        <f t="shared" si="5"/>
        <v>#VALUE!</v>
      </c>
      <c r="Z56">
        <f t="shared" si="0"/>
        <v>90448</v>
      </c>
      <c r="AA56">
        <f t="shared" si="1"/>
        <v>102972</v>
      </c>
      <c r="AC56" s="2">
        <f t="shared" si="6"/>
        <v>0.53237514217764448</v>
      </c>
      <c r="AD56" s="2"/>
      <c r="AE56">
        <f t="shared" si="7"/>
        <v>107203</v>
      </c>
      <c r="AF56">
        <f t="shared" si="8"/>
        <v>56768</v>
      </c>
      <c r="AH56" s="2">
        <f t="shared" si="9"/>
        <v>0.34620756109312012</v>
      </c>
      <c r="AI56" s="2"/>
      <c r="AJ56" s="2"/>
    </row>
    <row r="57" spans="2:37" x14ac:dyDescent="0.25">
      <c r="B57" s="1">
        <v>39784</v>
      </c>
      <c r="C57">
        <v>90057</v>
      </c>
      <c r="D57">
        <v>100798</v>
      </c>
      <c r="F57" s="2">
        <f t="shared" si="2"/>
        <v>0.52813916323910826</v>
      </c>
      <c r="I57">
        <v>111918</v>
      </c>
      <c r="J57">
        <v>56452</v>
      </c>
      <c r="L57" s="2">
        <f t="shared" si="3"/>
        <v>0.33528538338183761</v>
      </c>
      <c r="N57" t="s">
        <v>10</v>
      </c>
      <c r="O57" t="s">
        <v>10</v>
      </c>
      <c r="Q57" s="2" t="e">
        <f t="shared" si="4"/>
        <v>#VALUE!</v>
      </c>
      <c r="T57" t="s">
        <v>10</v>
      </c>
      <c r="U57" t="s">
        <v>10</v>
      </c>
      <c r="W57" s="2" t="e">
        <f t="shared" si="5"/>
        <v>#VALUE!</v>
      </c>
      <c r="Z57">
        <f t="shared" si="0"/>
        <v>90057</v>
      </c>
      <c r="AA57">
        <f t="shared" si="1"/>
        <v>100798</v>
      </c>
      <c r="AC57" s="2">
        <f t="shared" si="6"/>
        <v>0.52813916323910826</v>
      </c>
      <c r="AD57" s="2"/>
      <c r="AE57">
        <f t="shared" si="7"/>
        <v>111918</v>
      </c>
      <c r="AF57">
        <f t="shared" si="8"/>
        <v>56452</v>
      </c>
      <c r="AH57" s="2">
        <f t="shared" si="9"/>
        <v>0.33528538338183761</v>
      </c>
      <c r="AI57" s="2"/>
      <c r="AJ57" s="2"/>
    </row>
    <row r="58" spans="2:37" x14ac:dyDescent="0.25">
      <c r="B58" s="1">
        <v>39791</v>
      </c>
      <c r="C58">
        <v>108684</v>
      </c>
      <c r="D58">
        <v>98034</v>
      </c>
      <c r="F58" s="2">
        <f t="shared" si="2"/>
        <v>0.47424026935245117</v>
      </c>
      <c r="I58">
        <v>130893</v>
      </c>
      <c r="J58">
        <v>53242</v>
      </c>
      <c r="L58" s="2">
        <f t="shared" si="3"/>
        <v>0.28914655008553508</v>
      </c>
      <c r="N58" t="s">
        <v>10</v>
      </c>
      <c r="O58" t="s">
        <v>10</v>
      </c>
      <c r="Q58" s="2" t="e">
        <f t="shared" si="4"/>
        <v>#VALUE!</v>
      </c>
      <c r="T58" t="s">
        <v>10</v>
      </c>
      <c r="U58" t="s">
        <v>10</v>
      </c>
      <c r="W58" s="2" t="e">
        <f t="shared" si="5"/>
        <v>#VALUE!</v>
      </c>
      <c r="Z58">
        <f t="shared" si="0"/>
        <v>108684</v>
      </c>
      <c r="AA58">
        <f t="shared" si="1"/>
        <v>98034</v>
      </c>
      <c r="AC58" s="2">
        <f t="shared" si="6"/>
        <v>0.47424026935245117</v>
      </c>
      <c r="AD58" s="2"/>
      <c r="AE58">
        <f t="shared" si="7"/>
        <v>130893</v>
      </c>
      <c r="AF58">
        <f t="shared" si="8"/>
        <v>53242</v>
      </c>
      <c r="AH58" s="2">
        <f t="shared" si="9"/>
        <v>0.28914655008553508</v>
      </c>
      <c r="AI58" s="2"/>
      <c r="AJ58" s="2"/>
    </row>
    <row r="59" spans="2:37" x14ac:dyDescent="0.25">
      <c r="B59" s="1">
        <v>39798</v>
      </c>
      <c r="C59">
        <v>105828</v>
      </c>
      <c r="D59">
        <v>76870</v>
      </c>
      <c r="F59" s="2">
        <f t="shared" si="2"/>
        <v>0.42074899561024204</v>
      </c>
      <c r="I59">
        <v>124600</v>
      </c>
      <c r="J59">
        <v>47640</v>
      </c>
      <c r="L59" s="2">
        <f t="shared" si="3"/>
        <v>0.27659080352995818</v>
      </c>
      <c r="N59" t="s">
        <v>10</v>
      </c>
      <c r="O59" t="s">
        <v>10</v>
      </c>
      <c r="Q59" s="2" t="e">
        <f t="shared" si="4"/>
        <v>#VALUE!</v>
      </c>
      <c r="T59" t="s">
        <v>10</v>
      </c>
      <c r="U59" t="s">
        <v>10</v>
      </c>
      <c r="W59" s="2" t="e">
        <f t="shared" si="5"/>
        <v>#VALUE!</v>
      </c>
      <c r="Z59">
        <f t="shared" si="0"/>
        <v>105828</v>
      </c>
      <c r="AA59">
        <f t="shared" si="1"/>
        <v>76870</v>
      </c>
      <c r="AC59" s="2">
        <f t="shared" si="6"/>
        <v>0.42074899561024204</v>
      </c>
      <c r="AD59" s="2"/>
      <c r="AE59">
        <f t="shared" si="7"/>
        <v>124600</v>
      </c>
      <c r="AF59">
        <f t="shared" si="8"/>
        <v>47640</v>
      </c>
      <c r="AH59" s="2">
        <f t="shared" si="9"/>
        <v>0.27659080352995818</v>
      </c>
      <c r="AI59" s="2"/>
      <c r="AJ59" s="2"/>
    </row>
    <row r="60" spans="2:37" x14ac:dyDescent="0.25">
      <c r="B60" s="1">
        <v>39805</v>
      </c>
      <c r="C60">
        <v>120959</v>
      </c>
      <c r="D60">
        <v>67710</v>
      </c>
      <c r="F60" s="2">
        <f t="shared" si="2"/>
        <v>0.35888248731906142</v>
      </c>
      <c r="I60">
        <v>142992</v>
      </c>
      <c r="J60">
        <v>56805</v>
      </c>
      <c r="L60" s="2">
        <f t="shared" si="3"/>
        <v>0.28431357828195619</v>
      </c>
      <c r="N60" t="s">
        <v>10</v>
      </c>
      <c r="O60" t="s">
        <v>10</v>
      </c>
      <c r="Q60" s="2" t="e">
        <f t="shared" si="4"/>
        <v>#VALUE!</v>
      </c>
      <c r="T60" t="s">
        <v>10</v>
      </c>
      <c r="U60" t="s">
        <v>10</v>
      </c>
      <c r="W60" s="2" t="e">
        <f t="shared" si="5"/>
        <v>#VALUE!</v>
      </c>
      <c r="Z60">
        <f t="shared" si="0"/>
        <v>120959</v>
      </c>
      <c r="AA60">
        <f t="shared" si="1"/>
        <v>67710</v>
      </c>
      <c r="AC60" s="2">
        <f t="shared" si="6"/>
        <v>0.35888248731906142</v>
      </c>
      <c r="AD60" s="2"/>
      <c r="AE60">
        <f t="shared" si="7"/>
        <v>142992</v>
      </c>
      <c r="AF60">
        <f t="shared" si="8"/>
        <v>56805</v>
      </c>
      <c r="AH60" s="2">
        <f t="shared" si="9"/>
        <v>0.28431357828195619</v>
      </c>
      <c r="AI60" s="2"/>
      <c r="AJ60" s="2"/>
    </row>
    <row r="61" spans="2:37" x14ac:dyDescent="0.25">
      <c r="B61" s="1">
        <v>39812</v>
      </c>
      <c r="C61">
        <v>122913</v>
      </c>
      <c r="D61">
        <v>80183</v>
      </c>
      <c r="F61" s="2">
        <f t="shared" si="2"/>
        <v>0.39480344270689721</v>
      </c>
      <c r="I61">
        <v>140884</v>
      </c>
      <c r="J61">
        <v>58553</v>
      </c>
      <c r="L61" s="2">
        <f t="shared" si="3"/>
        <v>0.2935914599597868</v>
      </c>
      <c r="N61" t="s">
        <v>10</v>
      </c>
      <c r="O61" t="s">
        <v>10</v>
      </c>
      <c r="Q61" s="2" t="e">
        <f t="shared" si="4"/>
        <v>#VALUE!</v>
      </c>
      <c r="T61" t="s">
        <v>10</v>
      </c>
      <c r="U61" t="s">
        <v>10</v>
      </c>
      <c r="W61" s="2" t="e">
        <f t="shared" si="5"/>
        <v>#VALUE!</v>
      </c>
      <c r="Z61">
        <f t="shared" si="0"/>
        <v>122913</v>
      </c>
      <c r="AA61">
        <f t="shared" si="1"/>
        <v>80183</v>
      </c>
      <c r="AC61" s="2">
        <f t="shared" si="6"/>
        <v>0.39480344270689721</v>
      </c>
      <c r="AD61" s="2"/>
      <c r="AE61">
        <f t="shared" si="7"/>
        <v>140884</v>
      </c>
      <c r="AF61">
        <f t="shared" si="8"/>
        <v>58553</v>
      </c>
      <c r="AH61" s="2">
        <f t="shared" si="9"/>
        <v>0.2935914599597868</v>
      </c>
      <c r="AI61" s="2"/>
      <c r="AJ61" s="2"/>
    </row>
    <row r="62" spans="2:37" x14ac:dyDescent="0.25">
      <c r="B62" s="1">
        <v>39819</v>
      </c>
      <c r="C62">
        <v>129783</v>
      </c>
      <c r="D62">
        <v>83205</v>
      </c>
      <c r="F62" s="2">
        <f t="shared" si="2"/>
        <v>0.39065581159501944</v>
      </c>
      <c r="I62">
        <v>139836</v>
      </c>
      <c r="J62">
        <v>54981</v>
      </c>
      <c r="L62" s="2">
        <f t="shared" si="3"/>
        <v>0.28221869754692863</v>
      </c>
      <c r="N62" t="s">
        <v>10</v>
      </c>
      <c r="O62" t="s">
        <v>10</v>
      </c>
      <c r="Q62" s="2" t="e">
        <f t="shared" si="4"/>
        <v>#VALUE!</v>
      </c>
      <c r="T62" t="s">
        <v>10</v>
      </c>
      <c r="U62" t="s">
        <v>10</v>
      </c>
      <c r="W62" s="2" t="e">
        <f t="shared" si="5"/>
        <v>#VALUE!</v>
      </c>
      <c r="Z62">
        <f t="shared" si="0"/>
        <v>129783</v>
      </c>
      <c r="AA62">
        <f t="shared" si="1"/>
        <v>83205</v>
      </c>
      <c r="AC62" s="2">
        <f t="shared" si="6"/>
        <v>0.39065581159501944</v>
      </c>
      <c r="AD62" s="2"/>
      <c r="AE62">
        <f t="shared" si="7"/>
        <v>139836</v>
      </c>
      <c r="AF62">
        <f t="shared" si="8"/>
        <v>54981</v>
      </c>
      <c r="AH62" s="2">
        <f t="shared" si="9"/>
        <v>0.28221869754692863</v>
      </c>
      <c r="AI62" s="2"/>
      <c r="AJ62" s="2"/>
    </row>
    <row r="63" spans="2:37" x14ac:dyDescent="0.25">
      <c r="B63" s="1">
        <v>39826</v>
      </c>
      <c r="C63">
        <v>128765</v>
      </c>
      <c r="D63">
        <v>93798</v>
      </c>
      <c r="F63" s="2">
        <f t="shared" si="2"/>
        <v>0.42144471453026783</v>
      </c>
      <c r="I63">
        <v>143411</v>
      </c>
      <c r="J63">
        <v>70803</v>
      </c>
      <c r="L63" s="2">
        <f t="shared" si="3"/>
        <v>0.33052461557134455</v>
      </c>
      <c r="N63" t="s">
        <v>10</v>
      </c>
      <c r="O63" t="s">
        <v>10</v>
      </c>
      <c r="Q63" s="2" t="e">
        <f t="shared" si="4"/>
        <v>#VALUE!</v>
      </c>
      <c r="T63" t="s">
        <v>10</v>
      </c>
      <c r="U63" t="s">
        <v>10</v>
      </c>
      <c r="W63" s="2" t="e">
        <f t="shared" si="5"/>
        <v>#VALUE!</v>
      </c>
      <c r="Z63">
        <f t="shared" si="0"/>
        <v>128765</v>
      </c>
      <c r="AA63">
        <f t="shared" si="1"/>
        <v>93798</v>
      </c>
      <c r="AC63" s="2">
        <f t="shared" si="6"/>
        <v>0.42144471453026783</v>
      </c>
      <c r="AD63" s="2"/>
      <c r="AE63">
        <f t="shared" si="7"/>
        <v>143411</v>
      </c>
      <c r="AF63">
        <f t="shared" si="8"/>
        <v>70803</v>
      </c>
      <c r="AH63" s="2">
        <f t="shared" si="9"/>
        <v>0.33052461557134455</v>
      </c>
      <c r="AI63" s="2"/>
      <c r="AJ63" s="2"/>
    </row>
    <row r="64" spans="2:37" x14ac:dyDescent="0.25">
      <c r="B64" s="1">
        <v>39833</v>
      </c>
      <c r="C64">
        <v>139601</v>
      </c>
      <c r="D64">
        <v>90673</v>
      </c>
      <c r="F64" s="2">
        <f t="shared" si="2"/>
        <v>0.39376134518008982</v>
      </c>
      <c r="I64">
        <v>154239</v>
      </c>
      <c r="J64">
        <v>70516</v>
      </c>
      <c r="L64" s="2">
        <f t="shared" si="3"/>
        <v>0.31374607906386953</v>
      </c>
      <c r="N64" t="s">
        <v>10</v>
      </c>
      <c r="O64" t="s">
        <v>10</v>
      </c>
      <c r="Q64" s="2" t="e">
        <f t="shared" si="4"/>
        <v>#VALUE!</v>
      </c>
      <c r="T64" t="s">
        <v>10</v>
      </c>
      <c r="U64" t="s">
        <v>10</v>
      </c>
      <c r="W64" s="2" t="e">
        <f t="shared" si="5"/>
        <v>#VALUE!</v>
      </c>
      <c r="Z64">
        <f t="shared" si="0"/>
        <v>139601</v>
      </c>
      <c r="AA64">
        <f t="shared" si="1"/>
        <v>90673</v>
      </c>
      <c r="AC64" s="2">
        <f t="shared" si="6"/>
        <v>0.39376134518008982</v>
      </c>
      <c r="AD64" s="2"/>
      <c r="AE64">
        <f t="shared" si="7"/>
        <v>154239</v>
      </c>
      <c r="AF64">
        <f t="shared" si="8"/>
        <v>70516</v>
      </c>
      <c r="AH64" s="2">
        <f t="shared" si="9"/>
        <v>0.31374607906386953</v>
      </c>
      <c r="AI64" s="2"/>
      <c r="AJ64" s="2"/>
    </row>
    <row r="65" spans="2:37" x14ac:dyDescent="0.25">
      <c r="B65" s="1">
        <v>39840</v>
      </c>
      <c r="C65">
        <v>139543</v>
      </c>
      <c r="D65">
        <v>89511</v>
      </c>
      <c r="F65" s="2">
        <f t="shared" si="2"/>
        <v>0.39078557894644933</v>
      </c>
      <c r="I65">
        <v>151486</v>
      </c>
      <c r="J65">
        <v>61330</v>
      </c>
      <c r="L65" s="2">
        <f t="shared" si="3"/>
        <v>0.28818321930681906</v>
      </c>
      <c r="N65" t="s">
        <v>10</v>
      </c>
      <c r="O65" t="s">
        <v>10</v>
      </c>
      <c r="Q65" s="2" t="e">
        <f t="shared" si="4"/>
        <v>#VALUE!</v>
      </c>
      <c r="T65" t="s">
        <v>10</v>
      </c>
      <c r="U65" t="s">
        <v>10</v>
      </c>
      <c r="W65" s="2" t="e">
        <f t="shared" si="5"/>
        <v>#VALUE!</v>
      </c>
      <c r="Z65">
        <f t="shared" si="0"/>
        <v>139543</v>
      </c>
      <c r="AA65">
        <f t="shared" si="1"/>
        <v>89511</v>
      </c>
      <c r="AC65" s="2">
        <f t="shared" si="6"/>
        <v>0.39078557894644933</v>
      </c>
      <c r="AD65" s="2"/>
      <c r="AE65">
        <f t="shared" si="7"/>
        <v>151486</v>
      </c>
      <c r="AF65">
        <f t="shared" si="8"/>
        <v>61330</v>
      </c>
      <c r="AH65" s="2">
        <f t="shared" si="9"/>
        <v>0.28818321930681906</v>
      </c>
      <c r="AI65" s="2"/>
      <c r="AJ65" s="2"/>
    </row>
    <row r="66" spans="2:37" x14ac:dyDescent="0.25">
      <c r="B66" s="1">
        <v>39847</v>
      </c>
      <c r="C66">
        <v>150169</v>
      </c>
      <c r="D66">
        <v>105089</v>
      </c>
      <c r="F66" s="2">
        <f t="shared" si="2"/>
        <v>0.41169718480909512</v>
      </c>
      <c r="I66">
        <v>164814</v>
      </c>
      <c r="J66">
        <v>71055</v>
      </c>
      <c r="L66" s="2">
        <f t="shared" si="3"/>
        <v>0.30124772649224779</v>
      </c>
      <c r="N66" t="s">
        <v>10</v>
      </c>
      <c r="O66" t="s">
        <v>10</v>
      </c>
      <c r="Q66" s="2" t="e">
        <f t="shared" si="4"/>
        <v>#VALUE!</v>
      </c>
      <c r="T66" t="s">
        <v>10</v>
      </c>
      <c r="U66" t="s">
        <v>10</v>
      </c>
      <c r="W66" s="2" t="e">
        <f t="shared" si="5"/>
        <v>#VALUE!</v>
      </c>
      <c r="Z66">
        <f t="shared" si="0"/>
        <v>150169</v>
      </c>
      <c r="AA66">
        <f t="shared" si="1"/>
        <v>105089</v>
      </c>
      <c r="AC66" s="2">
        <f t="shared" si="6"/>
        <v>0.41169718480909512</v>
      </c>
      <c r="AD66" s="2"/>
      <c r="AE66">
        <f t="shared" si="7"/>
        <v>164814</v>
      </c>
      <c r="AF66">
        <f t="shared" si="8"/>
        <v>71055</v>
      </c>
      <c r="AH66" s="2">
        <f t="shared" si="9"/>
        <v>0.30124772649224779</v>
      </c>
      <c r="AI66" s="2"/>
      <c r="AJ66" s="2"/>
    </row>
    <row r="67" spans="2:37" x14ac:dyDescent="0.25">
      <c r="B67" s="1">
        <v>39854</v>
      </c>
      <c r="C67">
        <v>144453</v>
      </c>
      <c r="D67">
        <v>123588</v>
      </c>
      <c r="F67" s="2">
        <f t="shared" si="2"/>
        <v>0.46107871556963298</v>
      </c>
      <c r="I67">
        <v>160834</v>
      </c>
      <c r="J67">
        <v>84911</v>
      </c>
      <c r="L67" s="2">
        <f t="shared" si="3"/>
        <v>0.34552483265173251</v>
      </c>
      <c r="N67" t="s">
        <v>10</v>
      </c>
      <c r="O67" t="s">
        <v>10</v>
      </c>
      <c r="Q67" s="2" t="e">
        <f t="shared" si="4"/>
        <v>#VALUE!</v>
      </c>
      <c r="T67" t="s">
        <v>10</v>
      </c>
      <c r="U67" t="s">
        <v>10</v>
      </c>
      <c r="W67" s="2" t="e">
        <f t="shared" si="5"/>
        <v>#VALUE!</v>
      </c>
      <c r="Z67">
        <f t="shared" si="0"/>
        <v>144453</v>
      </c>
      <c r="AA67">
        <f t="shared" si="1"/>
        <v>123588</v>
      </c>
      <c r="AC67" s="2">
        <f t="shared" si="6"/>
        <v>0.46107871556963298</v>
      </c>
      <c r="AD67" s="2"/>
      <c r="AE67">
        <f t="shared" si="7"/>
        <v>160834</v>
      </c>
      <c r="AF67">
        <f t="shared" si="8"/>
        <v>84911</v>
      </c>
      <c r="AH67" s="2">
        <f t="shared" si="9"/>
        <v>0.34552483265173251</v>
      </c>
      <c r="AI67" s="2"/>
      <c r="AJ67" s="2"/>
    </row>
    <row r="68" spans="2:37" x14ac:dyDescent="0.25">
      <c r="B68" s="1">
        <v>39861</v>
      </c>
      <c r="C68">
        <v>149132</v>
      </c>
      <c r="D68">
        <v>117795</v>
      </c>
      <c r="F68" s="2">
        <f t="shared" si="2"/>
        <v>0.44130043045476852</v>
      </c>
      <c r="I68">
        <v>162133</v>
      </c>
      <c r="J68">
        <v>94696</v>
      </c>
      <c r="L68" s="2">
        <f t="shared" si="3"/>
        <v>0.36871225601470237</v>
      </c>
      <c r="N68" t="s">
        <v>10</v>
      </c>
      <c r="O68" t="s">
        <v>10</v>
      </c>
      <c r="Q68" s="2" t="e">
        <f t="shared" si="4"/>
        <v>#VALUE!</v>
      </c>
      <c r="T68" t="s">
        <v>10</v>
      </c>
      <c r="U68" t="s">
        <v>10</v>
      </c>
      <c r="W68" s="2" t="e">
        <f t="shared" si="5"/>
        <v>#VALUE!</v>
      </c>
      <c r="Z68">
        <f t="shared" si="0"/>
        <v>149132</v>
      </c>
      <c r="AA68">
        <f t="shared" si="1"/>
        <v>117795</v>
      </c>
      <c r="AC68" s="2">
        <f t="shared" si="6"/>
        <v>0.44130043045476852</v>
      </c>
      <c r="AD68" s="2"/>
      <c r="AE68">
        <f t="shared" si="7"/>
        <v>162133</v>
      </c>
      <c r="AF68">
        <f t="shared" si="8"/>
        <v>94696</v>
      </c>
      <c r="AH68" s="2">
        <f t="shared" si="9"/>
        <v>0.36871225601470237</v>
      </c>
      <c r="AI68" s="2"/>
      <c r="AJ68" s="2"/>
    </row>
    <row r="69" spans="2:37" x14ac:dyDescent="0.25">
      <c r="B69" s="1">
        <v>39868</v>
      </c>
      <c r="C69">
        <v>142090</v>
      </c>
      <c r="D69">
        <v>120031</v>
      </c>
      <c r="F69" s="2">
        <f t="shared" si="2"/>
        <v>0.45792210467684774</v>
      </c>
      <c r="I69">
        <v>149665</v>
      </c>
      <c r="J69">
        <v>92859</v>
      </c>
      <c r="L69" s="2">
        <f t="shared" si="3"/>
        <v>0.38288581748610445</v>
      </c>
      <c r="N69" t="s">
        <v>10</v>
      </c>
      <c r="O69" t="s">
        <v>10</v>
      </c>
      <c r="Q69" s="2" t="e">
        <f t="shared" si="4"/>
        <v>#VALUE!</v>
      </c>
      <c r="T69" t="s">
        <v>10</v>
      </c>
      <c r="U69" t="s">
        <v>10</v>
      </c>
      <c r="W69" s="2" t="e">
        <f t="shared" si="5"/>
        <v>#VALUE!</v>
      </c>
      <c r="Z69">
        <f t="shared" si="0"/>
        <v>142090</v>
      </c>
      <c r="AA69">
        <f t="shared" si="1"/>
        <v>120031</v>
      </c>
      <c r="AC69" s="2">
        <f t="shared" si="6"/>
        <v>0.45792210467684774</v>
      </c>
      <c r="AD69" s="2"/>
      <c r="AE69">
        <f t="shared" si="7"/>
        <v>149665</v>
      </c>
      <c r="AF69">
        <f t="shared" si="8"/>
        <v>92859</v>
      </c>
      <c r="AH69" s="2">
        <f t="shared" si="9"/>
        <v>0.38288581748610445</v>
      </c>
      <c r="AI69" s="2"/>
      <c r="AJ69" s="2"/>
    </row>
    <row r="70" spans="2:37" x14ac:dyDescent="0.25">
      <c r="B70" s="1">
        <v>39875</v>
      </c>
      <c r="C70">
        <v>128982</v>
      </c>
      <c r="D70">
        <v>126859</v>
      </c>
      <c r="F70" s="2">
        <f t="shared" si="2"/>
        <v>0.49585093866893892</v>
      </c>
      <c r="I70">
        <v>137552</v>
      </c>
      <c r="J70">
        <v>101718</v>
      </c>
      <c r="L70" s="2">
        <f t="shared" si="3"/>
        <v>0.42511806745517616</v>
      </c>
      <c r="N70" t="s">
        <v>10</v>
      </c>
      <c r="O70" t="s">
        <v>10</v>
      </c>
      <c r="Q70" s="2" t="e">
        <f t="shared" si="4"/>
        <v>#VALUE!</v>
      </c>
      <c r="T70" t="s">
        <v>10</v>
      </c>
      <c r="U70" t="s">
        <v>10</v>
      </c>
      <c r="W70" s="2" t="e">
        <f t="shared" si="5"/>
        <v>#VALUE!</v>
      </c>
      <c r="Z70">
        <f t="shared" si="0"/>
        <v>128982</v>
      </c>
      <c r="AA70">
        <f t="shared" si="1"/>
        <v>126859</v>
      </c>
      <c r="AC70" s="2">
        <f t="shared" si="6"/>
        <v>0.49585093866893892</v>
      </c>
      <c r="AD70" s="2"/>
      <c r="AE70">
        <f t="shared" si="7"/>
        <v>137552</v>
      </c>
      <c r="AF70">
        <f t="shared" si="8"/>
        <v>101718</v>
      </c>
      <c r="AH70" s="2">
        <f t="shared" si="9"/>
        <v>0.42511806745517616</v>
      </c>
      <c r="AI70" s="2"/>
      <c r="AJ70" s="2"/>
    </row>
    <row r="71" spans="2:37" x14ac:dyDescent="0.25">
      <c r="B71" s="1">
        <v>39882</v>
      </c>
      <c r="C71">
        <v>123935</v>
      </c>
      <c r="D71">
        <v>103447</v>
      </c>
      <c r="F71" s="2">
        <f t="shared" si="2"/>
        <v>0.45494806097228452</v>
      </c>
      <c r="I71">
        <v>130676</v>
      </c>
      <c r="J71">
        <v>79616</v>
      </c>
      <c r="L71" s="2">
        <f t="shared" si="3"/>
        <v>0.37859737888269646</v>
      </c>
      <c r="N71" t="s">
        <v>10</v>
      </c>
      <c r="O71" t="s">
        <v>10</v>
      </c>
      <c r="Q71" s="2" t="e">
        <f t="shared" si="4"/>
        <v>#VALUE!</v>
      </c>
      <c r="T71" t="s">
        <v>10</v>
      </c>
      <c r="U71" t="s">
        <v>10</v>
      </c>
      <c r="W71" s="2" t="e">
        <f t="shared" si="5"/>
        <v>#VALUE!</v>
      </c>
      <c r="Z71">
        <f t="shared" si="0"/>
        <v>123935</v>
      </c>
      <c r="AA71">
        <f t="shared" si="1"/>
        <v>103447</v>
      </c>
      <c r="AC71" s="2">
        <f t="shared" si="6"/>
        <v>0.45494806097228452</v>
      </c>
      <c r="AD71" s="2"/>
      <c r="AE71">
        <f t="shared" si="7"/>
        <v>130676</v>
      </c>
      <c r="AF71">
        <f t="shared" si="8"/>
        <v>79616</v>
      </c>
      <c r="AH71" s="2">
        <f t="shared" si="9"/>
        <v>0.37859737888269646</v>
      </c>
      <c r="AI71" s="2"/>
      <c r="AJ71" s="2"/>
    </row>
    <row r="72" spans="2:37" x14ac:dyDescent="0.25">
      <c r="B72" s="1">
        <v>39889</v>
      </c>
      <c r="C72">
        <v>131768</v>
      </c>
      <c r="D72">
        <v>84047</v>
      </c>
      <c r="F72" s="2">
        <f t="shared" si="2"/>
        <v>0.38944002965502861</v>
      </c>
      <c r="I72">
        <v>143451</v>
      </c>
      <c r="J72">
        <v>70066</v>
      </c>
      <c r="L72" s="2">
        <f t="shared" si="3"/>
        <v>0.32815185676081998</v>
      </c>
      <c r="N72" t="s">
        <v>10</v>
      </c>
      <c r="O72" t="s">
        <v>10</v>
      </c>
      <c r="Q72" s="2" t="e">
        <f t="shared" si="4"/>
        <v>#VALUE!</v>
      </c>
      <c r="T72" t="s">
        <v>10</v>
      </c>
      <c r="U72" t="s">
        <v>10</v>
      </c>
      <c r="W72" s="2" t="e">
        <f t="shared" si="5"/>
        <v>#VALUE!</v>
      </c>
      <c r="Z72">
        <f t="shared" si="0"/>
        <v>131768</v>
      </c>
      <c r="AA72">
        <f t="shared" si="1"/>
        <v>84047</v>
      </c>
      <c r="AC72" s="2">
        <f t="shared" si="6"/>
        <v>0.38944002965502861</v>
      </c>
      <c r="AD72" s="2"/>
      <c r="AE72">
        <f t="shared" si="7"/>
        <v>143451</v>
      </c>
      <c r="AF72">
        <f t="shared" si="8"/>
        <v>70066</v>
      </c>
      <c r="AH72" s="2">
        <f t="shared" si="9"/>
        <v>0.32815185676081998</v>
      </c>
      <c r="AI72" s="2"/>
      <c r="AJ72" s="2"/>
    </row>
    <row r="73" spans="2:37" x14ac:dyDescent="0.25">
      <c r="B73" s="1">
        <v>39896</v>
      </c>
      <c r="C73">
        <v>131704</v>
      </c>
      <c r="D73">
        <v>79476</v>
      </c>
      <c r="F73" s="2">
        <f t="shared" si="2"/>
        <v>0.37634245667203331</v>
      </c>
      <c r="I73">
        <v>142534</v>
      </c>
      <c r="J73">
        <v>61732</v>
      </c>
      <c r="L73" s="2">
        <f t="shared" si="3"/>
        <v>0.30221378007108379</v>
      </c>
      <c r="N73" t="s">
        <v>10</v>
      </c>
      <c r="O73" t="s">
        <v>10</v>
      </c>
      <c r="Q73" s="2" t="e">
        <f t="shared" si="4"/>
        <v>#VALUE!</v>
      </c>
      <c r="T73" t="s">
        <v>10</v>
      </c>
      <c r="U73" t="s">
        <v>10</v>
      </c>
      <c r="W73" s="2" t="e">
        <f t="shared" si="5"/>
        <v>#VALUE!</v>
      </c>
      <c r="Z73">
        <f t="shared" ref="Z73:Z136" si="10">IFERROR(+C73+N73,C73)</f>
        <v>131704</v>
      </c>
      <c r="AA73">
        <f t="shared" ref="AA73:AA136" si="11">IFERROR(+D73+O73,D73)</f>
        <v>79476</v>
      </c>
      <c r="AC73" s="2">
        <f t="shared" si="6"/>
        <v>0.37634245667203331</v>
      </c>
      <c r="AD73" s="2"/>
      <c r="AE73">
        <f t="shared" si="7"/>
        <v>142534</v>
      </c>
      <c r="AF73">
        <f t="shared" si="8"/>
        <v>61732</v>
      </c>
      <c r="AH73" s="2">
        <f t="shared" si="9"/>
        <v>0.30221378007108379</v>
      </c>
      <c r="AI73" s="2"/>
      <c r="AJ73" s="2"/>
      <c r="AK73" t="e">
        <f ca="1">"Brent - Manage Money Short (%) - Last Value: "&amp;TEXT(AK74,"0.0%")</f>
        <v>#REF!</v>
      </c>
    </row>
    <row r="74" spans="2:37" x14ac:dyDescent="0.25">
      <c r="B74" s="1">
        <v>39903</v>
      </c>
      <c r="C74">
        <v>120815</v>
      </c>
      <c r="D74">
        <v>87411</v>
      </c>
      <c r="F74" s="2">
        <f t="shared" ref="F74:F137" si="12">+D74/SUM(C74:D74)</f>
        <v>0.41978907533161086</v>
      </c>
      <c r="I74">
        <v>133627</v>
      </c>
      <c r="J74">
        <v>69480</v>
      </c>
      <c r="L74" s="2">
        <f t="shared" ref="L74:L137" si="13">+J74/SUM(I74:J74)</f>
        <v>0.3420856986711438</v>
      </c>
      <c r="N74" t="s">
        <v>10</v>
      </c>
      <c r="O74" t="s">
        <v>10</v>
      </c>
      <c r="Q74" s="2" t="e">
        <f t="shared" ref="Q74:Q137" si="14">+O74/SUM(N74:O74)</f>
        <v>#VALUE!</v>
      </c>
      <c r="T74" t="s">
        <v>10</v>
      </c>
      <c r="U74" t="s">
        <v>10</v>
      </c>
      <c r="W74" s="2" t="e">
        <f t="shared" ref="W74:W137" si="15">+U74/SUM(T74:U74)</f>
        <v>#VALUE!</v>
      </c>
      <c r="Z74">
        <f t="shared" si="10"/>
        <v>120815</v>
      </c>
      <c r="AA74">
        <f t="shared" si="11"/>
        <v>87411</v>
      </c>
      <c r="AC74" s="2">
        <f t="shared" ref="AC74:AC137" si="16">+AA74/SUM(Z74:AA74)</f>
        <v>0.41978907533161086</v>
      </c>
      <c r="AD74" s="2"/>
      <c r="AE74">
        <f t="shared" ref="AE74:AE137" si="17">IFERROR(+I74+T74,I74)</f>
        <v>133627</v>
      </c>
      <c r="AF74">
        <f t="shared" ref="AF74:AF137" si="18">IFERROR(+J74+U74,J74)</f>
        <v>69480</v>
      </c>
      <c r="AH74" s="2">
        <f t="shared" ref="AH74:AH137" si="19">+AF74/SUM(AE74:AF74)</f>
        <v>0.3420856986711438</v>
      </c>
      <c r="AI74" s="2"/>
      <c r="AJ74" s="2"/>
      <c r="AK74" t="e">
        <f ca="1">+OFFSET(#REF!,AK75-1,0)</f>
        <v>#REF!</v>
      </c>
    </row>
    <row r="75" spans="2:37" x14ac:dyDescent="0.25">
      <c r="B75" s="1">
        <v>39910</v>
      </c>
      <c r="C75">
        <v>124026</v>
      </c>
      <c r="D75">
        <v>79080</v>
      </c>
      <c r="F75" s="2">
        <f t="shared" si="12"/>
        <v>0.38935334258958376</v>
      </c>
      <c r="I75">
        <v>137348</v>
      </c>
      <c r="J75">
        <v>59603</v>
      </c>
      <c r="L75" s="2">
        <f t="shared" si="13"/>
        <v>0.30262857258912113</v>
      </c>
      <c r="N75" t="s">
        <v>10</v>
      </c>
      <c r="O75" t="s">
        <v>10</v>
      </c>
      <c r="Q75" s="2" t="e">
        <f t="shared" si="14"/>
        <v>#VALUE!</v>
      </c>
      <c r="T75" t="s">
        <v>10</v>
      </c>
      <c r="U75" t="s">
        <v>10</v>
      </c>
      <c r="W75" s="2" t="e">
        <f t="shared" si="15"/>
        <v>#VALUE!</v>
      </c>
      <c r="Z75">
        <f t="shared" si="10"/>
        <v>124026</v>
      </c>
      <c r="AA75">
        <f t="shared" si="11"/>
        <v>79080</v>
      </c>
      <c r="AC75" s="2">
        <f t="shared" si="16"/>
        <v>0.38935334258958376</v>
      </c>
      <c r="AD75" s="2"/>
      <c r="AE75">
        <f t="shared" si="17"/>
        <v>137348</v>
      </c>
      <c r="AF75">
        <f t="shared" si="18"/>
        <v>59603</v>
      </c>
      <c r="AH75" s="2">
        <f t="shared" si="19"/>
        <v>0.30262857258912113</v>
      </c>
      <c r="AI75" s="2"/>
      <c r="AJ75" s="2"/>
      <c r="AK75">
        <f>+AK53</f>
        <v>976</v>
      </c>
    </row>
    <row r="76" spans="2:37" x14ac:dyDescent="0.25">
      <c r="B76" s="1">
        <v>39917</v>
      </c>
      <c r="C76">
        <v>121424</v>
      </c>
      <c r="D76">
        <v>85629</v>
      </c>
      <c r="F76" s="2">
        <f t="shared" si="12"/>
        <v>0.4135607791241856</v>
      </c>
      <c r="I76">
        <v>132284</v>
      </c>
      <c r="J76">
        <v>63176</v>
      </c>
      <c r="L76" s="2">
        <f t="shared" si="13"/>
        <v>0.32321702650158601</v>
      </c>
      <c r="N76" t="s">
        <v>10</v>
      </c>
      <c r="O76" t="s">
        <v>10</v>
      </c>
      <c r="Q76" s="2" t="e">
        <f t="shared" si="14"/>
        <v>#VALUE!</v>
      </c>
      <c r="T76" t="s">
        <v>10</v>
      </c>
      <c r="U76" t="s">
        <v>10</v>
      </c>
      <c r="W76" s="2" t="e">
        <f t="shared" si="15"/>
        <v>#VALUE!</v>
      </c>
      <c r="Z76">
        <f t="shared" si="10"/>
        <v>121424</v>
      </c>
      <c r="AA76">
        <f t="shared" si="11"/>
        <v>85629</v>
      </c>
      <c r="AC76" s="2">
        <f t="shared" si="16"/>
        <v>0.4135607791241856</v>
      </c>
      <c r="AD76" s="2"/>
      <c r="AE76">
        <f t="shared" si="17"/>
        <v>132284</v>
      </c>
      <c r="AF76">
        <f t="shared" si="18"/>
        <v>63176</v>
      </c>
      <c r="AH76" s="2">
        <f t="shared" si="19"/>
        <v>0.32321702650158601</v>
      </c>
      <c r="AI76" s="2"/>
      <c r="AJ76" s="2"/>
    </row>
    <row r="77" spans="2:37" x14ac:dyDescent="0.25">
      <c r="B77" s="1">
        <v>39924</v>
      </c>
      <c r="C77">
        <v>116415</v>
      </c>
      <c r="D77">
        <v>107075</v>
      </c>
      <c r="F77" s="2">
        <f t="shared" si="12"/>
        <v>0.47910421047921609</v>
      </c>
      <c r="I77">
        <v>127473</v>
      </c>
      <c r="J77">
        <v>82182</v>
      </c>
      <c r="L77" s="2">
        <f t="shared" si="13"/>
        <v>0.39198683551548974</v>
      </c>
      <c r="N77" t="s">
        <v>10</v>
      </c>
      <c r="O77" t="s">
        <v>10</v>
      </c>
      <c r="Q77" s="2" t="e">
        <f t="shared" si="14"/>
        <v>#VALUE!</v>
      </c>
      <c r="T77" t="s">
        <v>10</v>
      </c>
      <c r="U77" t="s">
        <v>10</v>
      </c>
      <c r="W77" s="2" t="e">
        <f t="shared" si="15"/>
        <v>#VALUE!</v>
      </c>
      <c r="Z77">
        <f t="shared" si="10"/>
        <v>116415</v>
      </c>
      <c r="AA77">
        <f t="shared" si="11"/>
        <v>107075</v>
      </c>
      <c r="AC77" s="2">
        <f t="shared" si="16"/>
        <v>0.47910421047921609</v>
      </c>
      <c r="AD77" s="2"/>
      <c r="AE77">
        <f t="shared" si="17"/>
        <v>127473</v>
      </c>
      <c r="AF77">
        <f t="shared" si="18"/>
        <v>82182</v>
      </c>
      <c r="AH77" s="2">
        <f t="shared" si="19"/>
        <v>0.39198683551548974</v>
      </c>
      <c r="AI77" s="2"/>
      <c r="AJ77" s="2"/>
    </row>
    <row r="78" spans="2:37" x14ac:dyDescent="0.25">
      <c r="B78" s="1">
        <v>39931</v>
      </c>
      <c r="C78">
        <v>114707</v>
      </c>
      <c r="D78">
        <v>92486</v>
      </c>
      <c r="F78" s="2">
        <f t="shared" si="12"/>
        <v>0.4463760841341165</v>
      </c>
      <c r="I78">
        <v>122961</v>
      </c>
      <c r="J78">
        <v>73445</v>
      </c>
      <c r="L78" s="2">
        <f t="shared" si="13"/>
        <v>0.37394478783743879</v>
      </c>
      <c r="N78" t="s">
        <v>10</v>
      </c>
      <c r="O78" t="s">
        <v>10</v>
      </c>
      <c r="Q78" s="2" t="e">
        <f t="shared" si="14"/>
        <v>#VALUE!</v>
      </c>
      <c r="T78" t="s">
        <v>10</v>
      </c>
      <c r="U78" t="s">
        <v>10</v>
      </c>
      <c r="W78" s="2" t="e">
        <f t="shared" si="15"/>
        <v>#VALUE!</v>
      </c>
      <c r="Z78">
        <f t="shared" si="10"/>
        <v>114707</v>
      </c>
      <c r="AA78">
        <f t="shared" si="11"/>
        <v>92486</v>
      </c>
      <c r="AC78" s="2">
        <f t="shared" si="16"/>
        <v>0.4463760841341165</v>
      </c>
      <c r="AD78" s="2"/>
      <c r="AE78">
        <f t="shared" si="17"/>
        <v>122961</v>
      </c>
      <c r="AF78">
        <f t="shared" si="18"/>
        <v>73445</v>
      </c>
      <c r="AH78" s="2">
        <f t="shared" si="19"/>
        <v>0.37394478783743879</v>
      </c>
      <c r="AI78" s="2"/>
      <c r="AJ78" s="2"/>
    </row>
    <row r="79" spans="2:37" x14ac:dyDescent="0.25">
      <c r="B79" s="1">
        <v>39938</v>
      </c>
      <c r="C79">
        <v>121347</v>
      </c>
      <c r="D79">
        <v>88034</v>
      </c>
      <c r="F79" s="2">
        <f t="shared" si="12"/>
        <v>0.42044884683901596</v>
      </c>
      <c r="I79">
        <v>127875</v>
      </c>
      <c r="J79">
        <v>70076</v>
      </c>
      <c r="L79" s="2">
        <f t="shared" si="13"/>
        <v>0.35400679966254273</v>
      </c>
      <c r="N79" t="s">
        <v>10</v>
      </c>
      <c r="O79" t="s">
        <v>10</v>
      </c>
      <c r="Q79" s="2" t="e">
        <f t="shared" si="14"/>
        <v>#VALUE!</v>
      </c>
      <c r="T79" t="s">
        <v>10</v>
      </c>
      <c r="U79" t="s">
        <v>10</v>
      </c>
      <c r="W79" s="2" t="e">
        <f t="shared" si="15"/>
        <v>#VALUE!</v>
      </c>
      <c r="Z79">
        <f t="shared" si="10"/>
        <v>121347</v>
      </c>
      <c r="AA79">
        <f t="shared" si="11"/>
        <v>88034</v>
      </c>
      <c r="AC79" s="2">
        <f t="shared" si="16"/>
        <v>0.42044884683901596</v>
      </c>
      <c r="AD79" s="2"/>
      <c r="AE79">
        <f t="shared" si="17"/>
        <v>127875</v>
      </c>
      <c r="AF79">
        <f t="shared" si="18"/>
        <v>70076</v>
      </c>
      <c r="AH79" s="2">
        <f t="shared" si="19"/>
        <v>0.35400679966254273</v>
      </c>
      <c r="AI79" s="2"/>
      <c r="AJ79" s="2"/>
    </row>
    <row r="80" spans="2:37" x14ac:dyDescent="0.25">
      <c r="B80" s="1">
        <v>39945</v>
      </c>
      <c r="C80">
        <v>119915</v>
      </c>
      <c r="D80">
        <v>63542</v>
      </c>
      <c r="F80" s="2">
        <f t="shared" si="12"/>
        <v>0.34635909232136142</v>
      </c>
      <c r="I80">
        <v>124646</v>
      </c>
      <c r="J80">
        <v>58023</v>
      </c>
      <c r="L80" s="2">
        <f t="shared" si="13"/>
        <v>0.31764010313736868</v>
      </c>
      <c r="N80" t="s">
        <v>10</v>
      </c>
      <c r="O80" t="s">
        <v>10</v>
      </c>
      <c r="Q80" s="2" t="e">
        <f t="shared" si="14"/>
        <v>#VALUE!</v>
      </c>
      <c r="T80" t="s">
        <v>10</v>
      </c>
      <c r="U80" t="s">
        <v>10</v>
      </c>
      <c r="W80" s="2" t="e">
        <f t="shared" si="15"/>
        <v>#VALUE!</v>
      </c>
      <c r="Z80">
        <f t="shared" si="10"/>
        <v>119915</v>
      </c>
      <c r="AA80">
        <f t="shared" si="11"/>
        <v>63542</v>
      </c>
      <c r="AC80" s="2">
        <f t="shared" si="16"/>
        <v>0.34635909232136142</v>
      </c>
      <c r="AD80" s="2"/>
      <c r="AE80">
        <f t="shared" si="17"/>
        <v>124646</v>
      </c>
      <c r="AF80">
        <f t="shared" si="18"/>
        <v>58023</v>
      </c>
      <c r="AH80" s="2">
        <f t="shared" si="19"/>
        <v>0.31764010313736868</v>
      </c>
      <c r="AI80" s="2"/>
      <c r="AJ80" s="2"/>
    </row>
    <row r="81" spans="2:36" x14ac:dyDescent="0.25">
      <c r="B81" s="1">
        <v>39952</v>
      </c>
      <c r="C81">
        <v>121315</v>
      </c>
      <c r="D81">
        <v>51773</v>
      </c>
      <c r="F81" s="2">
        <f t="shared" si="12"/>
        <v>0.29911374560916992</v>
      </c>
      <c r="I81">
        <v>130605</v>
      </c>
      <c r="J81">
        <v>49273</v>
      </c>
      <c r="L81" s="2">
        <f t="shared" si="13"/>
        <v>0.27392454886089462</v>
      </c>
      <c r="N81" t="s">
        <v>10</v>
      </c>
      <c r="O81" t="s">
        <v>10</v>
      </c>
      <c r="Q81" s="2" t="e">
        <f t="shared" si="14"/>
        <v>#VALUE!</v>
      </c>
      <c r="T81" t="s">
        <v>10</v>
      </c>
      <c r="U81" t="s">
        <v>10</v>
      </c>
      <c r="W81" s="2" t="e">
        <f t="shared" si="15"/>
        <v>#VALUE!</v>
      </c>
      <c r="Z81">
        <f t="shared" si="10"/>
        <v>121315</v>
      </c>
      <c r="AA81">
        <f t="shared" si="11"/>
        <v>51773</v>
      </c>
      <c r="AC81" s="2">
        <f t="shared" si="16"/>
        <v>0.29911374560916992</v>
      </c>
      <c r="AD81" s="2"/>
      <c r="AE81">
        <f t="shared" si="17"/>
        <v>130605</v>
      </c>
      <c r="AF81">
        <f t="shared" si="18"/>
        <v>49273</v>
      </c>
      <c r="AH81" s="2">
        <f t="shared" si="19"/>
        <v>0.27392454886089462</v>
      </c>
      <c r="AI81" s="2"/>
      <c r="AJ81" s="2"/>
    </row>
    <row r="82" spans="2:36" x14ac:dyDescent="0.25">
      <c r="B82" s="1">
        <v>39959</v>
      </c>
      <c r="C82">
        <v>129829</v>
      </c>
      <c r="D82">
        <v>53142</v>
      </c>
      <c r="F82" s="2">
        <f t="shared" si="12"/>
        <v>0.29043946854966085</v>
      </c>
      <c r="I82">
        <v>138694</v>
      </c>
      <c r="J82">
        <v>50313</v>
      </c>
      <c r="L82" s="2">
        <f t="shared" si="13"/>
        <v>0.26619649007708707</v>
      </c>
      <c r="N82" t="s">
        <v>10</v>
      </c>
      <c r="O82" t="s">
        <v>10</v>
      </c>
      <c r="Q82" s="2" t="e">
        <f t="shared" si="14"/>
        <v>#VALUE!</v>
      </c>
      <c r="T82" t="s">
        <v>10</v>
      </c>
      <c r="U82" t="s">
        <v>10</v>
      </c>
      <c r="W82" s="2" t="e">
        <f t="shared" si="15"/>
        <v>#VALUE!</v>
      </c>
      <c r="Z82">
        <f t="shared" si="10"/>
        <v>129829</v>
      </c>
      <c r="AA82">
        <f t="shared" si="11"/>
        <v>53142</v>
      </c>
      <c r="AC82" s="2">
        <f t="shared" si="16"/>
        <v>0.29043946854966085</v>
      </c>
      <c r="AD82" s="2"/>
      <c r="AE82">
        <f t="shared" si="17"/>
        <v>138694</v>
      </c>
      <c r="AF82">
        <f t="shared" si="18"/>
        <v>50313</v>
      </c>
      <c r="AH82" s="2">
        <f t="shared" si="19"/>
        <v>0.26619649007708707</v>
      </c>
      <c r="AI82" s="2"/>
      <c r="AJ82" s="2"/>
    </row>
    <row r="83" spans="2:36" x14ac:dyDescent="0.25">
      <c r="B83" s="1">
        <v>39966</v>
      </c>
      <c r="C83">
        <v>135598</v>
      </c>
      <c r="D83">
        <v>65389</v>
      </c>
      <c r="F83" s="2">
        <f t="shared" si="12"/>
        <v>0.32533944981516216</v>
      </c>
      <c r="I83">
        <v>145544</v>
      </c>
      <c r="J83">
        <v>58653</v>
      </c>
      <c r="L83" s="2">
        <f t="shared" si="13"/>
        <v>0.28723732474032432</v>
      </c>
      <c r="N83" t="s">
        <v>10</v>
      </c>
      <c r="O83" t="s">
        <v>10</v>
      </c>
      <c r="Q83" s="2" t="e">
        <f t="shared" si="14"/>
        <v>#VALUE!</v>
      </c>
      <c r="T83" t="s">
        <v>10</v>
      </c>
      <c r="U83" t="s">
        <v>10</v>
      </c>
      <c r="W83" s="2" t="e">
        <f t="shared" si="15"/>
        <v>#VALUE!</v>
      </c>
      <c r="Z83">
        <f t="shared" si="10"/>
        <v>135598</v>
      </c>
      <c r="AA83">
        <f t="shared" si="11"/>
        <v>65389</v>
      </c>
      <c r="AC83" s="2">
        <f t="shared" si="16"/>
        <v>0.32533944981516216</v>
      </c>
      <c r="AD83" s="2"/>
      <c r="AE83">
        <f t="shared" si="17"/>
        <v>145544</v>
      </c>
      <c r="AF83">
        <f t="shared" si="18"/>
        <v>58653</v>
      </c>
      <c r="AH83" s="2">
        <f t="shared" si="19"/>
        <v>0.28723732474032432</v>
      </c>
      <c r="AI83" s="2"/>
      <c r="AJ83" s="2"/>
    </row>
    <row r="84" spans="2:36" x14ac:dyDescent="0.25">
      <c r="B84" s="1">
        <v>39973</v>
      </c>
      <c r="C84">
        <v>137582</v>
      </c>
      <c r="D84">
        <v>57522</v>
      </c>
      <c r="F84" s="2">
        <f t="shared" si="12"/>
        <v>0.29482737411841892</v>
      </c>
      <c r="I84">
        <v>151221</v>
      </c>
      <c r="J84">
        <v>55603</v>
      </c>
      <c r="L84" s="2">
        <f t="shared" si="13"/>
        <v>0.26884210729895952</v>
      </c>
      <c r="N84" t="s">
        <v>10</v>
      </c>
      <c r="O84" t="s">
        <v>10</v>
      </c>
      <c r="Q84" s="2" t="e">
        <f t="shared" si="14"/>
        <v>#VALUE!</v>
      </c>
      <c r="T84" t="s">
        <v>10</v>
      </c>
      <c r="U84" t="s">
        <v>10</v>
      </c>
      <c r="W84" s="2" t="e">
        <f t="shared" si="15"/>
        <v>#VALUE!</v>
      </c>
      <c r="Z84">
        <f t="shared" si="10"/>
        <v>137582</v>
      </c>
      <c r="AA84">
        <f t="shared" si="11"/>
        <v>57522</v>
      </c>
      <c r="AC84" s="2">
        <f t="shared" si="16"/>
        <v>0.29482737411841892</v>
      </c>
      <c r="AD84" s="2"/>
      <c r="AE84">
        <f t="shared" si="17"/>
        <v>151221</v>
      </c>
      <c r="AF84">
        <f t="shared" si="18"/>
        <v>55603</v>
      </c>
      <c r="AH84" s="2">
        <f t="shared" si="19"/>
        <v>0.26884210729895952</v>
      </c>
      <c r="AI84" s="2"/>
      <c r="AJ84" s="2"/>
    </row>
    <row r="85" spans="2:36" x14ac:dyDescent="0.25">
      <c r="B85" s="1">
        <v>39980</v>
      </c>
      <c r="C85">
        <v>135307</v>
      </c>
      <c r="D85">
        <v>75623</v>
      </c>
      <c r="F85" s="2">
        <f t="shared" si="12"/>
        <v>0.35852178447826294</v>
      </c>
      <c r="I85">
        <v>138206</v>
      </c>
      <c r="J85">
        <v>64261</v>
      </c>
      <c r="L85" s="2">
        <f t="shared" si="13"/>
        <v>0.31738999441884358</v>
      </c>
      <c r="N85" t="s">
        <v>10</v>
      </c>
      <c r="O85" t="s">
        <v>10</v>
      </c>
      <c r="Q85" s="2" t="e">
        <f t="shared" si="14"/>
        <v>#VALUE!</v>
      </c>
      <c r="T85" t="s">
        <v>10</v>
      </c>
      <c r="U85" t="s">
        <v>10</v>
      </c>
      <c r="W85" s="2" t="e">
        <f t="shared" si="15"/>
        <v>#VALUE!</v>
      </c>
      <c r="Z85">
        <f t="shared" si="10"/>
        <v>135307</v>
      </c>
      <c r="AA85">
        <f t="shared" si="11"/>
        <v>75623</v>
      </c>
      <c r="AC85" s="2">
        <f t="shared" si="16"/>
        <v>0.35852178447826294</v>
      </c>
      <c r="AD85" s="2"/>
      <c r="AE85">
        <f t="shared" si="17"/>
        <v>138206</v>
      </c>
      <c r="AF85">
        <f t="shared" si="18"/>
        <v>64261</v>
      </c>
      <c r="AH85" s="2">
        <f t="shared" si="19"/>
        <v>0.31738999441884358</v>
      </c>
      <c r="AI85" s="2"/>
      <c r="AJ85" s="2"/>
    </row>
    <row r="86" spans="2:36" x14ac:dyDescent="0.25">
      <c r="B86" s="1">
        <v>39987</v>
      </c>
      <c r="C86">
        <v>137744</v>
      </c>
      <c r="D86">
        <v>66163</v>
      </c>
      <c r="F86" s="2">
        <f t="shared" si="12"/>
        <v>0.32447635441647416</v>
      </c>
      <c r="I86">
        <v>140359</v>
      </c>
      <c r="J86">
        <v>55427</v>
      </c>
      <c r="L86" s="2">
        <f t="shared" si="13"/>
        <v>0.28309991521354949</v>
      </c>
      <c r="N86" t="s">
        <v>10</v>
      </c>
      <c r="O86" t="s">
        <v>10</v>
      </c>
      <c r="Q86" s="2" t="e">
        <f t="shared" si="14"/>
        <v>#VALUE!</v>
      </c>
      <c r="T86" t="s">
        <v>10</v>
      </c>
      <c r="U86" t="s">
        <v>10</v>
      </c>
      <c r="W86" s="2" t="e">
        <f t="shared" si="15"/>
        <v>#VALUE!</v>
      </c>
      <c r="Z86">
        <f t="shared" si="10"/>
        <v>137744</v>
      </c>
      <c r="AA86">
        <f t="shared" si="11"/>
        <v>66163</v>
      </c>
      <c r="AC86" s="2">
        <f t="shared" si="16"/>
        <v>0.32447635441647416</v>
      </c>
      <c r="AD86" s="2"/>
      <c r="AE86">
        <f t="shared" si="17"/>
        <v>140359</v>
      </c>
      <c r="AF86">
        <f t="shared" si="18"/>
        <v>55427</v>
      </c>
      <c r="AH86" s="2">
        <f t="shared" si="19"/>
        <v>0.28309991521354949</v>
      </c>
      <c r="AI86" s="2"/>
      <c r="AJ86" s="2"/>
    </row>
    <row r="87" spans="2:36" x14ac:dyDescent="0.25">
      <c r="B87" s="1">
        <v>39994</v>
      </c>
      <c r="C87">
        <v>145848</v>
      </c>
      <c r="D87">
        <v>68924</v>
      </c>
      <c r="F87" s="2">
        <f t="shared" si="12"/>
        <v>0.32091706553926957</v>
      </c>
      <c r="I87">
        <v>149284</v>
      </c>
      <c r="J87">
        <v>56564</v>
      </c>
      <c r="L87" s="2">
        <f t="shared" si="13"/>
        <v>0.27478527845789125</v>
      </c>
      <c r="N87" t="s">
        <v>10</v>
      </c>
      <c r="O87" t="s">
        <v>10</v>
      </c>
      <c r="Q87" s="2" t="e">
        <f t="shared" si="14"/>
        <v>#VALUE!</v>
      </c>
      <c r="T87" t="s">
        <v>10</v>
      </c>
      <c r="U87" t="s">
        <v>10</v>
      </c>
      <c r="W87" s="2" t="e">
        <f t="shared" si="15"/>
        <v>#VALUE!</v>
      </c>
      <c r="Z87">
        <f t="shared" si="10"/>
        <v>145848</v>
      </c>
      <c r="AA87">
        <f t="shared" si="11"/>
        <v>68924</v>
      </c>
      <c r="AC87" s="2">
        <f t="shared" si="16"/>
        <v>0.32091706553926957</v>
      </c>
      <c r="AD87" s="2"/>
      <c r="AE87">
        <f t="shared" si="17"/>
        <v>149284</v>
      </c>
      <c r="AF87">
        <f t="shared" si="18"/>
        <v>56564</v>
      </c>
      <c r="AH87" s="2">
        <f t="shared" si="19"/>
        <v>0.27478527845789125</v>
      </c>
      <c r="AI87" s="2"/>
      <c r="AJ87" s="2"/>
    </row>
    <row r="88" spans="2:36" x14ac:dyDescent="0.25">
      <c r="B88" s="1">
        <v>40001</v>
      </c>
      <c r="C88">
        <v>126614</v>
      </c>
      <c r="D88">
        <v>77294</v>
      </c>
      <c r="F88" s="2">
        <f t="shared" si="12"/>
        <v>0.37906310689134315</v>
      </c>
      <c r="I88">
        <v>134339</v>
      </c>
      <c r="J88">
        <v>65857</v>
      </c>
      <c r="L88" s="2">
        <f t="shared" si="13"/>
        <v>0.32896261663569704</v>
      </c>
      <c r="N88" t="s">
        <v>10</v>
      </c>
      <c r="O88" t="s">
        <v>10</v>
      </c>
      <c r="Q88" s="2" t="e">
        <f t="shared" si="14"/>
        <v>#VALUE!</v>
      </c>
      <c r="T88" t="s">
        <v>10</v>
      </c>
      <c r="U88" t="s">
        <v>10</v>
      </c>
      <c r="W88" s="2" t="e">
        <f t="shared" si="15"/>
        <v>#VALUE!</v>
      </c>
      <c r="Z88">
        <f t="shared" si="10"/>
        <v>126614</v>
      </c>
      <c r="AA88">
        <f t="shared" si="11"/>
        <v>77294</v>
      </c>
      <c r="AC88" s="2">
        <f t="shared" si="16"/>
        <v>0.37906310689134315</v>
      </c>
      <c r="AD88" s="2"/>
      <c r="AE88">
        <f t="shared" si="17"/>
        <v>134339</v>
      </c>
      <c r="AF88">
        <f t="shared" si="18"/>
        <v>65857</v>
      </c>
      <c r="AH88" s="2">
        <f t="shared" si="19"/>
        <v>0.32896261663569704</v>
      </c>
      <c r="AI88" s="2"/>
      <c r="AJ88" s="2"/>
    </row>
    <row r="89" spans="2:36" x14ac:dyDescent="0.25">
      <c r="B89" s="1">
        <v>40008</v>
      </c>
      <c r="C89">
        <v>122997</v>
      </c>
      <c r="D89">
        <v>76554</v>
      </c>
      <c r="F89" s="2">
        <f t="shared" si="12"/>
        <v>0.38363125216110167</v>
      </c>
      <c r="I89">
        <v>127598</v>
      </c>
      <c r="J89">
        <v>64929</v>
      </c>
      <c r="L89" s="2">
        <f t="shared" si="13"/>
        <v>0.33724620442846975</v>
      </c>
      <c r="N89" t="s">
        <v>10</v>
      </c>
      <c r="O89" t="s">
        <v>10</v>
      </c>
      <c r="Q89" s="2" t="e">
        <f t="shared" si="14"/>
        <v>#VALUE!</v>
      </c>
      <c r="T89" t="s">
        <v>10</v>
      </c>
      <c r="U89" t="s">
        <v>10</v>
      </c>
      <c r="W89" s="2" t="e">
        <f t="shared" si="15"/>
        <v>#VALUE!</v>
      </c>
      <c r="Z89">
        <f t="shared" si="10"/>
        <v>122997</v>
      </c>
      <c r="AA89">
        <f t="shared" si="11"/>
        <v>76554</v>
      </c>
      <c r="AC89" s="2">
        <f t="shared" si="16"/>
        <v>0.38363125216110167</v>
      </c>
      <c r="AD89" s="2"/>
      <c r="AE89">
        <f t="shared" si="17"/>
        <v>127598</v>
      </c>
      <c r="AF89">
        <f t="shared" si="18"/>
        <v>64929</v>
      </c>
      <c r="AH89" s="2">
        <f t="shared" si="19"/>
        <v>0.33724620442846975</v>
      </c>
      <c r="AI89" s="2"/>
      <c r="AJ89" s="2"/>
    </row>
    <row r="90" spans="2:36" x14ac:dyDescent="0.25">
      <c r="B90" s="1">
        <v>40015</v>
      </c>
      <c r="C90">
        <v>123639</v>
      </c>
      <c r="D90">
        <v>87230</v>
      </c>
      <c r="F90" s="2">
        <f t="shared" si="12"/>
        <v>0.41366915004102073</v>
      </c>
      <c r="I90">
        <v>136926</v>
      </c>
      <c r="J90">
        <v>78373</v>
      </c>
      <c r="L90" s="2">
        <f t="shared" si="13"/>
        <v>0.36401934054500951</v>
      </c>
      <c r="N90" t="s">
        <v>10</v>
      </c>
      <c r="O90" t="s">
        <v>10</v>
      </c>
      <c r="Q90" s="2" t="e">
        <f t="shared" si="14"/>
        <v>#VALUE!</v>
      </c>
      <c r="T90" t="s">
        <v>10</v>
      </c>
      <c r="U90" t="s">
        <v>10</v>
      </c>
      <c r="W90" s="2" t="e">
        <f t="shared" si="15"/>
        <v>#VALUE!</v>
      </c>
      <c r="Z90">
        <f t="shared" si="10"/>
        <v>123639</v>
      </c>
      <c r="AA90">
        <f t="shared" si="11"/>
        <v>87230</v>
      </c>
      <c r="AC90" s="2">
        <f t="shared" si="16"/>
        <v>0.41366915004102073</v>
      </c>
      <c r="AD90" s="2"/>
      <c r="AE90">
        <f t="shared" si="17"/>
        <v>136926</v>
      </c>
      <c r="AF90">
        <f t="shared" si="18"/>
        <v>78373</v>
      </c>
      <c r="AH90" s="2">
        <f t="shared" si="19"/>
        <v>0.36401934054500951</v>
      </c>
      <c r="AI90" s="2"/>
      <c r="AJ90" s="2"/>
    </row>
    <row r="91" spans="2:36" x14ac:dyDescent="0.25">
      <c r="B91" s="1">
        <v>40022</v>
      </c>
      <c r="C91">
        <v>132746</v>
      </c>
      <c r="D91">
        <v>86022</v>
      </c>
      <c r="F91" s="2">
        <f t="shared" si="12"/>
        <v>0.39321107291742852</v>
      </c>
      <c r="I91">
        <v>146815</v>
      </c>
      <c r="J91">
        <v>79200</v>
      </c>
      <c r="L91" s="2">
        <f t="shared" si="13"/>
        <v>0.3504192199632768</v>
      </c>
      <c r="N91" t="s">
        <v>10</v>
      </c>
      <c r="O91" t="s">
        <v>10</v>
      </c>
      <c r="Q91" s="2" t="e">
        <f t="shared" si="14"/>
        <v>#VALUE!</v>
      </c>
      <c r="T91" t="s">
        <v>10</v>
      </c>
      <c r="U91" t="s">
        <v>10</v>
      </c>
      <c r="W91" s="2" t="e">
        <f t="shared" si="15"/>
        <v>#VALUE!</v>
      </c>
      <c r="Z91">
        <f t="shared" si="10"/>
        <v>132746</v>
      </c>
      <c r="AA91">
        <f t="shared" si="11"/>
        <v>86022</v>
      </c>
      <c r="AC91" s="2">
        <f t="shared" si="16"/>
        <v>0.39321107291742852</v>
      </c>
      <c r="AD91" s="2"/>
      <c r="AE91">
        <f t="shared" si="17"/>
        <v>146815</v>
      </c>
      <c r="AF91">
        <f t="shared" si="18"/>
        <v>79200</v>
      </c>
      <c r="AH91" s="2">
        <f t="shared" si="19"/>
        <v>0.3504192199632768</v>
      </c>
      <c r="AI91" s="2"/>
      <c r="AJ91" s="2"/>
    </row>
    <row r="92" spans="2:36" x14ac:dyDescent="0.25">
      <c r="B92" s="1">
        <v>40029</v>
      </c>
      <c r="C92">
        <v>151695</v>
      </c>
      <c r="D92">
        <v>66332</v>
      </c>
      <c r="F92" s="2">
        <f t="shared" si="12"/>
        <v>0.30423754856049939</v>
      </c>
      <c r="I92">
        <v>167654</v>
      </c>
      <c r="J92">
        <v>57836</v>
      </c>
      <c r="L92" s="2">
        <f t="shared" si="13"/>
        <v>0.25649030999157391</v>
      </c>
      <c r="N92" t="s">
        <v>10</v>
      </c>
      <c r="O92" t="s">
        <v>10</v>
      </c>
      <c r="Q92" s="2" t="e">
        <f t="shared" si="14"/>
        <v>#VALUE!</v>
      </c>
      <c r="T92" t="s">
        <v>10</v>
      </c>
      <c r="U92" t="s">
        <v>10</v>
      </c>
      <c r="W92" s="2" t="e">
        <f t="shared" si="15"/>
        <v>#VALUE!</v>
      </c>
      <c r="Z92">
        <f t="shared" si="10"/>
        <v>151695</v>
      </c>
      <c r="AA92">
        <f t="shared" si="11"/>
        <v>66332</v>
      </c>
      <c r="AC92" s="2">
        <f t="shared" si="16"/>
        <v>0.30423754856049939</v>
      </c>
      <c r="AD92" s="2"/>
      <c r="AE92">
        <f t="shared" si="17"/>
        <v>167654</v>
      </c>
      <c r="AF92">
        <f t="shared" si="18"/>
        <v>57836</v>
      </c>
      <c r="AH92" s="2">
        <f t="shared" si="19"/>
        <v>0.25649030999157391</v>
      </c>
      <c r="AI92" s="2"/>
      <c r="AJ92" s="2"/>
    </row>
    <row r="93" spans="2:36" x14ac:dyDescent="0.25">
      <c r="B93" s="1">
        <v>40036</v>
      </c>
      <c r="C93">
        <v>146395</v>
      </c>
      <c r="D93">
        <v>65424</v>
      </c>
      <c r="F93" s="2">
        <f t="shared" si="12"/>
        <v>0.30886747647755869</v>
      </c>
      <c r="I93">
        <v>162454</v>
      </c>
      <c r="J93">
        <v>58445</v>
      </c>
      <c r="L93" s="2">
        <f t="shared" si="13"/>
        <v>0.26457792927989715</v>
      </c>
      <c r="N93" t="s">
        <v>10</v>
      </c>
      <c r="O93" t="s">
        <v>10</v>
      </c>
      <c r="Q93" s="2" t="e">
        <f t="shared" si="14"/>
        <v>#VALUE!</v>
      </c>
      <c r="T93" t="s">
        <v>10</v>
      </c>
      <c r="U93" t="s">
        <v>10</v>
      </c>
      <c r="W93" s="2" t="e">
        <f t="shared" si="15"/>
        <v>#VALUE!</v>
      </c>
      <c r="Z93">
        <f t="shared" si="10"/>
        <v>146395</v>
      </c>
      <c r="AA93">
        <f t="shared" si="11"/>
        <v>65424</v>
      </c>
      <c r="AC93" s="2">
        <f t="shared" si="16"/>
        <v>0.30886747647755869</v>
      </c>
      <c r="AD93" s="2"/>
      <c r="AE93">
        <f t="shared" si="17"/>
        <v>162454</v>
      </c>
      <c r="AF93">
        <f t="shared" si="18"/>
        <v>58445</v>
      </c>
      <c r="AH93" s="2">
        <f t="shared" si="19"/>
        <v>0.26457792927989715</v>
      </c>
      <c r="AI93" s="2"/>
      <c r="AJ93" s="2"/>
    </row>
    <row r="94" spans="2:36" x14ac:dyDescent="0.25">
      <c r="B94" s="1">
        <v>40043</v>
      </c>
      <c r="C94">
        <v>138976</v>
      </c>
      <c r="D94">
        <v>73187</v>
      </c>
      <c r="F94" s="2">
        <f t="shared" si="12"/>
        <v>0.34495647214641573</v>
      </c>
      <c r="I94">
        <v>157151</v>
      </c>
      <c r="J94">
        <v>59373</v>
      </c>
      <c r="L94" s="2">
        <f t="shared" si="13"/>
        <v>0.27420978736768209</v>
      </c>
      <c r="N94" t="s">
        <v>10</v>
      </c>
      <c r="O94" t="s">
        <v>10</v>
      </c>
      <c r="Q94" s="2" t="e">
        <f t="shared" si="14"/>
        <v>#VALUE!</v>
      </c>
      <c r="T94" t="s">
        <v>10</v>
      </c>
      <c r="U94" t="s">
        <v>10</v>
      </c>
      <c r="W94" s="2" t="e">
        <f t="shared" si="15"/>
        <v>#VALUE!</v>
      </c>
      <c r="Z94">
        <f t="shared" si="10"/>
        <v>138976</v>
      </c>
      <c r="AA94">
        <f t="shared" si="11"/>
        <v>73187</v>
      </c>
      <c r="AC94" s="2">
        <f t="shared" si="16"/>
        <v>0.34495647214641573</v>
      </c>
      <c r="AD94" s="2"/>
      <c r="AE94">
        <f t="shared" si="17"/>
        <v>157151</v>
      </c>
      <c r="AF94">
        <f t="shared" si="18"/>
        <v>59373</v>
      </c>
      <c r="AH94" s="2">
        <f t="shared" si="19"/>
        <v>0.27420978736768209</v>
      </c>
      <c r="AI94" s="2"/>
      <c r="AJ94" s="2"/>
    </row>
    <row r="95" spans="2:36" x14ac:dyDescent="0.25">
      <c r="B95" s="1">
        <v>40050</v>
      </c>
      <c r="C95">
        <v>155309</v>
      </c>
      <c r="D95">
        <v>69512</v>
      </c>
      <c r="F95" s="2">
        <f t="shared" si="12"/>
        <v>0.30918819861133967</v>
      </c>
      <c r="I95">
        <v>175545</v>
      </c>
      <c r="J95">
        <v>59385</v>
      </c>
      <c r="L95" s="2">
        <f t="shared" si="13"/>
        <v>0.25277742306218876</v>
      </c>
      <c r="N95" t="s">
        <v>10</v>
      </c>
      <c r="O95" t="s">
        <v>10</v>
      </c>
      <c r="Q95" s="2" t="e">
        <f t="shared" si="14"/>
        <v>#VALUE!</v>
      </c>
      <c r="T95" t="s">
        <v>10</v>
      </c>
      <c r="U95" t="s">
        <v>10</v>
      </c>
      <c r="W95" s="2" t="e">
        <f t="shared" si="15"/>
        <v>#VALUE!</v>
      </c>
      <c r="Z95">
        <f t="shared" si="10"/>
        <v>155309</v>
      </c>
      <c r="AA95">
        <f t="shared" si="11"/>
        <v>69512</v>
      </c>
      <c r="AC95" s="2">
        <f t="shared" si="16"/>
        <v>0.30918819861133967</v>
      </c>
      <c r="AD95" s="2"/>
      <c r="AE95">
        <f t="shared" si="17"/>
        <v>175545</v>
      </c>
      <c r="AF95">
        <f t="shared" si="18"/>
        <v>59385</v>
      </c>
      <c r="AH95" s="2">
        <f t="shared" si="19"/>
        <v>0.25277742306218876</v>
      </c>
      <c r="AI95" s="2"/>
      <c r="AJ95" s="2"/>
    </row>
    <row r="96" spans="2:36" x14ac:dyDescent="0.25">
      <c r="B96" s="1">
        <v>40057</v>
      </c>
      <c r="C96">
        <v>132114</v>
      </c>
      <c r="D96">
        <v>70110</v>
      </c>
      <c r="F96" s="2">
        <f t="shared" si="12"/>
        <v>0.34669475433183006</v>
      </c>
      <c r="I96">
        <v>149963</v>
      </c>
      <c r="J96">
        <v>66399</v>
      </c>
      <c r="L96" s="2">
        <f t="shared" si="13"/>
        <v>0.30688845545890681</v>
      </c>
      <c r="N96" t="s">
        <v>10</v>
      </c>
      <c r="O96" t="s">
        <v>10</v>
      </c>
      <c r="Q96" s="2" t="e">
        <f t="shared" si="14"/>
        <v>#VALUE!</v>
      </c>
      <c r="T96" t="s">
        <v>10</v>
      </c>
      <c r="U96" t="s">
        <v>10</v>
      </c>
      <c r="W96" s="2" t="e">
        <f t="shared" si="15"/>
        <v>#VALUE!</v>
      </c>
      <c r="Z96">
        <f t="shared" si="10"/>
        <v>132114</v>
      </c>
      <c r="AA96">
        <f t="shared" si="11"/>
        <v>70110</v>
      </c>
      <c r="AC96" s="2">
        <f t="shared" si="16"/>
        <v>0.34669475433183006</v>
      </c>
      <c r="AD96" s="2"/>
      <c r="AE96">
        <f t="shared" si="17"/>
        <v>149963</v>
      </c>
      <c r="AF96">
        <f t="shared" si="18"/>
        <v>66399</v>
      </c>
      <c r="AH96" s="2">
        <f t="shared" si="19"/>
        <v>0.30688845545890681</v>
      </c>
      <c r="AI96" s="2"/>
      <c r="AJ96" s="2"/>
    </row>
    <row r="97" spans="2:37" x14ac:dyDescent="0.25">
      <c r="B97" s="1">
        <v>40064</v>
      </c>
      <c r="C97">
        <v>131350</v>
      </c>
      <c r="D97">
        <v>60492</v>
      </c>
      <c r="F97" s="2">
        <f t="shared" si="12"/>
        <v>0.31532198371576609</v>
      </c>
      <c r="I97">
        <v>149211</v>
      </c>
      <c r="J97">
        <v>55623</v>
      </c>
      <c r="L97" s="2">
        <f t="shared" si="13"/>
        <v>0.27155159787925831</v>
      </c>
      <c r="N97" t="s">
        <v>10</v>
      </c>
      <c r="O97" t="s">
        <v>10</v>
      </c>
      <c r="Q97" s="2" t="e">
        <f t="shared" si="14"/>
        <v>#VALUE!</v>
      </c>
      <c r="T97" t="s">
        <v>10</v>
      </c>
      <c r="U97" t="s">
        <v>10</v>
      </c>
      <c r="W97" s="2" t="e">
        <f t="shared" si="15"/>
        <v>#VALUE!</v>
      </c>
      <c r="Z97">
        <f t="shared" si="10"/>
        <v>131350</v>
      </c>
      <c r="AA97">
        <f t="shared" si="11"/>
        <v>60492</v>
      </c>
      <c r="AC97" s="2">
        <f t="shared" si="16"/>
        <v>0.31532198371576609</v>
      </c>
      <c r="AD97" s="2"/>
      <c r="AE97">
        <f t="shared" si="17"/>
        <v>149211</v>
      </c>
      <c r="AF97">
        <f t="shared" si="18"/>
        <v>55623</v>
      </c>
      <c r="AH97" s="2">
        <f t="shared" si="19"/>
        <v>0.27155159787925831</v>
      </c>
      <c r="AI97" s="2"/>
      <c r="AJ97" s="2"/>
      <c r="AK97" t="str">
        <f ca="1">"All Crude (F) - Manage Money Short (%) - Last Value: "&amp;TEXT(AK98,"0.0%")</f>
        <v>All Crude (F) - Manage Money Short (%) - Last Value: 27.0%</v>
      </c>
    </row>
    <row r="98" spans="2:37" x14ac:dyDescent="0.25">
      <c r="B98" s="1">
        <v>40071</v>
      </c>
      <c r="C98">
        <v>138611</v>
      </c>
      <c r="D98">
        <v>48701</v>
      </c>
      <c r="F98" s="2">
        <f t="shared" si="12"/>
        <v>0.25999935935764928</v>
      </c>
      <c r="I98">
        <v>156361</v>
      </c>
      <c r="J98">
        <v>45702</v>
      </c>
      <c r="L98" s="2">
        <f t="shared" si="13"/>
        <v>0.22617698440585363</v>
      </c>
      <c r="N98" t="s">
        <v>10</v>
      </c>
      <c r="O98" t="s">
        <v>10</v>
      </c>
      <c r="Q98" s="2" t="e">
        <f t="shared" si="14"/>
        <v>#VALUE!</v>
      </c>
      <c r="T98" t="s">
        <v>10</v>
      </c>
      <c r="U98" t="s">
        <v>10</v>
      </c>
      <c r="W98" s="2" t="e">
        <f t="shared" si="15"/>
        <v>#VALUE!</v>
      </c>
      <c r="Z98">
        <f t="shared" si="10"/>
        <v>138611</v>
      </c>
      <c r="AA98">
        <f t="shared" si="11"/>
        <v>48701</v>
      </c>
      <c r="AC98" s="2">
        <f t="shared" si="16"/>
        <v>0.25999935935764928</v>
      </c>
      <c r="AD98" s="2"/>
      <c r="AE98">
        <f t="shared" si="17"/>
        <v>156361</v>
      </c>
      <c r="AF98">
        <f t="shared" si="18"/>
        <v>45702</v>
      </c>
      <c r="AH98" s="2">
        <f t="shared" si="19"/>
        <v>0.22617698440585363</v>
      </c>
      <c r="AI98" s="2"/>
      <c r="AJ98" s="2"/>
      <c r="AK98">
        <f ca="1">+OFFSET($AC$9,AK99-1,0)</f>
        <v>0.27041620264731153</v>
      </c>
    </row>
    <row r="99" spans="2:37" x14ac:dyDescent="0.25">
      <c r="B99" s="1">
        <v>40078</v>
      </c>
      <c r="C99">
        <v>145210</v>
      </c>
      <c r="D99">
        <v>47179</v>
      </c>
      <c r="F99" s="2">
        <f t="shared" si="12"/>
        <v>0.24522711797452038</v>
      </c>
      <c r="I99">
        <v>162690</v>
      </c>
      <c r="J99">
        <v>43560</v>
      </c>
      <c r="L99" s="2">
        <f t="shared" si="13"/>
        <v>0.2112</v>
      </c>
      <c r="N99" t="s">
        <v>10</v>
      </c>
      <c r="O99" t="s">
        <v>10</v>
      </c>
      <c r="Q99" s="2" t="e">
        <f t="shared" si="14"/>
        <v>#VALUE!</v>
      </c>
      <c r="T99" t="s">
        <v>10</v>
      </c>
      <c r="U99" t="s">
        <v>10</v>
      </c>
      <c r="W99" s="2" t="e">
        <f t="shared" si="15"/>
        <v>#VALUE!</v>
      </c>
      <c r="Z99">
        <f t="shared" si="10"/>
        <v>145210</v>
      </c>
      <c r="AA99">
        <f t="shared" si="11"/>
        <v>47179</v>
      </c>
      <c r="AC99" s="2">
        <f t="shared" si="16"/>
        <v>0.24522711797452038</v>
      </c>
      <c r="AD99" s="2"/>
      <c r="AE99">
        <f t="shared" si="17"/>
        <v>162690</v>
      </c>
      <c r="AF99">
        <f t="shared" si="18"/>
        <v>43560</v>
      </c>
      <c r="AH99" s="2">
        <f t="shared" si="19"/>
        <v>0.2112</v>
      </c>
      <c r="AI99" s="2"/>
      <c r="AJ99" s="2"/>
      <c r="AK99">
        <f>+AK75</f>
        <v>976</v>
      </c>
    </row>
    <row r="100" spans="2:37" x14ac:dyDescent="0.25">
      <c r="B100" s="1">
        <v>40085</v>
      </c>
      <c r="C100">
        <v>138860</v>
      </c>
      <c r="D100">
        <v>78858</v>
      </c>
      <c r="F100" s="2">
        <f t="shared" si="12"/>
        <v>0.36220248210988526</v>
      </c>
      <c r="I100">
        <v>152509</v>
      </c>
      <c r="J100">
        <v>71978</v>
      </c>
      <c r="L100" s="2">
        <f t="shared" si="13"/>
        <v>0.32063326606885922</v>
      </c>
      <c r="N100" t="s">
        <v>10</v>
      </c>
      <c r="O100" t="s">
        <v>10</v>
      </c>
      <c r="Q100" s="2" t="e">
        <f t="shared" si="14"/>
        <v>#VALUE!</v>
      </c>
      <c r="T100" t="s">
        <v>10</v>
      </c>
      <c r="U100" t="s">
        <v>10</v>
      </c>
      <c r="W100" s="2" t="e">
        <f t="shared" si="15"/>
        <v>#VALUE!</v>
      </c>
      <c r="Z100">
        <f t="shared" si="10"/>
        <v>138860</v>
      </c>
      <c r="AA100">
        <f t="shared" si="11"/>
        <v>78858</v>
      </c>
      <c r="AC100" s="2">
        <f t="shared" si="16"/>
        <v>0.36220248210988526</v>
      </c>
      <c r="AD100" s="2"/>
      <c r="AE100">
        <f t="shared" si="17"/>
        <v>152509</v>
      </c>
      <c r="AF100">
        <f t="shared" si="18"/>
        <v>71978</v>
      </c>
      <c r="AH100" s="2">
        <f t="shared" si="19"/>
        <v>0.32063326606885922</v>
      </c>
      <c r="AI100" s="2"/>
      <c r="AJ100" s="2"/>
    </row>
    <row r="101" spans="2:37" x14ac:dyDescent="0.25">
      <c r="B101" s="1">
        <v>40092</v>
      </c>
      <c r="C101">
        <v>151383</v>
      </c>
      <c r="D101">
        <v>62668</v>
      </c>
      <c r="F101" s="2">
        <f t="shared" si="12"/>
        <v>0.29277134888414441</v>
      </c>
      <c r="I101">
        <v>166641</v>
      </c>
      <c r="J101">
        <v>56870</v>
      </c>
      <c r="L101" s="2">
        <f t="shared" si="13"/>
        <v>0.25443937882251882</v>
      </c>
      <c r="N101" t="s">
        <v>10</v>
      </c>
      <c r="O101" t="s">
        <v>10</v>
      </c>
      <c r="Q101" s="2" t="e">
        <f t="shared" si="14"/>
        <v>#VALUE!</v>
      </c>
      <c r="T101" t="s">
        <v>10</v>
      </c>
      <c r="U101" t="s">
        <v>10</v>
      </c>
      <c r="W101" s="2" t="e">
        <f t="shared" si="15"/>
        <v>#VALUE!</v>
      </c>
      <c r="Z101">
        <f t="shared" si="10"/>
        <v>151383</v>
      </c>
      <c r="AA101">
        <f t="shared" si="11"/>
        <v>62668</v>
      </c>
      <c r="AC101" s="2">
        <f t="shared" si="16"/>
        <v>0.29277134888414441</v>
      </c>
      <c r="AD101" s="2"/>
      <c r="AE101">
        <f t="shared" si="17"/>
        <v>166641</v>
      </c>
      <c r="AF101">
        <f t="shared" si="18"/>
        <v>56870</v>
      </c>
      <c r="AH101" s="2">
        <f t="shared" si="19"/>
        <v>0.25443937882251882</v>
      </c>
      <c r="AI101" s="2"/>
      <c r="AJ101" s="2"/>
    </row>
    <row r="102" spans="2:37" x14ac:dyDescent="0.25">
      <c r="B102" s="1">
        <v>40099</v>
      </c>
      <c r="C102">
        <v>169624</v>
      </c>
      <c r="D102">
        <v>58307</v>
      </c>
      <c r="F102" s="2">
        <f t="shared" si="12"/>
        <v>0.25580987228591107</v>
      </c>
      <c r="I102">
        <v>189053</v>
      </c>
      <c r="J102">
        <v>52921</v>
      </c>
      <c r="L102" s="2">
        <f t="shared" si="13"/>
        <v>0.21870531544711416</v>
      </c>
      <c r="N102" t="s">
        <v>10</v>
      </c>
      <c r="O102" t="s">
        <v>10</v>
      </c>
      <c r="Q102" s="2" t="e">
        <f t="shared" si="14"/>
        <v>#VALUE!</v>
      </c>
      <c r="T102" t="s">
        <v>10</v>
      </c>
      <c r="U102" t="s">
        <v>10</v>
      </c>
      <c r="W102" s="2" t="e">
        <f t="shared" si="15"/>
        <v>#VALUE!</v>
      </c>
      <c r="Z102">
        <f t="shared" si="10"/>
        <v>169624</v>
      </c>
      <c r="AA102">
        <f t="shared" si="11"/>
        <v>58307</v>
      </c>
      <c r="AC102" s="2">
        <f t="shared" si="16"/>
        <v>0.25580987228591107</v>
      </c>
      <c r="AD102" s="2"/>
      <c r="AE102">
        <f t="shared" si="17"/>
        <v>189053</v>
      </c>
      <c r="AF102">
        <f t="shared" si="18"/>
        <v>52921</v>
      </c>
      <c r="AH102" s="2">
        <f t="shared" si="19"/>
        <v>0.21870531544711416</v>
      </c>
      <c r="AI102" s="2"/>
      <c r="AJ102" s="2"/>
    </row>
    <row r="103" spans="2:37" x14ac:dyDescent="0.25">
      <c r="B103" s="1">
        <v>40106</v>
      </c>
      <c r="C103">
        <v>189132</v>
      </c>
      <c r="D103">
        <v>58420</v>
      </c>
      <c r="F103" s="2">
        <f t="shared" si="12"/>
        <v>0.2359908221302999</v>
      </c>
      <c r="I103">
        <v>215637</v>
      </c>
      <c r="J103">
        <v>50956</v>
      </c>
      <c r="L103" s="2">
        <f t="shared" si="13"/>
        <v>0.19113780181775217</v>
      </c>
      <c r="N103" t="s">
        <v>10</v>
      </c>
      <c r="O103" t="s">
        <v>10</v>
      </c>
      <c r="Q103" s="2" t="e">
        <f t="shared" si="14"/>
        <v>#VALUE!</v>
      </c>
      <c r="T103" t="s">
        <v>10</v>
      </c>
      <c r="U103" t="s">
        <v>10</v>
      </c>
      <c r="W103" s="2" t="e">
        <f t="shared" si="15"/>
        <v>#VALUE!</v>
      </c>
      <c r="Z103">
        <f t="shared" si="10"/>
        <v>189132</v>
      </c>
      <c r="AA103">
        <f t="shared" si="11"/>
        <v>58420</v>
      </c>
      <c r="AC103" s="2">
        <f t="shared" si="16"/>
        <v>0.2359908221302999</v>
      </c>
      <c r="AD103" s="2"/>
      <c r="AE103">
        <f t="shared" si="17"/>
        <v>215637</v>
      </c>
      <c r="AF103">
        <f t="shared" si="18"/>
        <v>50956</v>
      </c>
      <c r="AH103" s="2">
        <f t="shared" si="19"/>
        <v>0.19113780181775217</v>
      </c>
      <c r="AI103" s="2"/>
      <c r="AJ103" s="2"/>
    </row>
    <row r="104" spans="2:37" x14ac:dyDescent="0.25">
      <c r="B104" s="1">
        <v>40113</v>
      </c>
      <c r="C104">
        <v>204608</v>
      </c>
      <c r="D104">
        <v>47045</v>
      </c>
      <c r="F104" s="2">
        <f t="shared" si="12"/>
        <v>0.18694392675628743</v>
      </c>
      <c r="I104">
        <v>227690</v>
      </c>
      <c r="J104">
        <v>47315</v>
      </c>
      <c r="L104" s="2">
        <f t="shared" si="13"/>
        <v>0.17205141724695916</v>
      </c>
      <c r="N104" t="s">
        <v>10</v>
      </c>
      <c r="O104" t="s">
        <v>10</v>
      </c>
      <c r="Q104" s="2" t="e">
        <f t="shared" si="14"/>
        <v>#VALUE!</v>
      </c>
      <c r="T104" t="s">
        <v>10</v>
      </c>
      <c r="U104" t="s">
        <v>10</v>
      </c>
      <c r="W104" s="2" t="e">
        <f t="shared" si="15"/>
        <v>#VALUE!</v>
      </c>
      <c r="Z104">
        <f t="shared" si="10"/>
        <v>204608</v>
      </c>
      <c r="AA104">
        <f t="shared" si="11"/>
        <v>47045</v>
      </c>
      <c r="AC104" s="2">
        <f t="shared" si="16"/>
        <v>0.18694392675628743</v>
      </c>
      <c r="AD104" s="2"/>
      <c r="AE104">
        <f t="shared" si="17"/>
        <v>227690</v>
      </c>
      <c r="AF104">
        <f t="shared" si="18"/>
        <v>47315</v>
      </c>
      <c r="AH104" s="2">
        <f t="shared" si="19"/>
        <v>0.17205141724695916</v>
      </c>
      <c r="AI104" s="2"/>
      <c r="AJ104" s="2"/>
    </row>
    <row r="105" spans="2:37" x14ac:dyDescent="0.25">
      <c r="B105" s="1">
        <v>40120</v>
      </c>
      <c r="C105">
        <v>195802</v>
      </c>
      <c r="D105">
        <v>40141</v>
      </c>
      <c r="F105" s="2">
        <f t="shared" si="12"/>
        <v>0.17013007378900835</v>
      </c>
      <c r="I105">
        <v>224696</v>
      </c>
      <c r="J105">
        <v>43560</v>
      </c>
      <c r="L105" s="2">
        <f t="shared" si="13"/>
        <v>0.16238220207562926</v>
      </c>
      <c r="N105" t="s">
        <v>10</v>
      </c>
      <c r="O105" t="s">
        <v>10</v>
      </c>
      <c r="Q105" s="2" t="e">
        <f t="shared" si="14"/>
        <v>#VALUE!</v>
      </c>
      <c r="T105" t="s">
        <v>10</v>
      </c>
      <c r="U105" t="s">
        <v>10</v>
      </c>
      <c r="W105" s="2" t="e">
        <f t="shared" si="15"/>
        <v>#VALUE!</v>
      </c>
      <c r="Z105">
        <f t="shared" si="10"/>
        <v>195802</v>
      </c>
      <c r="AA105">
        <f t="shared" si="11"/>
        <v>40141</v>
      </c>
      <c r="AC105" s="2">
        <f t="shared" si="16"/>
        <v>0.17013007378900835</v>
      </c>
      <c r="AD105" s="2"/>
      <c r="AE105">
        <f t="shared" si="17"/>
        <v>224696</v>
      </c>
      <c r="AF105">
        <f t="shared" si="18"/>
        <v>43560</v>
      </c>
      <c r="AH105" s="2">
        <f t="shared" si="19"/>
        <v>0.16238220207562926</v>
      </c>
      <c r="AI105" s="2"/>
      <c r="AJ105" s="2"/>
    </row>
    <row r="106" spans="2:37" x14ac:dyDescent="0.25">
      <c r="B106" s="1">
        <v>40127</v>
      </c>
      <c r="C106">
        <v>187895</v>
      </c>
      <c r="D106">
        <v>53671</v>
      </c>
      <c r="F106" s="2">
        <f t="shared" si="12"/>
        <v>0.22217944578293303</v>
      </c>
      <c r="I106">
        <v>199135</v>
      </c>
      <c r="J106">
        <v>42347</v>
      </c>
      <c r="L106" s="2">
        <f t="shared" si="13"/>
        <v>0.17536296701203402</v>
      </c>
      <c r="N106" t="s">
        <v>10</v>
      </c>
      <c r="O106" t="s">
        <v>10</v>
      </c>
      <c r="Q106" s="2" t="e">
        <f t="shared" si="14"/>
        <v>#VALUE!</v>
      </c>
      <c r="T106" t="s">
        <v>10</v>
      </c>
      <c r="U106" t="s">
        <v>10</v>
      </c>
      <c r="W106" s="2" t="e">
        <f t="shared" si="15"/>
        <v>#VALUE!</v>
      </c>
      <c r="Z106">
        <f t="shared" si="10"/>
        <v>187895</v>
      </c>
      <c r="AA106">
        <f t="shared" si="11"/>
        <v>53671</v>
      </c>
      <c r="AC106" s="2">
        <f t="shared" si="16"/>
        <v>0.22217944578293303</v>
      </c>
      <c r="AD106" s="2"/>
      <c r="AE106">
        <f t="shared" si="17"/>
        <v>199135</v>
      </c>
      <c r="AF106">
        <f t="shared" si="18"/>
        <v>42347</v>
      </c>
      <c r="AH106" s="2">
        <f t="shared" si="19"/>
        <v>0.17536296701203402</v>
      </c>
      <c r="AI106" s="2"/>
      <c r="AJ106" s="2"/>
    </row>
    <row r="107" spans="2:37" x14ac:dyDescent="0.25">
      <c r="B107" s="1">
        <v>40134</v>
      </c>
      <c r="C107">
        <v>180310</v>
      </c>
      <c r="D107">
        <v>32332</v>
      </c>
      <c r="F107" s="2">
        <f t="shared" si="12"/>
        <v>0.15204898373792572</v>
      </c>
      <c r="I107">
        <v>189923</v>
      </c>
      <c r="J107">
        <v>40787</v>
      </c>
      <c r="L107" s="2">
        <f t="shared" si="13"/>
        <v>0.17678904252091371</v>
      </c>
      <c r="N107" t="s">
        <v>10</v>
      </c>
      <c r="O107" t="s">
        <v>10</v>
      </c>
      <c r="Q107" s="2" t="e">
        <f t="shared" si="14"/>
        <v>#VALUE!</v>
      </c>
      <c r="T107" t="s">
        <v>10</v>
      </c>
      <c r="U107" t="s">
        <v>10</v>
      </c>
      <c r="W107" s="2" t="e">
        <f t="shared" si="15"/>
        <v>#VALUE!</v>
      </c>
      <c r="Z107">
        <f t="shared" si="10"/>
        <v>180310</v>
      </c>
      <c r="AA107">
        <f t="shared" si="11"/>
        <v>32332</v>
      </c>
      <c r="AC107" s="2">
        <f t="shared" si="16"/>
        <v>0.15204898373792572</v>
      </c>
      <c r="AD107" s="2"/>
      <c r="AE107">
        <f t="shared" si="17"/>
        <v>189923</v>
      </c>
      <c r="AF107">
        <f t="shared" si="18"/>
        <v>40787</v>
      </c>
      <c r="AH107" s="2">
        <f t="shared" si="19"/>
        <v>0.17678904252091371</v>
      </c>
      <c r="AI107" s="2"/>
      <c r="AJ107" s="2"/>
    </row>
    <row r="108" spans="2:37" x14ac:dyDescent="0.25">
      <c r="B108" s="1">
        <v>40141</v>
      </c>
      <c r="C108">
        <v>158115</v>
      </c>
      <c r="D108">
        <v>43142</v>
      </c>
      <c r="F108" s="2">
        <f t="shared" si="12"/>
        <v>0.21436273024043884</v>
      </c>
      <c r="I108">
        <v>166091</v>
      </c>
      <c r="J108">
        <v>49426</v>
      </c>
      <c r="L108" s="2">
        <f t="shared" si="13"/>
        <v>0.22933689685732447</v>
      </c>
      <c r="N108" t="s">
        <v>10</v>
      </c>
      <c r="O108" t="s">
        <v>10</v>
      </c>
      <c r="Q108" s="2" t="e">
        <f t="shared" si="14"/>
        <v>#VALUE!</v>
      </c>
      <c r="T108" t="s">
        <v>10</v>
      </c>
      <c r="U108" t="s">
        <v>10</v>
      </c>
      <c r="W108" s="2" t="e">
        <f t="shared" si="15"/>
        <v>#VALUE!</v>
      </c>
      <c r="Z108">
        <f t="shared" si="10"/>
        <v>158115</v>
      </c>
      <c r="AA108">
        <f t="shared" si="11"/>
        <v>43142</v>
      </c>
      <c r="AC108" s="2">
        <f t="shared" si="16"/>
        <v>0.21436273024043884</v>
      </c>
      <c r="AD108" s="2"/>
      <c r="AE108">
        <f t="shared" si="17"/>
        <v>166091</v>
      </c>
      <c r="AF108">
        <f t="shared" si="18"/>
        <v>49426</v>
      </c>
      <c r="AH108" s="2">
        <f t="shared" si="19"/>
        <v>0.22933689685732447</v>
      </c>
      <c r="AI108" s="2"/>
      <c r="AJ108" s="2"/>
    </row>
    <row r="109" spans="2:37" x14ac:dyDescent="0.25">
      <c r="B109" s="1">
        <v>40148</v>
      </c>
      <c r="C109">
        <v>165428</v>
      </c>
      <c r="D109">
        <v>40960</v>
      </c>
      <c r="F109" s="2">
        <f t="shared" si="12"/>
        <v>0.19846115084210322</v>
      </c>
      <c r="I109">
        <v>175769</v>
      </c>
      <c r="J109">
        <v>49213</v>
      </c>
      <c r="L109" s="2">
        <f t="shared" si="13"/>
        <v>0.21874194379994844</v>
      </c>
      <c r="N109" t="s">
        <v>10</v>
      </c>
      <c r="O109" t="s">
        <v>10</v>
      </c>
      <c r="Q109" s="2" t="e">
        <f t="shared" si="14"/>
        <v>#VALUE!</v>
      </c>
      <c r="T109" t="s">
        <v>10</v>
      </c>
      <c r="U109" t="s">
        <v>10</v>
      </c>
      <c r="W109" s="2" t="e">
        <f t="shared" si="15"/>
        <v>#VALUE!</v>
      </c>
      <c r="Z109">
        <f t="shared" si="10"/>
        <v>165428</v>
      </c>
      <c r="AA109">
        <f t="shared" si="11"/>
        <v>40960</v>
      </c>
      <c r="AC109" s="2">
        <f t="shared" si="16"/>
        <v>0.19846115084210322</v>
      </c>
      <c r="AD109" s="2"/>
      <c r="AE109">
        <f t="shared" si="17"/>
        <v>175769</v>
      </c>
      <c r="AF109">
        <f t="shared" si="18"/>
        <v>49213</v>
      </c>
      <c r="AH109" s="2">
        <f t="shared" si="19"/>
        <v>0.21874194379994844</v>
      </c>
      <c r="AI109" s="2"/>
      <c r="AJ109" s="2"/>
    </row>
    <row r="110" spans="2:37" x14ac:dyDescent="0.25">
      <c r="B110" s="1">
        <v>40155</v>
      </c>
      <c r="C110">
        <v>154348</v>
      </c>
      <c r="D110">
        <v>52605</v>
      </c>
      <c r="F110" s="2">
        <f t="shared" si="12"/>
        <v>0.25418814900001452</v>
      </c>
      <c r="I110">
        <v>158750</v>
      </c>
      <c r="J110">
        <v>58303</v>
      </c>
      <c r="L110" s="2">
        <f t="shared" si="13"/>
        <v>0.26861181370448695</v>
      </c>
      <c r="N110" t="s">
        <v>10</v>
      </c>
      <c r="O110" t="s">
        <v>10</v>
      </c>
      <c r="Q110" s="2" t="e">
        <f t="shared" si="14"/>
        <v>#VALUE!</v>
      </c>
      <c r="T110" t="s">
        <v>10</v>
      </c>
      <c r="U110" t="s">
        <v>10</v>
      </c>
      <c r="W110" s="2" t="e">
        <f t="shared" si="15"/>
        <v>#VALUE!</v>
      </c>
      <c r="Z110">
        <f t="shared" si="10"/>
        <v>154348</v>
      </c>
      <c r="AA110">
        <f t="shared" si="11"/>
        <v>52605</v>
      </c>
      <c r="AC110" s="2">
        <f t="shared" si="16"/>
        <v>0.25418814900001452</v>
      </c>
      <c r="AD110" s="2"/>
      <c r="AE110">
        <f t="shared" si="17"/>
        <v>158750</v>
      </c>
      <c r="AF110">
        <f t="shared" si="18"/>
        <v>58303</v>
      </c>
      <c r="AH110" s="2">
        <f t="shared" si="19"/>
        <v>0.26861181370448695</v>
      </c>
      <c r="AI110" s="2"/>
      <c r="AJ110" s="2"/>
    </row>
    <row r="111" spans="2:37" x14ac:dyDescent="0.25">
      <c r="B111" s="1">
        <v>40162</v>
      </c>
      <c r="C111">
        <v>158633</v>
      </c>
      <c r="D111">
        <v>65420</v>
      </c>
      <c r="F111" s="2">
        <f t="shared" si="12"/>
        <v>0.29198448581362446</v>
      </c>
      <c r="I111">
        <v>162720</v>
      </c>
      <c r="J111">
        <v>71576</v>
      </c>
      <c r="L111" s="2">
        <f t="shared" si="13"/>
        <v>0.30549390514562774</v>
      </c>
      <c r="N111" t="s">
        <v>10</v>
      </c>
      <c r="O111" t="s">
        <v>10</v>
      </c>
      <c r="Q111" s="2" t="e">
        <f t="shared" si="14"/>
        <v>#VALUE!</v>
      </c>
      <c r="T111" t="s">
        <v>10</v>
      </c>
      <c r="U111" t="s">
        <v>10</v>
      </c>
      <c r="W111" s="2" t="e">
        <f t="shared" si="15"/>
        <v>#VALUE!</v>
      </c>
      <c r="Z111">
        <f t="shared" si="10"/>
        <v>158633</v>
      </c>
      <c r="AA111">
        <f t="shared" si="11"/>
        <v>65420</v>
      </c>
      <c r="AC111" s="2">
        <f t="shared" si="16"/>
        <v>0.29198448581362446</v>
      </c>
      <c r="AD111" s="2"/>
      <c r="AE111">
        <f t="shared" si="17"/>
        <v>162720</v>
      </c>
      <c r="AF111">
        <f t="shared" si="18"/>
        <v>71576</v>
      </c>
      <c r="AH111" s="2">
        <f t="shared" si="19"/>
        <v>0.30549390514562774</v>
      </c>
      <c r="AI111" s="2"/>
      <c r="AJ111" s="2"/>
    </row>
    <row r="112" spans="2:37" x14ac:dyDescent="0.25">
      <c r="B112" s="1">
        <v>40169</v>
      </c>
      <c r="C112">
        <v>158885</v>
      </c>
      <c r="D112">
        <v>49829</v>
      </c>
      <c r="F112" s="2">
        <f t="shared" si="12"/>
        <v>0.23874296884732218</v>
      </c>
      <c r="I112">
        <v>165994</v>
      </c>
      <c r="J112">
        <v>57585</v>
      </c>
      <c r="L112" s="2">
        <f t="shared" si="13"/>
        <v>0.25755996761771005</v>
      </c>
      <c r="N112" t="s">
        <v>10</v>
      </c>
      <c r="O112" t="s">
        <v>10</v>
      </c>
      <c r="Q112" s="2" t="e">
        <f t="shared" si="14"/>
        <v>#VALUE!</v>
      </c>
      <c r="T112" t="s">
        <v>10</v>
      </c>
      <c r="U112" t="s">
        <v>10</v>
      </c>
      <c r="W112" s="2" t="e">
        <f t="shared" si="15"/>
        <v>#VALUE!</v>
      </c>
      <c r="Z112">
        <f t="shared" si="10"/>
        <v>158885</v>
      </c>
      <c r="AA112">
        <f t="shared" si="11"/>
        <v>49829</v>
      </c>
      <c r="AC112" s="2">
        <f t="shared" si="16"/>
        <v>0.23874296884732218</v>
      </c>
      <c r="AD112" s="2"/>
      <c r="AE112">
        <f t="shared" si="17"/>
        <v>165994</v>
      </c>
      <c r="AF112">
        <f t="shared" si="18"/>
        <v>57585</v>
      </c>
      <c r="AH112" s="2">
        <f t="shared" si="19"/>
        <v>0.25755996761771005</v>
      </c>
      <c r="AI112" s="2"/>
      <c r="AJ112" s="2"/>
    </row>
    <row r="113" spans="2:36" x14ac:dyDescent="0.25">
      <c r="B113" s="1">
        <v>40176</v>
      </c>
      <c r="C113">
        <v>172733</v>
      </c>
      <c r="D113">
        <v>39194</v>
      </c>
      <c r="F113" s="2">
        <f t="shared" si="12"/>
        <v>0.1849410410188414</v>
      </c>
      <c r="I113">
        <v>182003</v>
      </c>
      <c r="J113">
        <v>48261</v>
      </c>
      <c r="L113" s="2">
        <f t="shared" si="13"/>
        <v>0.20958986207136157</v>
      </c>
      <c r="N113" t="s">
        <v>10</v>
      </c>
      <c r="O113" t="s">
        <v>10</v>
      </c>
      <c r="Q113" s="2" t="e">
        <f t="shared" si="14"/>
        <v>#VALUE!</v>
      </c>
      <c r="T113" t="s">
        <v>10</v>
      </c>
      <c r="U113" t="s">
        <v>10</v>
      </c>
      <c r="W113" s="2" t="e">
        <f t="shared" si="15"/>
        <v>#VALUE!</v>
      </c>
      <c r="Z113">
        <f t="shared" si="10"/>
        <v>172733</v>
      </c>
      <c r="AA113">
        <f t="shared" si="11"/>
        <v>39194</v>
      </c>
      <c r="AC113" s="2">
        <f t="shared" si="16"/>
        <v>0.1849410410188414</v>
      </c>
      <c r="AD113" s="2"/>
      <c r="AE113">
        <f t="shared" si="17"/>
        <v>182003</v>
      </c>
      <c r="AF113">
        <f t="shared" si="18"/>
        <v>48261</v>
      </c>
      <c r="AH113" s="2">
        <f t="shared" si="19"/>
        <v>0.20958986207136157</v>
      </c>
      <c r="AI113" s="2"/>
      <c r="AJ113" s="2"/>
    </row>
    <row r="114" spans="2:36" x14ac:dyDescent="0.25">
      <c r="B114" s="1">
        <v>40183</v>
      </c>
      <c r="C114">
        <v>194643</v>
      </c>
      <c r="D114">
        <v>39868</v>
      </c>
      <c r="F114" s="2">
        <f t="shared" si="12"/>
        <v>0.17000481853729676</v>
      </c>
      <c r="I114">
        <v>205824</v>
      </c>
      <c r="J114">
        <v>49246</v>
      </c>
      <c r="L114" s="2">
        <f t="shared" si="13"/>
        <v>0.19306856941231818</v>
      </c>
      <c r="N114" t="s">
        <v>10</v>
      </c>
      <c r="O114" t="s">
        <v>10</v>
      </c>
      <c r="Q114" s="2" t="e">
        <f t="shared" si="14"/>
        <v>#VALUE!</v>
      </c>
      <c r="T114" t="s">
        <v>10</v>
      </c>
      <c r="U114" t="s">
        <v>10</v>
      </c>
      <c r="W114" s="2" t="e">
        <f t="shared" si="15"/>
        <v>#VALUE!</v>
      </c>
      <c r="Z114">
        <f t="shared" si="10"/>
        <v>194643</v>
      </c>
      <c r="AA114">
        <f t="shared" si="11"/>
        <v>39868</v>
      </c>
      <c r="AC114" s="2">
        <f t="shared" si="16"/>
        <v>0.17000481853729676</v>
      </c>
      <c r="AD114" s="2"/>
      <c r="AE114">
        <f t="shared" si="17"/>
        <v>205824</v>
      </c>
      <c r="AF114">
        <f t="shared" si="18"/>
        <v>49246</v>
      </c>
      <c r="AH114" s="2">
        <f t="shared" si="19"/>
        <v>0.19306856941231818</v>
      </c>
      <c r="AI114" s="2"/>
      <c r="AJ114" s="2"/>
    </row>
    <row r="115" spans="2:36" x14ac:dyDescent="0.25">
      <c r="B115" s="1">
        <v>40190</v>
      </c>
      <c r="C115">
        <v>217292</v>
      </c>
      <c r="D115">
        <v>41673</v>
      </c>
      <c r="F115" s="2">
        <f t="shared" si="12"/>
        <v>0.16092136002934759</v>
      </c>
      <c r="I115">
        <v>225305</v>
      </c>
      <c r="J115">
        <v>49565</v>
      </c>
      <c r="L115" s="2">
        <f t="shared" si="13"/>
        <v>0.18032160657765489</v>
      </c>
      <c r="N115" t="s">
        <v>10</v>
      </c>
      <c r="O115" t="s">
        <v>10</v>
      </c>
      <c r="Q115" s="2" t="e">
        <f t="shared" si="14"/>
        <v>#VALUE!</v>
      </c>
      <c r="T115" t="s">
        <v>10</v>
      </c>
      <c r="U115" t="s">
        <v>10</v>
      </c>
      <c r="W115" s="2" t="e">
        <f t="shared" si="15"/>
        <v>#VALUE!</v>
      </c>
      <c r="Z115">
        <f t="shared" si="10"/>
        <v>217292</v>
      </c>
      <c r="AA115">
        <f t="shared" si="11"/>
        <v>41673</v>
      </c>
      <c r="AC115" s="2">
        <f t="shared" si="16"/>
        <v>0.16092136002934759</v>
      </c>
      <c r="AD115" s="2"/>
      <c r="AE115">
        <f t="shared" si="17"/>
        <v>225305</v>
      </c>
      <c r="AF115">
        <f t="shared" si="18"/>
        <v>49565</v>
      </c>
      <c r="AH115" s="2">
        <f t="shared" si="19"/>
        <v>0.18032160657765489</v>
      </c>
      <c r="AI115" s="2"/>
      <c r="AJ115" s="2"/>
    </row>
    <row r="116" spans="2:36" x14ac:dyDescent="0.25">
      <c r="B116" s="1">
        <v>40197</v>
      </c>
      <c r="C116">
        <v>214738</v>
      </c>
      <c r="D116">
        <v>37734</v>
      </c>
      <c r="F116" s="2">
        <f t="shared" si="12"/>
        <v>0.14945815773630344</v>
      </c>
      <c r="I116">
        <v>220919</v>
      </c>
      <c r="J116">
        <v>47602</v>
      </c>
      <c r="L116" s="2">
        <f t="shared" si="13"/>
        <v>0.17727477552966062</v>
      </c>
      <c r="N116" t="s">
        <v>10</v>
      </c>
      <c r="O116" t="s">
        <v>10</v>
      </c>
      <c r="Q116" s="2" t="e">
        <f t="shared" si="14"/>
        <v>#VALUE!</v>
      </c>
      <c r="T116" t="s">
        <v>10</v>
      </c>
      <c r="U116" t="s">
        <v>10</v>
      </c>
      <c r="W116" s="2" t="e">
        <f t="shared" si="15"/>
        <v>#VALUE!</v>
      </c>
      <c r="Z116">
        <f t="shared" si="10"/>
        <v>214738</v>
      </c>
      <c r="AA116">
        <f t="shared" si="11"/>
        <v>37734</v>
      </c>
      <c r="AC116" s="2">
        <f t="shared" si="16"/>
        <v>0.14945815773630344</v>
      </c>
      <c r="AD116" s="2"/>
      <c r="AE116">
        <f t="shared" si="17"/>
        <v>220919</v>
      </c>
      <c r="AF116">
        <f t="shared" si="18"/>
        <v>47602</v>
      </c>
      <c r="AH116" s="2">
        <f t="shared" si="19"/>
        <v>0.17727477552966062</v>
      </c>
      <c r="AI116" s="2"/>
      <c r="AJ116" s="2"/>
    </row>
    <row r="117" spans="2:36" x14ac:dyDescent="0.25">
      <c r="B117" s="1">
        <v>40204</v>
      </c>
      <c r="C117">
        <v>179142</v>
      </c>
      <c r="D117">
        <v>45987</v>
      </c>
      <c r="F117" s="2">
        <f t="shared" si="12"/>
        <v>0.20426955212344922</v>
      </c>
      <c r="I117">
        <v>183447</v>
      </c>
      <c r="J117">
        <v>57649</v>
      </c>
      <c r="L117" s="2">
        <f t="shared" si="13"/>
        <v>0.23911222085808143</v>
      </c>
      <c r="N117" t="s">
        <v>10</v>
      </c>
      <c r="O117" t="s">
        <v>10</v>
      </c>
      <c r="Q117" s="2" t="e">
        <f t="shared" si="14"/>
        <v>#VALUE!</v>
      </c>
      <c r="T117" t="s">
        <v>10</v>
      </c>
      <c r="U117" t="s">
        <v>10</v>
      </c>
      <c r="W117" s="2" t="e">
        <f t="shared" si="15"/>
        <v>#VALUE!</v>
      </c>
      <c r="Z117">
        <f t="shared" si="10"/>
        <v>179142</v>
      </c>
      <c r="AA117">
        <f t="shared" si="11"/>
        <v>45987</v>
      </c>
      <c r="AC117" s="2">
        <f t="shared" si="16"/>
        <v>0.20426955212344922</v>
      </c>
      <c r="AD117" s="2"/>
      <c r="AE117">
        <f t="shared" si="17"/>
        <v>183447</v>
      </c>
      <c r="AF117">
        <f t="shared" si="18"/>
        <v>57649</v>
      </c>
      <c r="AH117" s="2">
        <f t="shared" si="19"/>
        <v>0.23911222085808143</v>
      </c>
      <c r="AI117" s="2"/>
      <c r="AJ117" s="2"/>
    </row>
    <row r="118" spans="2:36" x14ac:dyDescent="0.25">
      <c r="B118" s="1">
        <v>40211</v>
      </c>
      <c r="C118">
        <v>169012</v>
      </c>
      <c r="D118">
        <v>47938</v>
      </c>
      <c r="F118" s="2">
        <f t="shared" si="12"/>
        <v>0.22096335561189215</v>
      </c>
      <c r="I118">
        <v>175471</v>
      </c>
      <c r="J118">
        <v>59208</v>
      </c>
      <c r="L118" s="2">
        <f t="shared" si="13"/>
        <v>0.25229355843513906</v>
      </c>
      <c r="N118" t="s">
        <v>10</v>
      </c>
      <c r="O118" t="s">
        <v>10</v>
      </c>
      <c r="Q118" s="2" t="e">
        <f t="shared" si="14"/>
        <v>#VALUE!</v>
      </c>
      <c r="T118" t="s">
        <v>10</v>
      </c>
      <c r="U118" t="s">
        <v>10</v>
      </c>
      <c r="W118" s="2" t="e">
        <f t="shared" si="15"/>
        <v>#VALUE!</v>
      </c>
      <c r="Z118">
        <f t="shared" si="10"/>
        <v>169012</v>
      </c>
      <c r="AA118">
        <f t="shared" si="11"/>
        <v>47938</v>
      </c>
      <c r="AC118" s="2">
        <f t="shared" si="16"/>
        <v>0.22096335561189215</v>
      </c>
      <c r="AD118" s="2"/>
      <c r="AE118">
        <f t="shared" si="17"/>
        <v>175471</v>
      </c>
      <c r="AF118">
        <f t="shared" si="18"/>
        <v>59208</v>
      </c>
      <c r="AH118" s="2">
        <f t="shared" si="19"/>
        <v>0.25229355843513906</v>
      </c>
      <c r="AI118" s="2"/>
      <c r="AJ118" s="2"/>
    </row>
    <row r="119" spans="2:36" x14ac:dyDescent="0.25">
      <c r="B119" s="1">
        <v>40218</v>
      </c>
      <c r="C119">
        <v>153244</v>
      </c>
      <c r="D119">
        <v>64423</v>
      </c>
      <c r="F119" s="2">
        <f t="shared" si="12"/>
        <v>0.29597045027496127</v>
      </c>
      <c r="I119">
        <v>156879</v>
      </c>
      <c r="J119">
        <v>73455</v>
      </c>
      <c r="L119" s="2">
        <f t="shared" si="13"/>
        <v>0.318906457578994</v>
      </c>
      <c r="N119" t="s">
        <v>10</v>
      </c>
      <c r="O119" t="s">
        <v>10</v>
      </c>
      <c r="Q119" s="2" t="e">
        <f t="shared" si="14"/>
        <v>#VALUE!</v>
      </c>
      <c r="T119" t="s">
        <v>10</v>
      </c>
      <c r="U119" t="s">
        <v>10</v>
      </c>
      <c r="W119" s="2" t="e">
        <f t="shared" si="15"/>
        <v>#VALUE!</v>
      </c>
      <c r="Z119">
        <f t="shared" si="10"/>
        <v>153244</v>
      </c>
      <c r="AA119">
        <f t="shared" si="11"/>
        <v>64423</v>
      </c>
      <c r="AC119" s="2">
        <f t="shared" si="16"/>
        <v>0.29597045027496127</v>
      </c>
      <c r="AD119" s="2"/>
      <c r="AE119">
        <f t="shared" si="17"/>
        <v>156879</v>
      </c>
      <c r="AF119">
        <f t="shared" si="18"/>
        <v>73455</v>
      </c>
      <c r="AH119" s="2">
        <f t="shared" si="19"/>
        <v>0.318906457578994</v>
      </c>
      <c r="AI119" s="2"/>
      <c r="AJ119" s="2"/>
    </row>
    <row r="120" spans="2:36" x14ac:dyDescent="0.25">
      <c r="B120" s="1">
        <v>40225</v>
      </c>
      <c r="C120">
        <v>165827</v>
      </c>
      <c r="D120">
        <v>45386</v>
      </c>
      <c r="F120" s="2">
        <f t="shared" si="12"/>
        <v>0.21488260665773415</v>
      </c>
      <c r="I120">
        <v>171290</v>
      </c>
      <c r="J120">
        <v>56203</v>
      </c>
      <c r="L120" s="2">
        <f t="shared" si="13"/>
        <v>0.24705375550016923</v>
      </c>
      <c r="N120" t="s">
        <v>10</v>
      </c>
      <c r="O120" t="s">
        <v>10</v>
      </c>
      <c r="Q120" s="2" t="e">
        <f t="shared" si="14"/>
        <v>#VALUE!</v>
      </c>
      <c r="T120" t="s">
        <v>10</v>
      </c>
      <c r="U120" t="s">
        <v>10</v>
      </c>
      <c r="W120" s="2" t="e">
        <f t="shared" si="15"/>
        <v>#VALUE!</v>
      </c>
      <c r="Z120">
        <f t="shared" si="10"/>
        <v>165827</v>
      </c>
      <c r="AA120">
        <f t="shared" si="11"/>
        <v>45386</v>
      </c>
      <c r="AC120" s="2">
        <f t="shared" si="16"/>
        <v>0.21488260665773415</v>
      </c>
      <c r="AD120" s="2"/>
      <c r="AE120">
        <f t="shared" si="17"/>
        <v>171290</v>
      </c>
      <c r="AF120">
        <f t="shared" si="18"/>
        <v>56203</v>
      </c>
      <c r="AH120" s="2">
        <f t="shared" si="19"/>
        <v>0.24705375550016923</v>
      </c>
      <c r="AI120" s="2"/>
      <c r="AJ120" s="2"/>
    </row>
    <row r="121" spans="2:36" x14ac:dyDescent="0.25">
      <c r="B121" s="1">
        <v>40232</v>
      </c>
      <c r="C121">
        <v>180790</v>
      </c>
      <c r="D121">
        <v>48286</v>
      </c>
      <c r="F121" s="2">
        <f t="shared" si="12"/>
        <v>0.2107859400373675</v>
      </c>
      <c r="I121">
        <v>184589</v>
      </c>
      <c r="J121">
        <v>55543</v>
      </c>
      <c r="L121" s="2">
        <f t="shared" si="13"/>
        <v>0.23130195059384007</v>
      </c>
      <c r="N121" t="s">
        <v>10</v>
      </c>
      <c r="O121" t="s">
        <v>10</v>
      </c>
      <c r="Q121" s="2" t="e">
        <f t="shared" si="14"/>
        <v>#VALUE!</v>
      </c>
      <c r="T121" t="s">
        <v>10</v>
      </c>
      <c r="U121" t="s">
        <v>10</v>
      </c>
      <c r="W121" s="2" t="e">
        <f t="shared" si="15"/>
        <v>#VALUE!</v>
      </c>
      <c r="Z121">
        <f t="shared" si="10"/>
        <v>180790</v>
      </c>
      <c r="AA121">
        <f t="shared" si="11"/>
        <v>48286</v>
      </c>
      <c r="AC121" s="2">
        <f t="shared" si="16"/>
        <v>0.2107859400373675</v>
      </c>
      <c r="AD121" s="2"/>
      <c r="AE121">
        <f t="shared" si="17"/>
        <v>184589</v>
      </c>
      <c r="AF121">
        <f t="shared" si="18"/>
        <v>55543</v>
      </c>
      <c r="AH121" s="2">
        <f t="shared" si="19"/>
        <v>0.23130195059384007</v>
      </c>
      <c r="AI121" s="2"/>
      <c r="AJ121" s="2"/>
    </row>
    <row r="122" spans="2:36" x14ac:dyDescent="0.25">
      <c r="B122" s="1">
        <v>40239</v>
      </c>
      <c r="C122">
        <v>189727</v>
      </c>
      <c r="D122">
        <v>45669</v>
      </c>
      <c r="F122" s="2">
        <f t="shared" si="12"/>
        <v>0.19400924399734915</v>
      </c>
      <c r="I122">
        <v>195331</v>
      </c>
      <c r="J122">
        <v>51854</v>
      </c>
      <c r="L122" s="2">
        <f t="shared" si="13"/>
        <v>0.20977810142201186</v>
      </c>
      <c r="N122" t="s">
        <v>10</v>
      </c>
      <c r="O122" t="s">
        <v>10</v>
      </c>
      <c r="Q122" s="2" t="e">
        <f t="shared" si="14"/>
        <v>#VALUE!</v>
      </c>
      <c r="T122" t="s">
        <v>10</v>
      </c>
      <c r="U122" t="s">
        <v>10</v>
      </c>
      <c r="W122" s="2" t="e">
        <f t="shared" si="15"/>
        <v>#VALUE!</v>
      </c>
      <c r="Z122">
        <f t="shared" si="10"/>
        <v>189727</v>
      </c>
      <c r="AA122">
        <f t="shared" si="11"/>
        <v>45669</v>
      </c>
      <c r="AC122" s="2">
        <f t="shared" si="16"/>
        <v>0.19400924399734915</v>
      </c>
      <c r="AD122" s="2"/>
      <c r="AE122">
        <f t="shared" si="17"/>
        <v>195331</v>
      </c>
      <c r="AF122">
        <f t="shared" si="18"/>
        <v>51854</v>
      </c>
      <c r="AH122" s="2">
        <f t="shared" si="19"/>
        <v>0.20977810142201186</v>
      </c>
      <c r="AI122" s="2"/>
      <c r="AJ122" s="2"/>
    </row>
    <row r="123" spans="2:36" x14ac:dyDescent="0.25">
      <c r="B123" s="1">
        <v>40246</v>
      </c>
      <c r="C123">
        <v>202787</v>
      </c>
      <c r="D123">
        <v>43387</v>
      </c>
      <c r="F123" s="2">
        <f t="shared" si="12"/>
        <v>0.17624525741954877</v>
      </c>
      <c r="I123">
        <v>210831</v>
      </c>
      <c r="J123">
        <v>50354</v>
      </c>
      <c r="L123" s="2">
        <f t="shared" si="13"/>
        <v>0.19279055075904053</v>
      </c>
      <c r="N123" t="s">
        <v>10</v>
      </c>
      <c r="O123" t="s">
        <v>10</v>
      </c>
      <c r="Q123" s="2" t="e">
        <f t="shared" si="14"/>
        <v>#VALUE!</v>
      </c>
      <c r="T123" t="s">
        <v>10</v>
      </c>
      <c r="U123" t="s">
        <v>10</v>
      </c>
      <c r="W123" s="2" t="e">
        <f t="shared" si="15"/>
        <v>#VALUE!</v>
      </c>
      <c r="Z123">
        <f t="shared" si="10"/>
        <v>202787</v>
      </c>
      <c r="AA123">
        <f t="shared" si="11"/>
        <v>43387</v>
      </c>
      <c r="AC123" s="2">
        <f t="shared" si="16"/>
        <v>0.17624525741954877</v>
      </c>
      <c r="AD123" s="2"/>
      <c r="AE123">
        <f t="shared" si="17"/>
        <v>210831</v>
      </c>
      <c r="AF123">
        <f t="shared" si="18"/>
        <v>50354</v>
      </c>
      <c r="AH123" s="2">
        <f t="shared" si="19"/>
        <v>0.19279055075904053</v>
      </c>
      <c r="AI123" s="2"/>
      <c r="AJ123" s="2"/>
    </row>
    <row r="124" spans="2:36" x14ac:dyDescent="0.25">
      <c r="B124" s="1">
        <v>40253</v>
      </c>
      <c r="C124">
        <v>213617</v>
      </c>
      <c r="D124">
        <v>43198</v>
      </c>
      <c r="F124" s="2">
        <f t="shared" si="12"/>
        <v>0.16820668574654907</v>
      </c>
      <c r="I124">
        <v>222496</v>
      </c>
      <c r="J124">
        <v>48955</v>
      </c>
      <c r="L124" s="2">
        <f t="shared" si="13"/>
        <v>0.18034562407211616</v>
      </c>
      <c r="N124" t="s">
        <v>10</v>
      </c>
      <c r="O124" t="s">
        <v>10</v>
      </c>
      <c r="Q124" s="2" t="e">
        <f t="shared" si="14"/>
        <v>#VALUE!</v>
      </c>
      <c r="T124" t="s">
        <v>10</v>
      </c>
      <c r="U124" t="s">
        <v>10</v>
      </c>
      <c r="W124" s="2" t="e">
        <f t="shared" si="15"/>
        <v>#VALUE!</v>
      </c>
      <c r="Z124">
        <f t="shared" si="10"/>
        <v>213617</v>
      </c>
      <c r="AA124">
        <f t="shared" si="11"/>
        <v>43198</v>
      </c>
      <c r="AC124" s="2">
        <f t="shared" si="16"/>
        <v>0.16820668574654907</v>
      </c>
      <c r="AD124" s="2"/>
      <c r="AE124">
        <f t="shared" si="17"/>
        <v>222496</v>
      </c>
      <c r="AF124">
        <f t="shared" si="18"/>
        <v>48955</v>
      </c>
      <c r="AH124" s="2">
        <f t="shared" si="19"/>
        <v>0.18034562407211616</v>
      </c>
      <c r="AI124" s="2"/>
      <c r="AJ124" s="2"/>
    </row>
    <row r="125" spans="2:36" x14ac:dyDescent="0.25">
      <c r="B125" s="1">
        <v>40260</v>
      </c>
      <c r="C125">
        <v>202575</v>
      </c>
      <c r="D125">
        <v>45000</v>
      </c>
      <c r="F125" s="2">
        <f t="shared" si="12"/>
        <v>0.18176310209027569</v>
      </c>
      <c r="I125">
        <v>211309</v>
      </c>
      <c r="J125">
        <v>52003</v>
      </c>
      <c r="L125" s="2">
        <f t="shared" si="13"/>
        <v>0.19749574649085497</v>
      </c>
      <c r="N125" t="s">
        <v>10</v>
      </c>
      <c r="O125" t="s">
        <v>10</v>
      </c>
      <c r="Q125" s="2" t="e">
        <f t="shared" si="14"/>
        <v>#VALUE!</v>
      </c>
      <c r="T125" t="s">
        <v>10</v>
      </c>
      <c r="U125" t="s">
        <v>10</v>
      </c>
      <c r="W125" s="2" t="e">
        <f t="shared" si="15"/>
        <v>#VALUE!</v>
      </c>
      <c r="Z125">
        <f t="shared" si="10"/>
        <v>202575</v>
      </c>
      <c r="AA125">
        <f t="shared" si="11"/>
        <v>45000</v>
      </c>
      <c r="AC125" s="2">
        <f t="shared" si="16"/>
        <v>0.18176310209027569</v>
      </c>
      <c r="AD125" s="2"/>
      <c r="AE125">
        <f t="shared" si="17"/>
        <v>211309</v>
      </c>
      <c r="AF125">
        <f t="shared" si="18"/>
        <v>52003</v>
      </c>
      <c r="AH125" s="2">
        <f t="shared" si="19"/>
        <v>0.19749574649085497</v>
      </c>
      <c r="AI125" s="2"/>
      <c r="AJ125" s="2"/>
    </row>
    <row r="126" spans="2:36" x14ac:dyDescent="0.25">
      <c r="B126" s="1">
        <v>40267</v>
      </c>
      <c r="C126">
        <v>212058</v>
      </c>
      <c r="D126">
        <v>42580</v>
      </c>
      <c r="F126" s="2">
        <f t="shared" si="12"/>
        <v>0.16721777582293296</v>
      </c>
      <c r="I126">
        <v>219694</v>
      </c>
      <c r="J126">
        <v>46357</v>
      </c>
      <c r="L126" s="2">
        <f t="shared" si="13"/>
        <v>0.17424102897564753</v>
      </c>
      <c r="N126" t="s">
        <v>10</v>
      </c>
      <c r="O126" t="s">
        <v>10</v>
      </c>
      <c r="Q126" s="2" t="e">
        <f t="shared" si="14"/>
        <v>#VALUE!</v>
      </c>
      <c r="T126" t="s">
        <v>10</v>
      </c>
      <c r="U126" t="s">
        <v>10</v>
      </c>
      <c r="W126" s="2" t="e">
        <f t="shared" si="15"/>
        <v>#VALUE!</v>
      </c>
      <c r="Z126">
        <f t="shared" si="10"/>
        <v>212058</v>
      </c>
      <c r="AA126">
        <f t="shared" si="11"/>
        <v>42580</v>
      </c>
      <c r="AC126" s="2">
        <f t="shared" si="16"/>
        <v>0.16721777582293296</v>
      </c>
      <c r="AD126" s="2"/>
      <c r="AE126">
        <f t="shared" si="17"/>
        <v>219694</v>
      </c>
      <c r="AF126">
        <f t="shared" si="18"/>
        <v>46357</v>
      </c>
      <c r="AH126" s="2">
        <f t="shared" si="19"/>
        <v>0.17424102897564753</v>
      </c>
      <c r="AI126" s="2"/>
      <c r="AJ126" s="2"/>
    </row>
    <row r="127" spans="2:36" x14ac:dyDescent="0.25">
      <c r="B127" s="1">
        <v>40274</v>
      </c>
      <c r="C127">
        <v>235370</v>
      </c>
      <c r="D127">
        <v>48638</v>
      </c>
      <c r="F127" s="2">
        <f t="shared" si="12"/>
        <v>0.17125573927495</v>
      </c>
      <c r="I127">
        <v>246458</v>
      </c>
      <c r="J127">
        <v>54332</v>
      </c>
      <c r="L127" s="2">
        <f t="shared" si="13"/>
        <v>0.1806310050201137</v>
      </c>
      <c r="N127" t="s">
        <v>10</v>
      </c>
      <c r="O127" t="s">
        <v>10</v>
      </c>
      <c r="Q127" s="2" t="e">
        <f t="shared" si="14"/>
        <v>#VALUE!</v>
      </c>
      <c r="T127" t="s">
        <v>10</v>
      </c>
      <c r="U127" t="s">
        <v>10</v>
      </c>
      <c r="W127" s="2" t="e">
        <f t="shared" si="15"/>
        <v>#VALUE!</v>
      </c>
      <c r="Z127">
        <f t="shared" si="10"/>
        <v>235370</v>
      </c>
      <c r="AA127">
        <f t="shared" si="11"/>
        <v>48638</v>
      </c>
      <c r="AC127" s="2">
        <f t="shared" si="16"/>
        <v>0.17125573927495</v>
      </c>
      <c r="AD127" s="2"/>
      <c r="AE127">
        <f t="shared" si="17"/>
        <v>246458</v>
      </c>
      <c r="AF127">
        <f t="shared" si="18"/>
        <v>54332</v>
      </c>
      <c r="AH127" s="2">
        <f t="shared" si="19"/>
        <v>0.1806310050201137</v>
      </c>
      <c r="AI127" s="2"/>
      <c r="AJ127" s="2"/>
    </row>
    <row r="128" spans="2:36" x14ac:dyDescent="0.25">
      <c r="B128" s="1">
        <v>40281</v>
      </c>
      <c r="C128">
        <v>223408</v>
      </c>
      <c r="D128">
        <v>47904</v>
      </c>
      <c r="F128" s="2">
        <f t="shared" si="12"/>
        <v>0.17656425075190188</v>
      </c>
      <c r="I128">
        <v>234106</v>
      </c>
      <c r="J128">
        <v>53051</v>
      </c>
      <c r="L128" s="2">
        <f t="shared" si="13"/>
        <v>0.18474562695668223</v>
      </c>
      <c r="N128" t="s">
        <v>10</v>
      </c>
      <c r="O128" t="s">
        <v>10</v>
      </c>
      <c r="Q128" s="2" t="e">
        <f t="shared" si="14"/>
        <v>#VALUE!</v>
      </c>
      <c r="T128" t="s">
        <v>10</v>
      </c>
      <c r="U128" t="s">
        <v>10</v>
      </c>
      <c r="W128" s="2" t="e">
        <f t="shared" si="15"/>
        <v>#VALUE!</v>
      </c>
      <c r="Z128">
        <f t="shared" si="10"/>
        <v>223408</v>
      </c>
      <c r="AA128">
        <f t="shared" si="11"/>
        <v>47904</v>
      </c>
      <c r="AC128" s="2">
        <f t="shared" si="16"/>
        <v>0.17656425075190188</v>
      </c>
      <c r="AD128" s="2"/>
      <c r="AE128">
        <f t="shared" si="17"/>
        <v>234106</v>
      </c>
      <c r="AF128">
        <f t="shared" si="18"/>
        <v>53051</v>
      </c>
      <c r="AH128" s="2">
        <f t="shared" si="19"/>
        <v>0.18474562695668223</v>
      </c>
      <c r="AI128" s="2"/>
      <c r="AJ128" s="2"/>
    </row>
    <row r="129" spans="2:37" x14ac:dyDescent="0.25">
      <c r="B129" s="1">
        <v>40288</v>
      </c>
      <c r="C129">
        <v>212485</v>
      </c>
      <c r="D129">
        <v>45466</v>
      </c>
      <c r="F129" s="2">
        <f t="shared" si="12"/>
        <v>0.17625828161162391</v>
      </c>
      <c r="I129">
        <v>222976</v>
      </c>
      <c r="J129">
        <v>49326</v>
      </c>
      <c r="L129" s="2">
        <f t="shared" si="13"/>
        <v>0.18114446460180242</v>
      </c>
      <c r="N129" t="s">
        <v>10</v>
      </c>
      <c r="O129" t="s">
        <v>10</v>
      </c>
      <c r="Q129" s="2" t="e">
        <f t="shared" si="14"/>
        <v>#VALUE!</v>
      </c>
      <c r="T129" t="s">
        <v>10</v>
      </c>
      <c r="U129" t="s">
        <v>10</v>
      </c>
      <c r="W129" s="2" t="e">
        <f t="shared" si="15"/>
        <v>#VALUE!</v>
      </c>
      <c r="Z129">
        <f t="shared" si="10"/>
        <v>212485</v>
      </c>
      <c r="AA129">
        <f t="shared" si="11"/>
        <v>45466</v>
      </c>
      <c r="AC129" s="2">
        <f t="shared" si="16"/>
        <v>0.17625828161162391</v>
      </c>
      <c r="AD129" s="2"/>
      <c r="AE129">
        <f t="shared" si="17"/>
        <v>222976</v>
      </c>
      <c r="AF129">
        <f t="shared" si="18"/>
        <v>49326</v>
      </c>
      <c r="AH129" s="2">
        <f t="shared" si="19"/>
        <v>0.18114446460180242</v>
      </c>
      <c r="AI129" s="2"/>
      <c r="AJ129" s="2"/>
    </row>
    <row r="130" spans="2:37" x14ac:dyDescent="0.25">
      <c r="B130" s="1">
        <v>40295</v>
      </c>
      <c r="C130">
        <v>198047</v>
      </c>
      <c r="D130">
        <v>51117</v>
      </c>
      <c r="F130" s="2">
        <f t="shared" si="12"/>
        <v>0.20515403509335217</v>
      </c>
      <c r="I130">
        <v>207249</v>
      </c>
      <c r="J130">
        <v>55843</v>
      </c>
      <c r="L130" s="2">
        <f t="shared" si="13"/>
        <v>0.21225654903987959</v>
      </c>
      <c r="N130" t="s">
        <v>10</v>
      </c>
      <c r="O130" t="s">
        <v>10</v>
      </c>
      <c r="Q130" s="2" t="e">
        <f t="shared" si="14"/>
        <v>#VALUE!</v>
      </c>
      <c r="T130" t="s">
        <v>10</v>
      </c>
      <c r="U130" t="s">
        <v>10</v>
      </c>
      <c r="W130" s="2" t="e">
        <f t="shared" si="15"/>
        <v>#VALUE!</v>
      </c>
      <c r="Z130">
        <f t="shared" si="10"/>
        <v>198047</v>
      </c>
      <c r="AA130">
        <f t="shared" si="11"/>
        <v>51117</v>
      </c>
      <c r="AC130" s="2">
        <f t="shared" si="16"/>
        <v>0.20515403509335217</v>
      </c>
      <c r="AD130" s="2"/>
      <c r="AE130">
        <f t="shared" si="17"/>
        <v>207249</v>
      </c>
      <c r="AF130">
        <f t="shared" si="18"/>
        <v>55843</v>
      </c>
      <c r="AH130" s="2">
        <f t="shared" si="19"/>
        <v>0.21225654903987959</v>
      </c>
      <c r="AI130" s="2"/>
      <c r="AJ130" s="2"/>
    </row>
    <row r="131" spans="2:37" x14ac:dyDescent="0.25">
      <c r="B131" s="1">
        <v>40302</v>
      </c>
      <c r="C131">
        <v>206198</v>
      </c>
      <c r="D131">
        <v>51216</v>
      </c>
      <c r="F131" s="2">
        <f t="shared" si="12"/>
        <v>0.1989635373367416</v>
      </c>
      <c r="I131">
        <v>218833</v>
      </c>
      <c r="J131">
        <v>59828</v>
      </c>
      <c r="L131" s="2">
        <f t="shared" si="13"/>
        <v>0.2146981457756916</v>
      </c>
      <c r="N131" t="s">
        <v>10</v>
      </c>
      <c r="O131" t="s">
        <v>10</v>
      </c>
      <c r="Q131" s="2" t="e">
        <f t="shared" si="14"/>
        <v>#VALUE!</v>
      </c>
      <c r="T131" t="s">
        <v>10</v>
      </c>
      <c r="U131" t="s">
        <v>10</v>
      </c>
      <c r="W131" s="2" t="e">
        <f t="shared" si="15"/>
        <v>#VALUE!</v>
      </c>
      <c r="Z131">
        <f t="shared" si="10"/>
        <v>206198</v>
      </c>
      <c r="AA131">
        <f t="shared" si="11"/>
        <v>51216</v>
      </c>
      <c r="AC131" s="2">
        <f t="shared" si="16"/>
        <v>0.1989635373367416</v>
      </c>
      <c r="AD131" s="2"/>
      <c r="AE131">
        <f t="shared" si="17"/>
        <v>218833</v>
      </c>
      <c r="AF131">
        <f t="shared" si="18"/>
        <v>59828</v>
      </c>
      <c r="AH131" s="2">
        <f t="shared" si="19"/>
        <v>0.2146981457756916</v>
      </c>
      <c r="AI131" s="2"/>
      <c r="AJ131" s="2"/>
    </row>
    <row r="132" spans="2:37" x14ac:dyDescent="0.25">
      <c r="B132" s="1">
        <v>40309</v>
      </c>
      <c r="C132">
        <v>203191</v>
      </c>
      <c r="D132">
        <v>69749</v>
      </c>
      <c r="F132" s="2">
        <f t="shared" si="12"/>
        <v>0.25554700666813218</v>
      </c>
      <c r="I132">
        <v>204606</v>
      </c>
      <c r="J132">
        <v>73750</v>
      </c>
      <c r="L132" s="2">
        <f t="shared" si="13"/>
        <v>0.26494848323729325</v>
      </c>
      <c r="N132" t="s">
        <v>10</v>
      </c>
      <c r="O132" t="s">
        <v>10</v>
      </c>
      <c r="Q132" s="2" t="e">
        <f t="shared" si="14"/>
        <v>#VALUE!</v>
      </c>
      <c r="T132" t="s">
        <v>10</v>
      </c>
      <c r="U132" t="s">
        <v>10</v>
      </c>
      <c r="W132" s="2" t="e">
        <f t="shared" si="15"/>
        <v>#VALUE!</v>
      </c>
      <c r="Z132">
        <f t="shared" si="10"/>
        <v>203191</v>
      </c>
      <c r="AA132">
        <f t="shared" si="11"/>
        <v>69749</v>
      </c>
      <c r="AC132" s="2">
        <f t="shared" si="16"/>
        <v>0.25554700666813218</v>
      </c>
      <c r="AD132" s="2"/>
      <c r="AE132">
        <f t="shared" si="17"/>
        <v>204606</v>
      </c>
      <c r="AF132">
        <f t="shared" si="18"/>
        <v>73750</v>
      </c>
      <c r="AH132" s="2">
        <f t="shared" si="19"/>
        <v>0.26494848323729325</v>
      </c>
      <c r="AI132" s="2"/>
      <c r="AJ132" s="2"/>
    </row>
    <row r="133" spans="2:37" x14ac:dyDescent="0.25">
      <c r="B133" s="1">
        <v>40316</v>
      </c>
      <c r="C133">
        <v>191272</v>
      </c>
      <c r="D133">
        <v>102858</v>
      </c>
      <c r="F133" s="2">
        <f t="shared" si="12"/>
        <v>0.34970251249447526</v>
      </c>
      <c r="I133">
        <v>191381</v>
      </c>
      <c r="J133">
        <v>102046</v>
      </c>
      <c r="L133" s="2">
        <f t="shared" si="13"/>
        <v>0.34777304065406389</v>
      </c>
      <c r="N133" t="s">
        <v>10</v>
      </c>
      <c r="O133" t="s">
        <v>10</v>
      </c>
      <c r="Q133" s="2" t="e">
        <f t="shared" si="14"/>
        <v>#VALUE!</v>
      </c>
      <c r="T133" t="s">
        <v>10</v>
      </c>
      <c r="U133" t="s">
        <v>10</v>
      </c>
      <c r="W133" s="2" t="e">
        <f t="shared" si="15"/>
        <v>#VALUE!</v>
      </c>
      <c r="Z133">
        <f t="shared" si="10"/>
        <v>191272</v>
      </c>
      <c r="AA133">
        <f t="shared" si="11"/>
        <v>102858</v>
      </c>
      <c r="AC133" s="2">
        <f t="shared" si="16"/>
        <v>0.34970251249447526</v>
      </c>
      <c r="AD133" s="2"/>
      <c r="AE133">
        <f t="shared" si="17"/>
        <v>191381</v>
      </c>
      <c r="AF133">
        <f t="shared" si="18"/>
        <v>102046</v>
      </c>
      <c r="AH133" s="2">
        <f t="shared" si="19"/>
        <v>0.34777304065406389</v>
      </c>
      <c r="AI133" s="2"/>
      <c r="AJ133" s="2"/>
    </row>
    <row r="134" spans="2:37" x14ac:dyDescent="0.25">
      <c r="B134" s="1">
        <v>40323</v>
      </c>
      <c r="C134">
        <v>183241</v>
      </c>
      <c r="D134">
        <v>107385</v>
      </c>
      <c r="F134" s="2">
        <f t="shared" si="12"/>
        <v>0.3694955028111731</v>
      </c>
      <c r="I134">
        <v>178817</v>
      </c>
      <c r="J134">
        <v>104581</v>
      </c>
      <c r="L134" s="2">
        <f t="shared" si="13"/>
        <v>0.36902518719257016</v>
      </c>
      <c r="N134" t="s">
        <v>10</v>
      </c>
      <c r="O134" t="s">
        <v>10</v>
      </c>
      <c r="Q134" s="2" t="e">
        <f t="shared" si="14"/>
        <v>#VALUE!</v>
      </c>
      <c r="T134" t="s">
        <v>10</v>
      </c>
      <c r="U134" t="s">
        <v>10</v>
      </c>
      <c r="W134" s="2" t="e">
        <f t="shared" si="15"/>
        <v>#VALUE!</v>
      </c>
      <c r="Z134">
        <f t="shared" si="10"/>
        <v>183241</v>
      </c>
      <c r="AA134">
        <f t="shared" si="11"/>
        <v>107385</v>
      </c>
      <c r="AC134" s="2">
        <f t="shared" si="16"/>
        <v>0.3694955028111731</v>
      </c>
      <c r="AD134" s="2"/>
      <c r="AE134">
        <f t="shared" si="17"/>
        <v>178817</v>
      </c>
      <c r="AF134">
        <f t="shared" si="18"/>
        <v>104581</v>
      </c>
      <c r="AH134" s="2">
        <f t="shared" si="19"/>
        <v>0.36902518719257016</v>
      </c>
      <c r="AI134" s="2"/>
      <c r="AJ134" s="2"/>
    </row>
    <row r="135" spans="2:37" x14ac:dyDescent="0.25">
      <c r="B135" s="1">
        <v>40330</v>
      </c>
      <c r="C135">
        <v>179759</v>
      </c>
      <c r="D135">
        <v>113931</v>
      </c>
      <c r="F135" s="2">
        <f t="shared" si="12"/>
        <v>0.3879294494194559</v>
      </c>
      <c r="I135">
        <v>179252</v>
      </c>
      <c r="J135">
        <v>110479</v>
      </c>
      <c r="L135" s="2">
        <f t="shared" si="13"/>
        <v>0.3813157722162972</v>
      </c>
      <c r="N135" t="s">
        <v>10</v>
      </c>
      <c r="O135" t="s">
        <v>10</v>
      </c>
      <c r="Q135" s="2" t="e">
        <f t="shared" si="14"/>
        <v>#VALUE!</v>
      </c>
      <c r="T135" t="s">
        <v>10</v>
      </c>
      <c r="U135" t="s">
        <v>10</v>
      </c>
      <c r="W135" s="2" t="e">
        <f t="shared" si="15"/>
        <v>#VALUE!</v>
      </c>
      <c r="Z135">
        <f t="shared" si="10"/>
        <v>179759</v>
      </c>
      <c r="AA135">
        <f t="shared" si="11"/>
        <v>113931</v>
      </c>
      <c r="AC135" s="2">
        <f t="shared" si="16"/>
        <v>0.3879294494194559</v>
      </c>
      <c r="AD135" s="2"/>
      <c r="AE135">
        <f t="shared" si="17"/>
        <v>179252</v>
      </c>
      <c r="AF135">
        <f t="shared" si="18"/>
        <v>110479</v>
      </c>
      <c r="AH135" s="2">
        <f t="shared" si="19"/>
        <v>0.3813157722162972</v>
      </c>
      <c r="AI135" s="2"/>
      <c r="AJ135" s="2"/>
    </row>
    <row r="136" spans="2:37" x14ac:dyDescent="0.25">
      <c r="B136" s="1">
        <v>40337</v>
      </c>
      <c r="C136">
        <v>178229</v>
      </c>
      <c r="D136">
        <v>110586</v>
      </c>
      <c r="F136" s="2">
        <f t="shared" si="12"/>
        <v>0.38289562522722159</v>
      </c>
      <c r="I136">
        <v>178553</v>
      </c>
      <c r="J136">
        <v>104143</v>
      </c>
      <c r="L136" s="2">
        <f t="shared" si="13"/>
        <v>0.36839219514955995</v>
      </c>
      <c r="N136" t="s">
        <v>10</v>
      </c>
      <c r="O136" t="s">
        <v>10</v>
      </c>
      <c r="Q136" s="2" t="e">
        <f t="shared" si="14"/>
        <v>#VALUE!</v>
      </c>
      <c r="T136" t="s">
        <v>10</v>
      </c>
      <c r="U136" t="s">
        <v>10</v>
      </c>
      <c r="W136" s="2" t="e">
        <f t="shared" si="15"/>
        <v>#VALUE!</v>
      </c>
      <c r="Z136">
        <f t="shared" si="10"/>
        <v>178229</v>
      </c>
      <c r="AA136">
        <f t="shared" si="11"/>
        <v>110586</v>
      </c>
      <c r="AC136" s="2">
        <f t="shared" si="16"/>
        <v>0.38289562522722159</v>
      </c>
      <c r="AD136" s="2"/>
      <c r="AE136">
        <f t="shared" si="17"/>
        <v>178553</v>
      </c>
      <c r="AF136">
        <f t="shared" si="18"/>
        <v>104143</v>
      </c>
      <c r="AH136" s="2">
        <f t="shared" si="19"/>
        <v>0.36839219514955995</v>
      </c>
      <c r="AI136" s="2"/>
      <c r="AJ136" s="2"/>
      <c r="AK136" t="str">
        <f ca="1">"All Crude- F+O - Manage Money Short (%) - Last Value: "&amp;TEXT(AK137,"0.0%")</f>
        <v>All Crude- F+O - Manage Money Short (%) - Last Value: 25.2%</v>
      </c>
    </row>
    <row r="137" spans="2:37" x14ac:dyDescent="0.25">
      <c r="B137" s="1">
        <v>40344</v>
      </c>
      <c r="C137">
        <v>177653</v>
      </c>
      <c r="D137">
        <v>86387</v>
      </c>
      <c r="F137" s="2">
        <f t="shared" si="12"/>
        <v>0.32717391304347826</v>
      </c>
      <c r="I137">
        <v>184544</v>
      </c>
      <c r="J137">
        <v>86581</v>
      </c>
      <c r="L137" s="2">
        <f t="shared" si="13"/>
        <v>0.31933978792070078</v>
      </c>
      <c r="N137" t="s">
        <v>10</v>
      </c>
      <c r="O137" t="s">
        <v>10</v>
      </c>
      <c r="Q137" s="2" t="e">
        <f t="shared" si="14"/>
        <v>#VALUE!</v>
      </c>
      <c r="T137" t="s">
        <v>10</v>
      </c>
      <c r="U137" t="s">
        <v>10</v>
      </c>
      <c r="W137" s="2" t="e">
        <f t="shared" si="15"/>
        <v>#VALUE!</v>
      </c>
      <c r="Z137">
        <f t="shared" ref="Z137:Z200" si="20">IFERROR(+C137+N137,C137)</f>
        <v>177653</v>
      </c>
      <c r="AA137">
        <f t="shared" ref="AA137:AA200" si="21">IFERROR(+D137+O137,D137)</f>
        <v>86387</v>
      </c>
      <c r="AC137" s="2">
        <f t="shared" si="16"/>
        <v>0.32717391304347826</v>
      </c>
      <c r="AD137" s="2"/>
      <c r="AE137">
        <f t="shared" si="17"/>
        <v>184544</v>
      </c>
      <c r="AF137">
        <f t="shared" si="18"/>
        <v>86581</v>
      </c>
      <c r="AH137" s="2">
        <f t="shared" si="19"/>
        <v>0.31933978792070078</v>
      </c>
      <c r="AI137" s="2"/>
      <c r="AJ137" s="2"/>
      <c r="AK137">
        <f ca="1">+OFFSET($AH$9,AK138-1,0)</f>
        <v>0.2515120564741809</v>
      </c>
    </row>
    <row r="138" spans="2:37" x14ac:dyDescent="0.25">
      <c r="B138" s="1">
        <v>40351</v>
      </c>
      <c r="C138">
        <v>172121</v>
      </c>
      <c r="D138">
        <v>93088</v>
      </c>
      <c r="F138" s="2">
        <f t="shared" ref="F138:F201" si="22">+D138/SUM(C138:D138)</f>
        <v>0.35099864635061406</v>
      </c>
      <c r="I138">
        <v>179222</v>
      </c>
      <c r="J138">
        <v>91646</v>
      </c>
      <c r="L138" s="2">
        <f t="shared" ref="L138:L201" si="23">+J138/SUM(I138:J138)</f>
        <v>0.33834192300308635</v>
      </c>
      <c r="N138" t="s">
        <v>10</v>
      </c>
      <c r="O138" t="s">
        <v>10</v>
      </c>
      <c r="Q138" s="2" t="e">
        <f t="shared" ref="Q138:Q201" si="24">+O138/SUM(N138:O138)</f>
        <v>#VALUE!</v>
      </c>
      <c r="T138" t="s">
        <v>10</v>
      </c>
      <c r="U138" t="s">
        <v>10</v>
      </c>
      <c r="W138" s="2" t="e">
        <f t="shared" ref="W138:W201" si="25">+U138/SUM(T138:U138)</f>
        <v>#VALUE!</v>
      </c>
      <c r="Z138">
        <f t="shared" si="20"/>
        <v>172121</v>
      </c>
      <c r="AA138">
        <f t="shared" si="21"/>
        <v>93088</v>
      </c>
      <c r="AC138" s="2">
        <f t="shared" ref="AC138:AC201" si="26">+AA138/SUM(Z138:AA138)</f>
        <v>0.35099864635061406</v>
      </c>
      <c r="AD138" s="2"/>
      <c r="AE138">
        <f t="shared" ref="AE138:AE201" si="27">IFERROR(+I138+T138,I138)</f>
        <v>179222</v>
      </c>
      <c r="AF138">
        <f t="shared" ref="AF138:AF201" si="28">IFERROR(+J138+U138,J138)</f>
        <v>91646</v>
      </c>
      <c r="AH138" s="2">
        <f t="shared" ref="AH138:AH201" si="29">+AF138/SUM(AE138:AF138)</f>
        <v>0.33834192300308635</v>
      </c>
      <c r="AI138" s="2"/>
      <c r="AJ138" s="2"/>
      <c r="AK138">
        <f>+AK99</f>
        <v>976</v>
      </c>
    </row>
    <row r="139" spans="2:37" x14ac:dyDescent="0.25">
      <c r="B139" s="1">
        <v>40358</v>
      </c>
      <c r="C139">
        <v>168457</v>
      </c>
      <c r="D139">
        <v>94241</v>
      </c>
      <c r="F139" s="2">
        <f t="shared" si="22"/>
        <v>0.35874273881034496</v>
      </c>
      <c r="I139">
        <v>171949</v>
      </c>
      <c r="J139">
        <v>98649</v>
      </c>
      <c r="L139" s="2">
        <f t="shared" si="23"/>
        <v>0.36455923547106778</v>
      </c>
      <c r="N139" t="s">
        <v>10</v>
      </c>
      <c r="O139" t="s">
        <v>10</v>
      </c>
      <c r="Q139" s="2" t="e">
        <f t="shared" si="24"/>
        <v>#VALUE!</v>
      </c>
      <c r="T139" t="s">
        <v>10</v>
      </c>
      <c r="U139" t="s">
        <v>10</v>
      </c>
      <c r="W139" s="2" t="e">
        <f t="shared" si="25"/>
        <v>#VALUE!</v>
      </c>
      <c r="Z139">
        <f t="shared" si="20"/>
        <v>168457</v>
      </c>
      <c r="AA139">
        <f t="shared" si="21"/>
        <v>94241</v>
      </c>
      <c r="AC139" s="2">
        <f t="shared" si="26"/>
        <v>0.35874273881034496</v>
      </c>
      <c r="AD139" s="2"/>
      <c r="AE139">
        <f t="shared" si="27"/>
        <v>171949</v>
      </c>
      <c r="AF139">
        <f t="shared" si="28"/>
        <v>98649</v>
      </c>
      <c r="AH139" s="2">
        <f t="shared" si="29"/>
        <v>0.36455923547106778</v>
      </c>
      <c r="AI139" s="2"/>
      <c r="AJ139" s="2"/>
    </row>
    <row r="140" spans="2:37" x14ac:dyDescent="0.25">
      <c r="B140" s="1">
        <v>40365</v>
      </c>
      <c r="C140">
        <v>158544</v>
      </c>
      <c r="D140">
        <v>103428</v>
      </c>
      <c r="F140" s="2">
        <f t="shared" si="22"/>
        <v>0.39480555173835374</v>
      </c>
      <c r="I140">
        <v>157267</v>
      </c>
      <c r="J140">
        <v>106764</v>
      </c>
      <c r="L140" s="2">
        <f t="shared" si="23"/>
        <v>0.40436160905348234</v>
      </c>
      <c r="N140" t="s">
        <v>10</v>
      </c>
      <c r="O140" t="s">
        <v>10</v>
      </c>
      <c r="Q140" s="2" t="e">
        <f t="shared" si="24"/>
        <v>#VALUE!</v>
      </c>
      <c r="T140" t="s">
        <v>10</v>
      </c>
      <c r="U140" t="s">
        <v>10</v>
      </c>
      <c r="W140" s="2" t="e">
        <f t="shared" si="25"/>
        <v>#VALUE!</v>
      </c>
      <c r="Z140">
        <f t="shared" si="20"/>
        <v>158544</v>
      </c>
      <c r="AA140">
        <f t="shared" si="21"/>
        <v>103428</v>
      </c>
      <c r="AC140" s="2">
        <f t="shared" si="26"/>
        <v>0.39480555173835374</v>
      </c>
      <c r="AD140" s="2"/>
      <c r="AE140">
        <f t="shared" si="27"/>
        <v>157267</v>
      </c>
      <c r="AF140">
        <f t="shared" si="28"/>
        <v>106764</v>
      </c>
      <c r="AH140" s="2">
        <f t="shared" si="29"/>
        <v>0.40436160905348234</v>
      </c>
      <c r="AI140" s="2"/>
      <c r="AJ140" s="2"/>
    </row>
    <row r="141" spans="2:37" x14ac:dyDescent="0.25">
      <c r="B141" s="1">
        <v>40372</v>
      </c>
      <c r="C141">
        <v>170128</v>
      </c>
      <c r="D141">
        <v>84166</v>
      </c>
      <c r="F141" s="2">
        <f t="shared" si="22"/>
        <v>0.33097910292810684</v>
      </c>
      <c r="I141">
        <v>172165</v>
      </c>
      <c r="J141">
        <v>87710</v>
      </c>
      <c r="L141" s="2">
        <f t="shared" si="23"/>
        <v>0.33750841750841754</v>
      </c>
      <c r="N141" t="s">
        <v>10</v>
      </c>
      <c r="O141" t="s">
        <v>10</v>
      </c>
      <c r="Q141" s="2" t="e">
        <f t="shared" si="24"/>
        <v>#VALUE!</v>
      </c>
      <c r="T141" t="s">
        <v>10</v>
      </c>
      <c r="U141" t="s">
        <v>10</v>
      </c>
      <c r="W141" s="2" t="e">
        <f t="shared" si="25"/>
        <v>#VALUE!</v>
      </c>
      <c r="Z141">
        <f t="shared" si="20"/>
        <v>170128</v>
      </c>
      <c r="AA141">
        <f t="shared" si="21"/>
        <v>84166</v>
      </c>
      <c r="AC141" s="2">
        <f t="shared" si="26"/>
        <v>0.33097910292810684</v>
      </c>
      <c r="AD141" s="2"/>
      <c r="AE141">
        <f t="shared" si="27"/>
        <v>172165</v>
      </c>
      <c r="AF141">
        <f t="shared" si="28"/>
        <v>87710</v>
      </c>
      <c r="AH141" s="2">
        <f t="shared" si="29"/>
        <v>0.33750841750841754</v>
      </c>
      <c r="AI141" s="2"/>
      <c r="AJ141" s="2"/>
    </row>
    <row r="142" spans="2:37" x14ac:dyDescent="0.25">
      <c r="B142" s="1">
        <v>40379</v>
      </c>
      <c r="C142">
        <v>169153</v>
      </c>
      <c r="D142">
        <v>71681</v>
      </c>
      <c r="F142" s="2">
        <f t="shared" si="22"/>
        <v>0.29763654633481984</v>
      </c>
      <c r="I142">
        <v>171122</v>
      </c>
      <c r="J142">
        <v>75470</v>
      </c>
      <c r="L142" s="2">
        <f t="shared" si="23"/>
        <v>0.3060521022579808</v>
      </c>
      <c r="N142" t="s">
        <v>10</v>
      </c>
      <c r="O142" t="s">
        <v>10</v>
      </c>
      <c r="Q142" s="2" t="e">
        <f t="shared" si="24"/>
        <v>#VALUE!</v>
      </c>
      <c r="T142" t="s">
        <v>10</v>
      </c>
      <c r="U142" t="s">
        <v>10</v>
      </c>
      <c r="W142" s="2" t="e">
        <f t="shared" si="25"/>
        <v>#VALUE!</v>
      </c>
      <c r="Z142">
        <f t="shared" si="20"/>
        <v>169153</v>
      </c>
      <c r="AA142">
        <f t="shared" si="21"/>
        <v>71681</v>
      </c>
      <c r="AC142" s="2">
        <f t="shared" si="26"/>
        <v>0.29763654633481984</v>
      </c>
      <c r="AD142" s="2"/>
      <c r="AE142">
        <f t="shared" si="27"/>
        <v>171122</v>
      </c>
      <c r="AF142">
        <f t="shared" si="28"/>
        <v>75470</v>
      </c>
      <c r="AH142" s="2">
        <f t="shared" si="29"/>
        <v>0.3060521022579808</v>
      </c>
      <c r="AI142" s="2"/>
      <c r="AJ142" s="2"/>
    </row>
    <row r="143" spans="2:37" x14ac:dyDescent="0.25">
      <c r="B143" s="1">
        <v>40386</v>
      </c>
      <c r="C143">
        <v>169376</v>
      </c>
      <c r="D143">
        <v>61660</v>
      </c>
      <c r="F143" s="2">
        <f t="shared" si="22"/>
        <v>0.26688481448778545</v>
      </c>
      <c r="I143">
        <v>172986</v>
      </c>
      <c r="J143">
        <v>63118</v>
      </c>
      <c r="L143" s="2">
        <f t="shared" si="23"/>
        <v>0.26733134550875887</v>
      </c>
      <c r="N143" t="s">
        <v>10</v>
      </c>
      <c r="O143" t="s">
        <v>10</v>
      </c>
      <c r="Q143" s="2" t="e">
        <f t="shared" si="24"/>
        <v>#VALUE!</v>
      </c>
      <c r="T143" t="s">
        <v>10</v>
      </c>
      <c r="U143" t="s">
        <v>10</v>
      </c>
      <c r="W143" s="2" t="e">
        <f t="shared" si="25"/>
        <v>#VALUE!</v>
      </c>
      <c r="Z143">
        <f t="shared" si="20"/>
        <v>169376</v>
      </c>
      <c r="AA143">
        <f t="shared" si="21"/>
        <v>61660</v>
      </c>
      <c r="AC143" s="2">
        <f t="shared" si="26"/>
        <v>0.26688481448778545</v>
      </c>
      <c r="AD143" s="2"/>
      <c r="AE143">
        <f t="shared" si="27"/>
        <v>172986</v>
      </c>
      <c r="AF143">
        <f t="shared" si="28"/>
        <v>63118</v>
      </c>
      <c r="AH143" s="2">
        <f t="shared" si="29"/>
        <v>0.26733134550875887</v>
      </c>
      <c r="AI143" s="2"/>
      <c r="AJ143" s="2"/>
    </row>
    <row r="144" spans="2:37" x14ac:dyDescent="0.25">
      <c r="B144" s="1">
        <v>40393</v>
      </c>
      <c r="C144">
        <v>192383</v>
      </c>
      <c r="D144">
        <v>58719</v>
      </c>
      <c r="F144" s="2">
        <f t="shared" si="22"/>
        <v>0.23384521031294056</v>
      </c>
      <c r="I144">
        <v>201351</v>
      </c>
      <c r="J144">
        <v>65518</v>
      </c>
      <c r="L144" s="2">
        <f t="shared" si="23"/>
        <v>0.24550622215394069</v>
      </c>
      <c r="N144" t="s">
        <v>10</v>
      </c>
      <c r="O144" t="s">
        <v>10</v>
      </c>
      <c r="Q144" s="2" t="e">
        <f t="shared" si="24"/>
        <v>#VALUE!</v>
      </c>
      <c r="T144" t="s">
        <v>10</v>
      </c>
      <c r="U144" t="s">
        <v>10</v>
      </c>
      <c r="W144" s="2" t="e">
        <f t="shared" si="25"/>
        <v>#VALUE!</v>
      </c>
      <c r="Z144">
        <f t="shared" si="20"/>
        <v>192383</v>
      </c>
      <c r="AA144">
        <f t="shared" si="21"/>
        <v>58719</v>
      </c>
      <c r="AC144" s="2">
        <f t="shared" si="26"/>
        <v>0.23384521031294056</v>
      </c>
      <c r="AD144" s="2"/>
      <c r="AE144">
        <f t="shared" si="27"/>
        <v>201351</v>
      </c>
      <c r="AF144">
        <f t="shared" si="28"/>
        <v>65518</v>
      </c>
      <c r="AH144" s="2">
        <f t="shared" si="29"/>
        <v>0.24550622215394069</v>
      </c>
      <c r="AI144" s="2"/>
      <c r="AJ144" s="2"/>
    </row>
    <row r="145" spans="2:36" x14ac:dyDescent="0.25">
      <c r="B145" s="1">
        <v>40400</v>
      </c>
      <c r="C145">
        <v>186497</v>
      </c>
      <c r="D145">
        <v>57595</v>
      </c>
      <c r="F145" s="2">
        <f t="shared" si="22"/>
        <v>0.23595611490749391</v>
      </c>
      <c r="I145">
        <v>191986</v>
      </c>
      <c r="J145">
        <v>61081</v>
      </c>
      <c r="L145" s="2">
        <f t="shared" si="23"/>
        <v>0.24136295921633402</v>
      </c>
      <c r="N145" t="s">
        <v>10</v>
      </c>
      <c r="O145" t="s">
        <v>10</v>
      </c>
      <c r="Q145" s="2" t="e">
        <f t="shared" si="24"/>
        <v>#VALUE!</v>
      </c>
      <c r="T145" t="s">
        <v>10</v>
      </c>
      <c r="U145" t="s">
        <v>10</v>
      </c>
      <c r="W145" s="2" t="e">
        <f t="shared" si="25"/>
        <v>#VALUE!</v>
      </c>
      <c r="Z145">
        <f t="shared" si="20"/>
        <v>186497</v>
      </c>
      <c r="AA145">
        <f t="shared" si="21"/>
        <v>57595</v>
      </c>
      <c r="AC145" s="2">
        <f t="shared" si="26"/>
        <v>0.23595611490749391</v>
      </c>
      <c r="AD145" s="2"/>
      <c r="AE145">
        <f t="shared" si="27"/>
        <v>191986</v>
      </c>
      <c r="AF145">
        <f t="shared" si="28"/>
        <v>61081</v>
      </c>
      <c r="AH145" s="2">
        <f t="shared" si="29"/>
        <v>0.24136295921633402</v>
      </c>
      <c r="AI145" s="2"/>
      <c r="AJ145" s="2"/>
    </row>
    <row r="146" spans="2:36" x14ac:dyDescent="0.25">
      <c r="B146" s="1">
        <v>40407</v>
      </c>
      <c r="C146">
        <v>181310</v>
      </c>
      <c r="D146">
        <v>72436</v>
      </c>
      <c r="F146" s="2">
        <f t="shared" si="22"/>
        <v>0.28546656893113587</v>
      </c>
      <c r="I146">
        <v>184260</v>
      </c>
      <c r="J146">
        <v>69805</v>
      </c>
      <c r="L146" s="2">
        <f t="shared" si="23"/>
        <v>0.27475252396040384</v>
      </c>
      <c r="N146" t="s">
        <v>10</v>
      </c>
      <c r="O146" t="s">
        <v>10</v>
      </c>
      <c r="Q146" s="2" t="e">
        <f t="shared" si="24"/>
        <v>#VALUE!</v>
      </c>
      <c r="T146" t="s">
        <v>10</v>
      </c>
      <c r="U146" t="s">
        <v>10</v>
      </c>
      <c r="W146" s="2" t="e">
        <f t="shared" si="25"/>
        <v>#VALUE!</v>
      </c>
      <c r="Z146">
        <f t="shared" si="20"/>
        <v>181310</v>
      </c>
      <c r="AA146">
        <f t="shared" si="21"/>
        <v>72436</v>
      </c>
      <c r="AC146" s="2">
        <f t="shared" si="26"/>
        <v>0.28546656893113587</v>
      </c>
      <c r="AD146" s="2"/>
      <c r="AE146">
        <f t="shared" si="27"/>
        <v>184260</v>
      </c>
      <c r="AF146">
        <f t="shared" si="28"/>
        <v>69805</v>
      </c>
      <c r="AH146" s="2">
        <f t="shared" si="29"/>
        <v>0.27475252396040384</v>
      </c>
      <c r="AI146" s="2"/>
      <c r="AJ146" s="2"/>
    </row>
    <row r="147" spans="2:36" x14ac:dyDescent="0.25">
      <c r="B147" s="1">
        <v>40414</v>
      </c>
      <c r="C147">
        <v>176794</v>
      </c>
      <c r="D147">
        <v>103319</v>
      </c>
      <c r="F147" s="2">
        <f t="shared" si="22"/>
        <v>0.36884757222977871</v>
      </c>
      <c r="I147">
        <v>179640</v>
      </c>
      <c r="J147">
        <v>97616</v>
      </c>
      <c r="L147" s="2">
        <f t="shared" si="23"/>
        <v>0.3520789450904579</v>
      </c>
      <c r="N147" t="s">
        <v>10</v>
      </c>
      <c r="O147" t="s">
        <v>10</v>
      </c>
      <c r="Q147" s="2" t="e">
        <f t="shared" si="24"/>
        <v>#VALUE!</v>
      </c>
      <c r="T147" t="s">
        <v>10</v>
      </c>
      <c r="U147" t="s">
        <v>10</v>
      </c>
      <c r="W147" s="2" t="e">
        <f t="shared" si="25"/>
        <v>#VALUE!</v>
      </c>
      <c r="Z147">
        <f t="shared" si="20"/>
        <v>176794</v>
      </c>
      <c r="AA147">
        <f t="shared" si="21"/>
        <v>103319</v>
      </c>
      <c r="AC147" s="2">
        <f t="shared" si="26"/>
        <v>0.36884757222977871</v>
      </c>
      <c r="AD147" s="2"/>
      <c r="AE147">
        <f t="shared" si="27"/>
        <v>179640</v>
      </c>
      <c r="AF147">
        <f t="shared" si="28"/>
        <v>97616</v>
      </c>
      <c r="AH147" s="2">
        <f t="shared" si="29"/>
        <v>0.3520789450904579</v>
      </c>
      <c r="AI147" s="2"/>
      <c r="AJ147" s="2"/>
    </row>
    <row r="148" spans="2:36" x14ac:dyDescent="0.25">
      <c r="B148" s="1">
        <v>40421</v>
      </c>
      <c r="C148">
        <v>188932</v>
      </c>
      <c r="D148">
        <v>117437</v>
      </c>
      <c r="F148" s="2">
        <f t="shared" si="22"/>
        <v>0.38331880836507609</v>
      </c>
      <c r="I148">
        <v>190583</v>
      </c>
      <c r="J148">
        <v>111888</v>
      </c>
      <c r="L148" s="2">
        <f t="shared" si="23"/>
        <v>0.36991314869855291</v>
      </c>
      <c r="N148" t="s">
        <v>10</v>
      </c>
      <c r="O148" t="s">
        <v>10</v>
      </c>
      <c r="Q148" s="2" t="e">
        <f t="shared" si="24"/>
        <v>#VALUE!</v>
      </c>
      <c r="T148" t="s">
        <v>10</v>
      </c>
      <c r="U148" t="s">
        <v>10</v>
      </c>
      <c r="W148" s="2" t="e">
        <f t="shared" si="25"/>
        <v>#VALUE!</v>
      </c>
      <c r="Z148">
        <f t="shared" si="20"/>
        <v>188932</v>
      </c>
      <c r="AA148">
        <f t="shared" si="21"/>
        <v>117437</v>
      </c>
      <c r="AC148" s="2">
        <f t="shared" si="26"/>
        <v>0.38331880836507609</v>
      </c>
      <c r="AD148" s="2"/>
      <c r="AE148">
        <f t="shared" si="27"/>
        <v>190583</v>
      </c>
      <c r="AF148">
        <f t="shared" si="28"/>
        <v>111888</v>
      </c>
      <c r="AH148" s="2">
        <f t="shared" si="29"/>
        <v>0.36991314869855291</v>
      </c>
      <c r="AI148" s="2"/>
      <c r="AJ148" s="2"/>
    </row>
    <row r="149" spans="2:36" x14ac:dyDescent="0.25">
      <c r="B149" s="1">
        <v>40428</v>
      </c>
      <c r="C149">
        <v>187178</v>
      </c>
      <c r="D149">
        <v>109633</v>
      </c>
      <c r="F149" s="2">
        <f t="shared" si="22"/>
        <v>0.36936973360151748</v>
      </c>
      <c r="I149">
        <v>189944</v>
      </c>
      <c r="J149">
        <v>104987</v>
      </c>
      <c r="L149" s="2">
        <f t="shared" si="23"/>
        <v>0.35597139669956701</v>
      </c>
      <c r="N149" t="s">
        <v>10</v>
      </c>
      <c r="O149" t="s">
        <v>10</v>
      </c>
      <c r="Q149" s="2" t="e">
        <f t="shared" si="24"/>
        <v>#VALUE!</v>
      </c>
      <c r="T149" t="s">
        <v>10</v>
      </c>
      <c r="U149" t="s">
        <v>10</v>
      </c>
      <c r="W149" s="2" t="e">
        <f t="shared" si="25"/>
        <v>#VALUE!</v>
      </c>
      <c r="Z149">
        <f t="shared" si="20"/>
        <v>187178</v>
      </c>
      <c r="AA149">
        <f t="shared" si="21"/>
        <v>109633</v>
      </c>
      <c r="AC149" s="2">
        <f t="shared" si="26"/>
        <v>0.36936973360151748</v>
      </c>
      <c r="AD149" s="2"/>
      <c r="AE149">
        <f t="shared" si="27"/>
        <v>189944</v>
      </c>
      <c r="AF149">
        <f t="shared" si="28"/>
        <v>104987</v>
      </c>
      <c r="AH149" s="2">
        <f t="shared" si="29"/>
        <v>0.35597139669956701</v>
      </c>
      <c r="AI149" s="2"/>
      <c r="AJ149" s="2"/>
    </row>
    <row r="150" spans="2:36" x14ac:dyDescent="0.25">
      <c r="B150" s="1">
        <v>40435</v>
      </c>
      <c r="C150">
        <v>205423</v>
      </c>
      <c r="D150">
        <v>91663</v>
      </c>
      <c r="F150" s="2">
        <f t="shared" si="22"/>
        <v>0.3085402879974149</v>
      </c>
      <c r="I150">
        <v>208277</v>
      </c>
      <c r="J150">
        <v>85668</v>
      </c>
      <c r="L150" s="2">
        <f t="shared" si="23"/>
        <v>0.29144227661637379</v>
      </c>
      <c r="N150" t="s">
        <v>10</v>
      </c>
      <c r="O150" t="s">
        <v>10</v>
      </c>
      <c r="Q150" s="2" t="e">
        <f t="shared" si="24"/>
        <v>#VALUE!</v>
      </c>
      <c r="T150" t="s">
        <v>10</v>
      </c>
      <c r="U150" t="s">
        <v>10</v>
      </c>
      <c r="W150" s="2" t="e">
        <f t="shared" si="25"/>
        <v>#VALUE!</v>
      </c>
      <c r="Z150">
        <f t="shared" si="20"/>
        <v>205423</v>
      </c>
      <c r="AA150">
        <f t="shared" si="21"/>
        <v>91663</v>
      </c>
      <c r="AC150" s="2">
        <f t="shared" si="26"/>
        <v>0.3085402879974149</v>
      </c>
      <c r="AD150" s="2"/>
      <c r="AE150">
        <f t="shared" si="27"/>
        <v>208277</v>
      </c>
      <c r="AF150">
        <f t="shared" si="28"/>
        <v>85668</v>
      </c>
      <c r="AH150" s="2">
        <f t="shared" si="29"/>
        <v>0.29144227661637379</v>
      </c>
      <c r="AI150" s="2"/>
      <c r="AJ150" s="2"/>
    </row>
    <row r="151" spans="2:36" x14ac:dyDescent="0.25">
      <c r="B151" s="1">
        <v>40442</v>
      </c>
      <c r="C151">
        <v>196753</v>
      </c>
      <c r="D151">
        <v>99820</v>
      </c>
      <c r="F151" s="2">
        <f t="shared" si="22"/>
        <v>0.33657817805396983</v>
      </c>
      <c r="I151">
        <v>200613</v>
      </c>
      <c r="J151">
        <v>94290</v>
      </c>
      <c r="L151" s="2">
        <f t="shared" si="23"/>
        <v>0.31973225094353058</v>
      </c>
      <c r="N151" t="s">
        <v>10</v>
      </c>
      <c r="O151" t="s">
        <v>10</v>
      </c>
      <c r="Q151" s="2" t="e">
        <f t="shared" si="24"/>
        <v>#VALUE!</v>
      </c>
      <c r="T151" t="s">
        <v>10</v>
      </c>
      <c r="U151" t="s">
        <v>10</v>
      </c>
      <c r="W151" s="2" t="e">
        <f t="shared" si="25"/>
        <v>#VALUE!</v>
      </c>
      <c r="Z151">
        <f t="shared" si="20"/>
        <v>196753</v>
      </c>
      <c r="AA151">
        <f t="shared" si="21"/>
        <v>99820</v>
      </c>
      <c r="AC151" s="2">
        <f t="shared" si="26"/>
        <v>0.33657817805396983</v>
      </c>
      <c r="AD151" s="2"/>
      <c r="AE151">
        <f t="shared" si="27"/>
        <v>200613</v>
      </c>
      <c r="AF151">
        <f t="shared" si="28"/>
        <v>94290</v>
      </c>
      <c r="AH151" s="2">
        <f t="shared" si="29"/>
        <v>0.31973225094353058</v>
      </c>
      <c r="AI151" s="2"/>
      <c r="AJ151" s="2"/>
    </row>
    <row r="152" spans="2:36" x14ac:dyDescent="0.25">
      <c r="B152" s="1">
        <v>40449</v>
      </c>
      <c r="C152">
        <v>203694</v>
      </c>
      <c r="D152">
        <v>96578</v>
      </c>
      <c r="F152" s="2">
        <f t="shared" si="22"/>
        <v>0.32163505088719563</v>
      </c>
      <c r="I152">
        <v>207581</v>
      </c>
      <c r="J152">
        <v>90675</v>
      </c>
      <c r="L152" s="2">
        <f t="shared" si="23"/>
        <v>0.30401735421919424</v>
      </c>
      <c r="N152" t="s">
        <v>10</v>
      </c>
      <c r="O152" t="s">
        <v>10</v>
      </c>
      <c r="Q152" s="2" t="e">
        <f t="shared" si="24"/>
        <v>#VALUE!</v>
      </c>
      <c r="T152" t="s">
        <v>10</v>
      </c>
      <c r="U152" t="s">
        <v>10</v>
      </c>
      <c r="W152" s="2" t="e">
        <f t="shared" si="25"/>
        <v>#VALUE!</v>
      </c>
      <c r="Z152">
        <f t="shared" si="20"/>
        <v>203694</v>
      </c>
      <c r="AA152">
        <f t="shared" si="21"/>
        <v>96578</v>
      </c>
      <c r="AC152" s="2">
        <f t="shared" si="26"/>
        <v>0.32163505088719563</v>
      </c>
      <c r="AD152" s="2"/>
      <c r="AE152">
        <f t="shared" si="27"/>
        <v>207581</v>
      </c>
      <c r="AF152">
        <f t="shared" si="28"/>
        <v>90675</v>
      </c>
      <c r="AH152" s="2">
        <f t="shared" si="29"/>
        <v>0.30401735421919424</v>
      </c>
      <c r="AI152" s="2"/>
      <c r="AJ152" s="2"/>
    </row>
    <row r="153" spans="2:36" x14ac:dyDescent="0.25">
      <c r="B153" s="1">
        <v>40456</v>
      </c>
      <c r="C153">
        <v>233918</v>
      </c>
      <c r="D153">
        <v>68805</v>
      </c>
      <c r="F153" s="2">
        <f t="shared" si="22"/>
        <v>0.22728699173832184</v>
      </c>
      <c r="I153">
        <v>239759</v>
      </c>
      <c r="J153">
        <v>71219</v>
      </c>
      <c r="L153" s="2">
        <f t="shared" si="23"/>
        <v>0.22901620050292948</v>
      </c>
      <c r="N153" t="s">
        <v>10</v>
      </c>
      <c r="O153" t="s">
        <v>10</v>
      </c>
      <c r="Q153" s="2" t="e">
        <f t="shared" si="24"/>
        <v>#VALUE!</v>
      </c>
      <c r="T153" t="s">
        <v>10</v>
      </c>
      <c r="U153" t="s">
        <v>10</v>
      </c>
      <c r="W153" s="2" t="e">
        <f t="shared" si="25"/>
        <v>#VALUE!</v>
      </c>
      <c r="Z153">
        <f t="shared" si="20"/>
        <v>233918</v>
      </c>
      <c r="AA153">
        <f t="shared" si="21"/>
        <v>68805</v>
      </c>
      <c r="AC153" s="2">
        <f t="shared" si="26"/>
        <v>0.22728699173832184</v>
      </c>
      <c r="AD153" s="2"/>
      <c r="AE153">
        <f t="shared" si="27"/>
        <v>239759</v>
      </c>
      <c r="AF153">
        <f t="shared" si="28"/>
        <v>71219</v>
      </c>
      <c r="AH153" s="2">
        <f t="shared" si="29"/>
        <v>0.22901620050292948</v>
      </c>
      <c r="AI153" s="2"/>
      <c r="AJ153" s="2"/>
    </row>
    <row r="154" spans="2:36" x14ac:dyDescent="0.25">
      <c r="B154" s="1">
        <v>40463</v>
      </c>
      <c r="C154">
        <v>237596</v>
      </c>
      <c r="D154">
        <v>62761</v>
      </c>
      <c r="F154" s="2">
        <f t="shared" si="22"/>
        <v>0.20895467726738515</v>
      </c>
      <c r="I154">
        <v>242924</v>
      </c>
      <c r="J154">
        <v>64186</v>
      </c>
      <c r="L154" s="2">
        <f t="shared" si="23"/>
        <v>0.20900003256162286</v>
      </c>
      <c r="N154" t="s">
        <v>10</v>
      </c>
      <c r="O154" t="s">
        <v>10</v>
      </c>
      <c r="Q154" s="2" t="e">
        <f t="shared" si="24"/>
        <v>#VALUE!</v>
      </c>
      <c r="T154" t="s">
        <v>10</v>
      </c>
      <c r="U154" t="s">
        <v>10</v>
      </c>
      <c r="W154" s="2" t="e">
        <f t="shared" si="25"/>
        <v>#VALUE!</v>
      </c>
      <c r="Z154">
        <f t="shared" si="20"/>
        <v>237596</v>
      </c>
      <c r="AA154">
        <f t="shared" si="21"/>
        <v>62761</v>
      </c>
      <c r="AC154" s="2">
        <f t="shared" si="26"/>
        <v>0.20895467726738515</v>
      </c>
      <c r="AD154" s="2"/>
      <c r="AE154">
        <f t="shared" si="27"/>
        <v>242924</v>
      </c>
      <c r="AF154">
        <f t="shared" si="28"/>
        <v>64186</v>
      </c>
      <c r="AH154" s="2">
        <f t="shared" si="29"/>
        <v>0.20900003256162286</v>
      </c>
      <c r="AI154" s="2"/>
      <c r="AJ154" s="2"/>
    </row>
    <row r="155" spans="2:36" x14ac:dyDescent="0.25">
      <c r="B155" s="1">
        <v>40470</v>
      </c>
      <c r="C155">
        <v>223112</v>
      </c>
      <c r="D155">
        <v>72431</v>
      </c>
      <c r="F155" s="2">
        <f t="shared" si="22"/>
        <v>0.24507770442879717</v>
      </c>
      <c r="I155">
        <v>229684</v>
      </c>
      <c r="J155">
        <v>66043</v>
      </c>
      <c r="L155" s="2">
        <f t="shared" si="23"/>
        <v>0.2233242145627555</v>
      </c>
      <c r="N155" t="s">
        <v>10</v>
      </c>
      <c r="O155" t="s">
        <v>10</v>
      </c>
      <c r="Q155" s="2" t="e">
        <f t="shared" si="24"/>
        <v>#VALUE!</v>
      </c>
      <c r="T155" t="s">
        <v>10</v>
      </c>
      <c r="U155" t="s">
        <v>10</v>
      </c>
      <c r="W155" s="2" t="e">
        <f t="shared" si="25"/>
        <v>#VALUE!</v>
      </c>
      <c r="Z155">
        <f t="shared" si="20"/>
        <v>223112</v>
      </c>
      <c r="AA155">
        <f t="shared" si="21"/>
        <v>72431</v>
      </c>
      <c r="AC155" s="2">
        <f t="shared" si="26"/>
        <v>0.24507770442879717</v>
      </c>
      <c r="AD155" s="2"/>
      <c r="AE155">
        <f t="shared" si="27"/>
        <v>229684</v>
      </c>
      <c r="AF155">
        <f t="shared" si="28"/>
        <v>66043</v>
      </c>
      <c r="AH155" s="2">
        <f t="shared" si="29"/>
        <v>0.2233242145627555</v>
      </c>
      <c r="AI155" s="2"/>
      <c r="AJ155" s="2"/>
    </row>
    <row r="156" spans="2:36" x14ac:dyDescent="0.25">
      <c r="B156" s="1">
        <v>40477</v>
      </c>
      <c r="C156">
        <v>233907</v>
      </c>
      <c r="D156">
        <v>67849</v>
      </c>
      <c r="F156" s="2">
        <f t="shared" si="22"/>
        <v>0.22484722756134096</v>
      </c>
      <c r="I156">
        <v>238355</v>
      </c>
      <c r="J156">
        <v>59531</v>
      </c>
      <c r="L156" s="2">
        <f t="shared" si="23"/>
        <v>0.19984490711211672</v>
      </c>
      <c r="N156" t="s">
        <v>10</v>
      </c>
      <c r="O156" t="s">
        <v>10</v>
      </c>
      <c r="Q156" s="2" t="e">
        <f t="shared" si="24"/>
        <v>#VALUE!</v>
      </c>
      <c r="T156" t="s">
        <v>10</v>
      </c>
      <c r="U156" t="s">
        <v>10</v>
      </c>
      <c r="W156" s="2" t="e">
        <f t="shared" si="25"/>
        <v>#VALUE!</v>
      </c>
      <c r="Z156">
        <f t="shared" si="20"/>
        <v>233907</v>
      </c>
      <c r="AA156">
        <f t="shared" si="21"/>
        <v>67849</v>
      </c>
      <c r="AC156" s="2">
        <f t="shared" si="26"/>
        <v>0.22484722756134096</v>
      </c>
      <c r="AD156" s="2"/>
      <c r="AE156">
        <f t="shared" si="27"/>
        <v>238355</v>
      </c>
      <c r="AF156">
        <f t="shared" si="28"/>
        <v>59531</v>
      </c>
      <c r="AH156" s="2">
        <f t="shared" si="29"/>
        <v>0.19984490711211672</v>
      </c>
      <c r="AI156" s="2"/>
      <c r="AJ156" s="2"/>
    </row>
    <row r="157" spans="2:36" x14ac:dyDescent="0.25">
      <c r="B157" s="1">
        <v>40484</v>
      </c>
      <c r="C157">
        <v>249649</v>
      </c>
      <c r="D157">
        <v>71897</v>
      </c>
      <c r="F157" s="2">
        <f t="shared" si="22"/>
        <v>0.22359786780118551</v>
      </c>
      <c r="I157">
        <v>256210</v>
      </c>
      <c r="J157">
        <v>62082</v>
      </c>
      <c r="L157" s="2">
        <f t="shared" si="23"/>
        <v>0.1950473150440476</v>
      </c>
      <c r="N157" t="s">
        <v>10</v>
      </c>
      <c r="O157" t="s">
        <v>10</v>
      </c>
      <c r="Q157" s="2" t="e">
        <f t="shared" si="24"/>
        <v>#VALUE!</v>
      </c>
      <c r="T157" t="s">
        <v>10</v>
      </c>
      <c r="U157" t="s">
        <v>10</v>
      </c>
      <c r="W157" s="2" t="e">
        <f t="shared" si="25"/>
        <v>#VALUE!</v>
      </c>
      <c r="Z157">
        <f t="shared" si="20"/>
        <v>249649</v>
      </c>
      <c r="AA157">
        <f t="shared" si="21"/>
        <v>71897</v>
      </c>
      <c r="AC157" s="2">
        <f t="shared" si="26"/>
        <v>0.22359786780118551</v>
      </c>
      <c r="AD157" s="2"/>
      <c r="AE157">
        <f t="shared" si="27"/>
        <v>256210</v>
      </c>
      <c r="AF157">
        <f t="shared" si="28"/>
        <v>62082</v>
      </c>
      <c r="AH157" s="2">
        <f t="shared" si="29"/>
        <v>0.1950473150440476</v>
      </c>
      <c r="AI157" s="2"/>
      <c r="AJ157" s="2"/>
    </row>
    <row r="158" spans="2:36" x14ac:dyDescent="0.25">
      <c r="B158" s="1">
        <v>40491</v>
      </c>
      <c r="C158">
        <v>258393</v>
      </c>
      <c r="D158">
        <v>69391</v>
      </c>
      <c r="F158" s="2">
        <f t="shared" si="22"/>
        <v>0.21169733727088572</v>
      </c>
      <c r="I158">
        <v>266497</v>
      </c>
      <c r="J158">
        <v>57582</v>
      </c>
      <c r="L158" s="2">
        <f t="shared" si="23"/>
        <v>0.17767889928073094</v>
      </c>
      <c r="N158" t="s">
        <v>10</v>
      </c>
      <c r="O158" t="s">
        <v>10</v>
      </c>
      <c r="Q158" s="2" t="e">
        <f t="shared" si="24"/>
        <v>#VALUE!</v>
      </c>
      <c r="T158" t="s">
        <v>10</v>
      </c>
      <c r="U158" t="s">
        <v>10</v>
      </c>
      <c r="W158" s="2" t="e">
        <f t="shared" si="25"/>
        <v>#VALUE!</v>
      </c>
      <c r="Z158">
        <f t="shared" si="20"/>
        <v>258393</v>
      </c>
      <c r="AA158">
        <f t="shared" si="21"/>
        <v>69391</v>
      </c>
      <c r="AC158" s="2">
        <f t="shared" si="26"/>
        <v>0.21169733727088572</v>
      </c>
      <c r="AD158" s="2"/>
      <c r="AE158">
        <f t="shared" si="27"/>
        <v>266497</v>
      </c>
      <c r="AF158">
        <f t="shared" si="28"/>
        <v>57582</v>
      </c>
      <c r="AH158" s="2">
        <f t="shared" si="29"/>
        <v>0.17767889928073094</v>
      </c>
      <c r="AI158" s="2"/>
      <c r="AJ158" s="2"/>
    </row>
    <row r="159" spans="2:36" x14ac:dyDescent="0.25">
      <c r="B159" s="1">
        <v>40498</v>
      </c>
      <c r="C159">
        <v>242305</v>
      </c>
      <c r="D159">
        <v>71913</v>
      </c>
      <c r="F159" s="2">
        <f t="shared" si="22"/>
        <v>0.22886340056903171</v>
      </c>
      <c r="I159">
        <v>236244</v>
      </c>
      <c r="J159">
        <v>57847</v>
      </c>
      <c r="L159" s="2">
        <f t="shared" si="23"/>
        <v>0.19669762080444489</v>
      </c>
      <c r="N159" t="s">
        <v>10</v>
      </c>
      <c r="O159" t="s">
        <v>10</v>
      </c>
      <c r="Q159" s="2" t="e">
        <f t="shared" si="24"/>
        <v>#VALUE!</v>
      </c>
      <c r="T159" t="s">
        <v>10</v>
      </c>
      <c r="U159" t="s">
        <v>10</v>
      </c>
      <c r="W159" s="2" t="e">
        <f t="shared" si="25"/>
        <v>#VALUE!</v>
      </c>
      <c r="Z159">
        <f t="shared" si="20"/>
        <v>242305</v>
      </c>
      <c r="AA159">
        <f t="shared" si="21"/>
        <v>71913</v>
      </c>
      <c r="AC159" s="2">
        <f t="shared" si="26"/>
        <v>0.22886340056903171</v>
      </c>
      <c r="AD159" s="2"/>
      <c r="AE159">
        <f t="shared" si="27"/>
        <v>236244</v>
      </c>
      <c r="AF159">
        <f t="shared" si="28"/>
        <v>57847</v>
      </c>
      <c r="AH159" s="2">
        <f t="shared" si="29"/>
        <v>0.19669762080444489</v>
      </c>
      <c r="AI159" s="2"/>
      <c r="AJ159" s="2"/>
    </row>
    <row r="160" spans="2:36" x14ac:dyDescent="0.25">
      <c r="B160" s="1">
        <v>40505</v>
      </c>
      <c r="C160">
        <v>220089</v>
      </c>
      <c r="D160">
        <v>93184</v>
      </c>
      <c r="F160" s="2">
        <f t="shared" si="22"/>
        <v>0.29745302020921049</v>
      </c>
      <c r="I160">
        <v>215461</v>
      </c>
      <c r="J160">
        <v>75718</v>
      </c>
      <c r="L160" s="2">
        <f t="shared" si="23"/>
        <v>0.26003935723386645</v>
      </c>
      <c r="N160" t="s">
        <v>10</v>
      </c>
      <c r="O160" t="s">
        <v>10</v>
      </c>
      <c r="Q160" s="2" t="e">
        <f t="shared" si="24"/>
        <v>#VALUE!</v>
      </c>
      <c r="T160" t="s">
        <v>10</v>
      </c>
      <c r="U160" t="s">
        <v>10</v>
      </c>
      <c r="W160" s="2" t="e">
        <f t="shared" si="25"/>
        <v>#VALUE!</v>
      </c>
      <c r="Z160">
        <f t="shared" si="20"/>
        <v>220089</v>
      </c>
      <c r="AA160">
        <f t="shared" si="21"/>
        <v>93184</v>
      </c>
      <c r="AC160" s="2">
        <f t="shared" si="26"/>
        <v>0.29745302020921049</v>
      </c>
      <c r="AD160" s="2"/>
      <c r="AE160">
        <f t="shared" si="27"/>
        <v>215461</v>
      </c>
      <c r="AF160">
        <f t="shared" si="28"/>
        <v>75718</v>
      </c>
      <c r="AH160" s="2">
        <f t="shared" si="29"/>
        <v>0.26003935723386645</v>
      </c>
      <c r="AI160" s="2"/>
      <c r="AJ160" s="2"/>
    </row>
    <row r="161" spans="2:36" x14ac:dyDescent="0.25">
      <c r="B161" s="1">
        <v>40512</v>
      </c>
      <c r="C161">
        <v>223158</v>
      </c>
      <c r="D161">
        <v>71093</v>
      </c>
      <c r="F161" s="2">
        <f t="shared" si="22"/>
        <v>0.24160665554237709</v>
      </c>
      <c r="I161">
        <v>217631</v>
      </c>
      <c r="J161">
        <v>53427</v>
      </c>
      <c r="L161" s="2">
        <f t="shared" si="23"/>
        <v>0.19710541655291489</v>
      </c>
      <c r="N161" t="s">
        <v>10</v>
      </c>
      <c r="O161" t="s">
        <v>10</v>
      </c>
      <c r="Q161" s="2" t="e">
        <f t="shared" si="24"/>
        <v>#VALUE!</v>
      </c>
      <c r="T161" t="s">
        <v>10</v>
      </c>
      <c r="U161" t="s">
        <v>10</v>
      </c>
      <c r="W161" s="2" t="e">
        <f t="shared" si="25"/>
        <v>#VALUE!</v>
      </c>
      <c r="Z161">
        <f t="shared" si="20"/>
        <v>223158</v>
      </c>
      <c r="AA161">
        <f t="shared" si="21"/>
        <v>71093</v>
      </c>
      <c r="AC161" s="2">
        <f t="shared" si="26"/>
        <v>0.24160665554237709</v>
      </c>
      <c r="AD161" s="2"/>
      <c r="AE161">
        <f t="shared" si="27"/>
        <v>217631</v>
      </c>
      <c r="AF161">
        <f t="shared" si="28"/>
        <v>53427</v>
      </c>
      <c r="AH161" s="2">
        <f t="shared" si="29"/>
        <v>0.19710541655291489</v>
      </c>
      <c r="AI161" s="2"/>
      <c r="AJ161" s="2"/>
    </row>
    <row r="162" spans="2:36" x14ac:dyDescent="0.25">
      <c r="B162" s="1">
        <v>40519</v>
      </c>
      <c r="C162">
        <v>256833</v>
      </c>
      <c r="D162">
        <v>65662</v>
      </c>
      <c r="F162" s="2">
        <f t="shared" si="22"/>
        <v>0.20360625746135599</v>
      </c>
      <c r="I162">
        <v>255046</v>
      </c>
      <c r="J162">
        <v>48239</v>
      </c>
      <c r="L162" s="2">
        <f t="shared" si="23"/>
        <v>0.15905501426051405</v>
      </c>
      <c r="N162" t="s">
        <v>10</v>
      </c>
      <c r="O162" t="s">
        <v>10</v>
      </c>
      <c r="Q162" s="2" t="e">
        <f t="shared" si="24"/>
        <v>#VALUE!</v>
      </c>
      <c r="T162" t="s">
        <v>10</v>
      </c>
      <c r="U162" t="s">
        <v>10</v>
      </c>
      <c r="W162" s="2" t="e">
        <f t="shared" si="25"/>
        <v>#VALUE!</v>
      </c>
      <c r="Z162">
        <f t="shared" si="20"/>
        <v>256833</v>
      </c>
      <c r="AA162">
        <f t="shared" si="21"/>
        <v>65662</v>
      </c>
      <c r="AC162" s="2">
        <f t="shared" si="26"/>
        <v>0.20360625746135599</v>
      </c>
      <c r="AD162" s="2"/>
      <c r="AE162">
        <f t="shared" si="27"/>
        <v>255046</v>
      </c>
      <c r="AF162">
        <f t="shared" si="28"/>
        <v>48239</v>
      </c>
      <c r="AH162" s="2">
        <f t="shared" si="29"/>
        <v>0.15905501426051405</v>
      </c>
      <c r="AI162" s="2"/>
      <c r="AJ162" s="2"/>
    </row>
    <row r="163" spans="2:36" x14ac:dyDescent="0.25">
      <c r="B163" s="1">
        <v>40526</v>
      </c>
      <c r="C163">
        <v>249262</v>
      </c>
      <c r="D163">
        <v>56214</v>
      </c>
      <c r="F163" s="2">
        <f t="shared" si="22"/>
        <v>0.18402100328667392</v>
      </c>
      <c r="I163">
        <v>248276</v>
      </c>
      <c r="J163">
        <v>42386</v>
      </c>
      <c r="L163" s="2">
        <f t="shared" si="23"/>
        <v>0.14582573573428931</v>
      </c>
      <c r="N163" t="s">
        <v>10</v>
      </c>
      <c r="O163" t="s">
        <v>10</v>
      </c>
      <c r="Q163" s="2" t="e">
        <f t="shared" si="24"/>
        <v>#VALUE!</v>
      </c>
      <c r="T163" t="s">
        <v>10</v>
      </c>
      <c r="U163" t="s">
        <v>10</v>
      </c>
      <c r="W163" s="2" t="e">
        <f t="shared" si="25"/>
        <v>#VALUE!</v>
      </c>
      <c r="Z163">
        <f t="shared" si="20"/>
        <v>249262</v>
      </c>
      <c r="AA163">
        <f t="shared" si="21"/>
        <v>56214</v>
      </c>
      <c r="AC163" s="2">
        <f t="shared" si="26"/>
        <v>0.18402100328667392</v>
      </c>
      <c r="AD163" s="2"/>
      <c r="AE163">
        <f t="shared" si="27"/>
        <v>248276</v>
      </c>
      <c r="AF163">
        <f t="shared" si="28"/>
        <v>42386</v>
      </c>
      <c r="AH163" s="2">
        <f t="shared" si="29"/>
        <v>0.14582573573428931</v>
      </c>
      <c r="AI163" s="2"/>
      <c r="AJ163" s="2"/>
    </row>
    <row r="164" spans="2:36" x14ac:dyDescent="0.25">
      <c r="B164" s="1">
        <v>40533</v>
      </c>
      <c r="C164">
        <v>251181</v>
      </c>
      <c r="D164">
        <v>56877</v>
      </c>
      <c r="F164" s="2">
        <f t="shared" si="22"/>
        <v>0.18463081627485733</v>
      </c>
      <c r="I164">
        <v>251220</v>
      </c>
      <c r="J164">
        <v>43752</v>
      </c>
      <c r="L164" s="2">
        <f t="shared" si="23"/>
        <v>0.14832594280135064</v>
      </c>
      <c r="N164" t="s">
        <v>10</v>
      </c>
      <c r="O164" t="s">
        <v>10</v>
      </c>
      <c r="Q164" s="2" t="e">
        <f t="shared" si="24"/>
        <v>#VALUE!</v>
      </c>
      <c r="T164" t="s">
        <v>10</v>
      </c>
      <c r="U164" t="s">
        <v>10</v>
      </c>
      <c r="W164" s="2" t="e">
        <f t="shared" si="25"/>
        <v>#VALUE!</v>
      </c>
      <c r="Z164">
        <f t="shared" si="20"/>
        <v>251181</v>
      </c>
      <c r="AA164">
        <f t="shared" si="21"/>
        <v>56877</v>
      </c>
      <c r="AC164" s="2">
        <f t="shared" si="26"/>
        <v>0.18463081627485733</v>
      </c>
      <c r="AD164" s="2"/>
      <c r="AE164">
        <f t="shared" si="27"/>
        <v>251220</v>
      </c>
      <c r="AF164">
        <f t="shared" si="28"/>
        <v>43752</v>
      </c>
      <c r="AH164" s="2">
        <f t="shared" si="29"/>
        <v>0.14832594280135064</v>
      </c>
      <c r="AI164" s="2"/>
      <c r="AJ164" s="2"/>
    </row>
    <row r="165" spans="2:36" x14ac:dyDescent="0.25">
      <c r="B165" s="1">
        <v>40540</v>
      </c>
      <c r="C165">
        <v>258539</v>
      </c>
      <c r="D165">
        <v>56318</v>
      </c>
      <c r="F165" s="2">
        <f t="shared" si="22"/>
        <v>0.1788685022089393</v>
      </c>
      <c r="I165">
        <v>260452</v>
      </c>
      <c r="J165">
        <v>43406</v>
      </c>
      <c r="L165" s="2">
        <f t="shared" si="23"/>
        <v>0.14284962054643946</v>
      </c>
      <c r="N165" t="s">
        <v>10</v>
      </c>
      <c r="O165" t="s">
        <v>10</v>
      </c>
      <c r="Q165" s="2" t="e">
        <f t="shared" si="24"/>
        <v>#VALUE!</v>
      </c>
      <c r="T165" t="s">
        <v>10</v>
      </c>
      <c r="U165" t="s">
        <v>10</v>
      </c>
      <c r="W165" s="2" t="e">
        <f t="shared" si="25"/>
        <v>#VALUE!</v>
      </c>
      <c r="Z165">
        <f t="shared" si="20"/>
        <v>258539</v>
      </c>
      <c r="AA165">
        <f t="shared" si="21"/>
        <v>56318</v>
      </c>
      <c r="AC165" s="2">
        <f t="shared" si="26"/>
        <v>0.1788685022089393</v>
      </c>
      <c r="AD165" s="2"/>
      <c r="AE165">
        <f t="shared" si="27"/>
        <v>260452</v>
      </c>
      <c r="AF165">
        <f t="shared" si="28"/>
        <v>43406</v>
      </c>
      <c r="AH165" s="2">
        <f t="shared" si="29"/>
        <v>0.14284962054643946</v>
      </c>
      <c r="AI165" s="2"/>
      <c r="AJ165" s="2"/>
    </row>
    <row r="166" spans="2:36" x14ac:dyDescent="0.25">
      <c r="B166" s="1">
        <v>40547</v>
      </c>
      <c r="C166">
        <v>243095</v>
      </c>
      <c r="D166">
        <v>67233</v>
      </c>
      <c r="F166" s="2">
        <f t="shared" si="22"/>
        <v>0.21665141398778068</v>
      </c>
      <c r="I166">
        <v>246428</v>
      </c>
      <c r="J166">
        <v>59020</v>
      </c>
      <c r="L166" s="2">
        <f t="shared" si="23"/>
        <v>0.19322437861763705</v>
      </c>
      <c r="N166">
        <v>133347</v>
      </c>
      <c r="O166">
        <v>11814</v>
      </c>
      <c r="Q166" s="2">
        <f t="shared" si="24"/>
        <v>8.1385496104325536E-2</v>
      </c>
      <c r="T166">
        <v>133347</v>
      </c>
      <c r="U166">
        <v>11814</v>
      </c>
      <c r="W166" s="2">
        <f t="shared" si="25"/>
        <v>8.1385496104325536E-2</v>
      </c>
      <c r="Z166">
        <f t="shared" si="20"/>
        <v>376442</v>
      </c>
      <c r="AA166">
        <f t="shared" si="21"/>
        <v>79047</v>
      </c>
      <c r="AC166" s="2">
        <f t="shared" si="26"/>
        <v>0.17354315911031881</v>
      </c>
      <c r="AD166" s="2"/>
      <c r="AE166">
        <f t="shared" si="27"/>
        <v>379775</v>
      </c>
      <c r="AF166">
        <f t="shared" si="28"/>
        <v>70834</v>
      </c>
      <c r="AH166" s="2">
        <f t="shared" si="29"/>
        <v>0.15719615009908813</v>
      </c>
      <c r="AI166" s="2"/>
      <c r="AJ166" s="2"/>
    </row>
    <row r="167" spans="2:36" x14ac:dyDescent="0.25">
      <c r="B167" s="1">
        <v>40554</v>
      </c>
      <c r="C167">
        <v>253290</v>
      </c>
      <c r="D167">
        <v>57635</v>
      </c>
      <c r="F167" s="2">
        <f t="shared" si="22"/>
        <v>0.18536624587923134</v>
      </c>
      <c r="I167">
        <v>259688</v>
      </c>
      <c r="J167">
        <v>49919</v>
      </c>
      <c r="L167" s="2">
        <f t="shared" si="23"/>
        <v>0.16123343464456552</v>
      </c>
      <c r="N167">
        <v>141186</v>
      </c>
      <c r="O167">
        <v>12787</v>
      </c>
      <c r="Q167" s="2">
        <f t="shared" si="24"/>
        <v>8.304702772564021E-2</v>
      </c>
      <c r="T167">
        <v>141186</v>
      </c>
      <c r="U167">
        <v>11374</v>
      </c>
      <c r="W167" s="2">
        <f t="shared" si="25"/>
        <v>7.4554273728369161E-2</v>
      </c>
      <c r="Z167">
        <f t="shared" si="20"/>
        <v>394476</v>
      </c>
      <c r="AA167">
        <f t="shared" si="21"/>
        <v>70422</v>
      </c>
      <c r="AC167" s="2">
        <f t="shared" si="26"/>
        <v>0.15147838880786754</v>
      </c>
      <c r="AD167" s="2"/>
      <c r="AE167">
        <f t="shared" si="27"/>
        <v>400874</v>
      </c>
      <c r="AF167">
        <f t="shared" si="28"/>
        <v>61293</v>
      </c>
      <c r="AH167" s="2">
        <f t="shared" si="29"/>
        <v>0.13262089244796793</v>
      </c>
      <c r="AI167" s="2"/>
      <c r="AJ167" s="2"/>
    </row>
    <row r="168" spans="2:36" x14ac:dyDescent="0.25">
      <c r="B168" s="1">
        <v>40561</v>
      </c>
      <c r="C168">
        <v>248173</v>
      </c>
      <c r="D168">
        <v>56970</v>
      </c>
      <c r="F168" s="2">
        <f t="shared" si="22"/>
        <v>0.18669935079618408</v>
      </c>
      <c r="I168">
        <v>256696</v>
      </c>
      <c r="J168">
        <v>46132</v>
      </c>
      <c r="L168" s="2">
        <f t="shared" si="23"/>
        <v>0.15233730038173485</v>
      </c>
      <c r="N168">
        <v>138224</v>
      </c>
      <c r="O168">
        <v>17331</v>
      </c>
      <c r="Q168" s="2">
        <f t="shared" si="24"/>
        <v>0.11141396933560477</v>
      </c>
      <c r="T168">
        <v>138224</v>
      </c>
      <c r="U168">
        <v>14660</v>
      </c>
      <c r="W168" s="2">
        <f t="shared" si="25"/>
        <v>9.5889694147196572E-2</v>
      </c>
      <c r="Z168">
        <f t="shared" si="20"/>
        <v>386397</v>
      </c>
      <c r="AA168">
        <f t="shared" si="21"/>
        <v>74301</v>
      </c>
      <c r="AC168" s="2">
        <f t="shared" si="26"/>
        <v>0.16127918940390451</v>
      </c>
      <c r="AD168" s="2"/>
      <c r="AE168">
        <f t="shared" si="27"/>
        <v>394920</v>
      </c>
      <c r="AF168">
        <f t="shared" si="28"/>
        <v>60792</v>
      </c>
      <c r="AH168" s="2">
        <f t="shared" si="29"/>
        <v>0.13340004213187276</v>
      </c>
      <c r="AI168" s="2"/>
      <c r="AJ168" s="2"/>
    </row>
    <row r="169" spans="2:36" x14ac:dyDescent="0.25">
      <c r="B169" s="1">
        <v>40568</v>
      </c>
      <c r="C169">
        <v>217026</v>
      </c>
      <c r="D169">
        <v>61539</v>
      </c>
      <c r="F169" s="2">
        <f t="shared" si="22"/>
        <v>0.22091432879220291</v>
      </c>
      <c r="I169">
        <v>223499</v>
      </c>
      <c r="J169">
        <v>51486</v>
      </c>
      <c r="L169" s="2">
        <f t="shared" si="23"/>
        <v>0.18723203083804571</v>
      </c>
      <c r="N169">
        <v>126763</v>
      </c>
      <c r="O169">
        <v>43819</v>
      </c>
      <c r="Q169" s="2">
        <f t="shared" si="24"/>
        <v>0.25687938938457749</v>
      </c>
      <c r="T169">
        <v>125936</v>
      </c>
      <c r="U169">
        <v>40973</v>
      </c>
      <c r="W169" s="2">
        <f t="shared" si="25"/>
        <v>0.24548107052345888</v>
      </c>
      <c r="Z169">
        <f t="shared" si="20"/>
        <v>343789</v>
      </c>
      <c r="AA169">
        <f t="shared" si="21"/>
        <v>105358</v>
      </c>
      <c r="AC169" s="2">
        <f t="shared" si="26"/>
        <v>0.2345735360583506</v>
      </c>
      <c r="AD169" s="2"/>
      <c r="AE169">
        <f t="shared" si="27"/>
        <v>349435</v>
      </c>
      <c r="AF169">
        <f t="shared" si="28"/>
        <v>92459</v>
      </c>
      <c r="AH169" s="2">
        <f t="shared" si="29"/>
        <v>0.20923343607290437</v>
      </c>
      <c r="AI169" s="2"/>
      <c r="AJ169" s="2"/>
    </row>
    <row r="170" spans="2:36" x14ac:dyDescent="0.25">
      <c r="B170" s="1">
        <v>40575</v>
      </c>
      <c r="C170">
        <v>239160</v>
      </c>
      <c r="D170">
        <v>62712</v>
      </c>
      <c r="F170" s="2">
        <f t="shared" si="22"/>
        <v>0.20774367944029257</v>
      </c>
      <c r="I170">
        <v>251759</v>
      </c>
      <c r="J170">
        <v>49818</v>
      </c>
      <c r="L170" s="2">
        <f t="shared" si="23"/>
        <v>0.16519164259873928</v>
      </c>
      <c r="N170">
        <v>126640</v>
      </c>
      <c r="O170">
        <v>34135</v>
      </c>
      <c r="Q170" s="2">
        <f t="shared" si="24"/>
        <v>0.21231534753537554</v>
      </c>
      <c r="T170">
        <v>126762</v>
      </c>
      <c r="U170">
        <v>28746</v>
      </c>
      <c r="W170" s="2">
        <f t="shared" si="25"/>
        <v>0.18485222625202563</v>
      </c>
      <c r="Z170">
        <f t="shared" si="20"/>
        <v>365800</v>
      </c>
      <c r="AA170">
        <f t="shared" si="21"/>
        <v>96847</v>
      </c>
      <c r="AC170" s="2">
        <f t="shared" si="26"/>
        <v>0.20933238516622824</v>
      </c>
      <c r="AD170" s="2"/>
      <c r="AE170">
        <f t="shared" si="27"/>
        <v>378521</v>
      </c>
      <c r="AF170">
        <f t="shared" si="28"/>
        <v>78564</v>
      </c>
      <c r="AH170" s="2">
        <f t="shared" si="29"/>
        <v>0.17188050362624019</v>
      </c>
      <c r="AI170" s="2"/>
      <c r="AJ170" s="2"/>
    </row>
    <row r="171" spans="2:36" x14ac:dyDescent="0.25">
      <c r="B171" s="1">
        <v>40582</v>
      </c>
      <c r="C171">
        <v>230615</v>
      </c>
      <c r="D171">
        <v>52183</v>
      </c>
      <c r="F171" s="2">
        <f t="shared" si="22"/>
        <v>0.18452393581284168</v>
      </c>
      <c r="I171">
        <v>241623</v>
      </c>
      <c r="J171">
        <v>39240</v>
      </c>
      <c r="L171" s="2">
        <f t="shared" si="23"/>
        <v>0.1397122440478098</v>
      </c>
      <c r="N171">
        <v>118299</v>
      </c>
      <c r="O171">
        <v>38715</v>
      </c>
      <c r="Q171" s="2">
        <f t="shared" si="24"/>
        <v>0.24657036952118919</v>
      </c>
      <c r="T171">
        <v>118805</v>
      </c>
      <c r="U171">
        <v>35272</v>
      </c>
      <c r="W171" s="2">
        <f t="shared" si="25"/>
        <v>0.22892449878956625</v>
      </c>
      <c r="Z171">
        <f t="shared" si="20"/>
        <v>348914</v>
      </c>
      <c r="AA171">
        <f t="shared" si="21"/>
        <v>90898</v>
      </c>
      <c r="AC171" s="2">
        <f t="shared" si="26"/>
        <v>0.2066746700863096</v>
      </c>
      <c r="AD171" s="2"/>
      <c r="AE171">
        <f t="shared" si="27"/>
        <v>360428</v>
      </c>
      <c r="AF171">
        <f t="shared" si="28"/>
        <v>74512</v>
      </c>
      <c r="AH171" s="2">
        <f t="shared" si="29"/>
        <v>0.17131558375867936</v>
      </c>
      <c r="AI171" s="2"/>
      <c r="AJ171" s="2"/>
    </row>
    <row r="172" spans="2:36" x14ac:dyDescent="0.25">
      <c r="B172" s="1">
        <v>40589</v>
      </c>
      <c r="C172">
        <v>218807</v>
      </c>
      <c r="D172">
        <v>55137</v>
      </c>
      <c r="F172" s="2">
        <f t="shared" si="22"/>
        <v>0.20127106269894576</v>
      </c>
      <c r="I172">
        <v>229569</v>
      </c>
      <c r="J172">
        <v>44333</v>
      </c>
      <c r="L172" s="2">
        <f t="shared" si="23"/>
        <v>0.16185716059028413</v>
      </c>
      <c r="N172">
        <v>114968</v>
      </c>
      <c r="O172">
        <v>28267</v>
      </c>
      <c r="Q172" s="2">
        <f t="shared" si="24"/>
        <v>0.1973470171396656</v>
      </c>
      <c r="T172">
        <v>116653</v>
      </c>
      <c r="U172">
        <v>24314</v>
      </c>
      <c r="W172" s="2">
        <f t="shared" si="25"/>
        <v>0.17248008399128875</v>
      </c>
      <c r="Z172">
        <f t="shared" si="20"/>
        <v>333775</v>
      </c>
      <c r="AA172">
        <f t="shared" si="21"/>
        <v>83404</v>
      </c>
      <c r="AC172" s="2">
        <f t="shared" si="26"/>
        <v>0.19992377372782427</v>
      </c>
      <c r="AD172" s="2"/>
      <c r="AE172">
        <f t="shared" si="27"/>
        <v>346222</v>
      </c>
      <c r="AF172">
        <f t="shared" si="28"/>
        <v>68647</v>
      </c>
      <c r="AH172" s="2">
        <f t="shared" si="29"/>
        <v>0.16546668948511459</v>
      </c>
      <c r="AI172" s="2"/>
      <c r="AJ172" s="2"/>
    </row>
    <row r="173" spans="2:36" x14ac:dyDescent="0.25">
      <c r="B173" s="1">
        <v>40596</v>
      </c>
      <c r="C173">
        <v>249629</v>
      </c>
      <c r="D173">
        <v>43606</v>
      </c>
      <c r="F173" s="2">
        <f t="shared" si="22"/>
        <v>0.14870666871280713</v>
      </c>
      <c r="I173">
        <v>277127</v>
      </c>
      <c r="J173">
        <v>36555</v>
      </c>
      <c r="L173" s="2">
        <f t="shared" si="23"/>
        <v>0.11653521719448358</v>
      </c>
      <c r="N173">
        <v>116028</v>
      </c>
      <c r="O173">
        <v>30722</v>
      </c>
      <c r="Q173" s="2">
        <f t="shared" si="24"/>
        <v>0.20934923339011924</v>
      </c>
      <c r="T173">
        <v>116562</v>
      </c>
      <c r="U173">
        <v>24977</v>
      </c>
      <c r="W173" s="2">
        <f t="shared" si="25"/>
        <v>0.17646726343975866</v>
      </c>
      <c r="Z173">
        <f t="shared" si="20"/>
        <v>365657</v>
      </c>
      <c r="AA173">
        <f t="shared" si="21"/>
        <v>74328</v>
      </c>
      <c r="AC173" s="2">
        <f t="shared" si="26"/>
        <v>0.16893303180790253</v>
      </c>
      <c r="AD173" s="2"/>
      <c r="AE173">
        <f t="shared" si="27"/>
        <v>393689</v>
      </c>
      <c r="AF173">
        <f t="shared" si="28"/>
        <v>61532</v>
      </c>
      <c r="AH173" s="2">
        <f t="shared" si="29"/>
        <v>0.13516951107264383</v>
      </c>
      <c r="AI173" s="2"/>
      <c r="AJ173" s="2"/>
    </row>
    <row r="174" spans="2:36" x14ac:dyDescent="0.25">
      <c r="B174" s="1">
        <v>40603</v>
      </c>
      <c r="C174">
        <v>293884</v>
      </c>
      <c r="D174">
        <v>25262</v>
      </c>
      <c r="F174" s="2">
        <f t="shared" si="22"/>
        <v>7.9154994892619679E-2</v>
      </c>
      <c r="I174">
        <v>323981</v>
      </c>
      <c r="J174">
        <v>18573</v>
      </c>
      <c r="L174" s="2">
        <f t="shared" si="23"/>
        <v>5.4219188799430162E-2</v>
      </c>
      <c r="N174">
        <v>122341</v>
      </c>
      <c r="O174">
        <v>24462</v>
      </c>
      <c r="Q174" s="2">
        <f t="shared" si="24"/>
        <v>0.1666314721088806</v>
      </c>
      <c r="T174">
        <v>124342</v>
      </c>
      <c r="U174">
        <v>16938</v>
      </c>
      <c r="W174" s="2">
        <f t="shared" si="25"/>
        <v>0.11988958097395243</v>
      </c>
      <c r="Z174">
        <f t="shared" si="20"/>
        <v>416225</v>
      </c>
      <c r="AA174">
        <f t="shared" si="21"/>
        <v>49724</v>
      </c>
      <c r="AC174" s="2">
        <f t="shared" si="26"/>
        <v>0.10671554182968522</v>
      </c>
      <c r="AD174" s="2"/>
      <c r="AE174">
        <f t="shared" si="27"/>
        <v>448323</v>
      </c>
      <c r="AF174">
        <f t="shared" si="28"/>
        <v>35511</v>
      </c>
      <c r="AH174" s="2">
        <f t="shared" si="29"/>
        <v>7.339500737856372E-2</v>
      </c>
      <c r="AI174" s="2"/>
      <c r="AJ174" s="2"/>
    </row>
    <row r="175" spans="2:36" x14ac:dyDescent="0.25">
      <c r="B175" s="1">
        <v>40610</v>
      </c>
      <c r="C175">
        <v>301202</v>
      </c>
      <c r="D175">
        <v>26967</v>
      </c>
      <c r="F175" s="2">
        <f t="shared" si="22"/>
        <v>8.217412369846025E-2</v>
      </c>
      <c r="I175">
        <v>331659</v>
      </c>
      <c r="J175">
        <v>20027</v>
      </c>
      <c r="L175" s="2">
        <f t="shared" si="23"/>
        <v>5.6945684502652937E-2</v>
      </c>
      <c r="N175">
        <v>110701</v>
      </c>
      <c r="O175">
        <v>24029</v>
      </c>
      <c r="Q175" s="2">
        <f t="shared" si="24"/>
        <v>0.17834929117494247</v>
      </c>
      <c r="T175">
        <v>113827</v>
      </c>
      <c r="U175">
        <v>17594</v>
      </c>
      <c r="W175" s="2">
        <f t="shared" si="25"/>
        <v>0.13387510367445082</v>
      </c>
      <c r="Z175">
        <f t="shared" si="20"/>
        <v>411903</v>
      </c>
      <c r="AA175">
        <f t="shared" si="21"/>
        <v>50996</v>
      </c>
      <c r="AC175" s="2">
        <f t="shared" si="26"/>
        <v>0.11016658061477774</v>
      </c>
      <c r="AD175" s="2"/>
      <c r="AE175">
        <f t="shared" si="27"/>
        <v>445486</v>
      </c>
      <c r="AF175">
        <f t="shared" si="28"/>
        <v>37621</v>
      </c>
      <c r="AH175" s="2">
        <f t="shared" si="29"/>
        <v>7.7873017778670145E-2</v>
      </c>
      <c r="AI175" s="2"/>
      <c r="AJ175" s="2"/>
    </row>
    <row r="176" spans="2:36" x14ac:dyDescent="0.25">
      <c r="B176" s="1">
        <v>40617</v>
      </c>
      <c r="C176">
        <v>283647</v>
      </c>
      <c r="D176">
        <v>32267</v>
      </c>
      <c r="F176" s="2">
        <f t="shared" si="22"/>
        <v>0.10213855669580962</v>
      </c>
      <c r="I176">
        <v>293715</v>
      </c>
      <c r="J176">
        <v>22753</v>
      </c>
      <c r="L176" s="2">
        <f t="shared" si="23"/>
        <v>7.1896684656900536E-2</v>
      </c>
      <c r="N176">
        <v>109431</v>
      </c>
      <c r="O176">
        <v>36898</v>
      </c>
      <c r="Q176" s="2">
        <f t="shared" si="24"/>
        <v>0.25215780877338051</v>
      </c>
      <c r="T176">
        <v>109992</v>
      </c>
      <c r="U176">
        <v>30309</v>
      </c>
      <c r="W176" s="2">
        <f t="shared" si="25"/>
        <v>0.21602839609126093</v>
      </c>
      <c r="Z176">
        <f t="shared" si="20"/>
        <v>393078</v>
      </c>
      <c r="AA176">
        <f t="shared" si="21"/>
        <v>69165</v>
      </c>
      <c r="AC176" s="2">
        <f t="shared" si="26"/>
        <v>0.14962909119229495</v>
      </c>
      <c r="AD176" s="2"/>
      <c r="AE176">
        <f t="shared" si="27"/>
        <v>403707</v>
      </c>
      <c r="AF176">
        <f t="shared" si="28"/>
        <v>53062</v>
      </c>
      <c r="AH176" s="2">
        <f t="shared" si="29"/>
        <v>0.11616812874779155</v>
      </c>
      <c r="AI176" s="2"/>
      <c r="AJ176" s="2"/>
    </row>
    <row r="177" spans="2:36" x14ac:dyDescent="0.25">
      <c r="B177" s="1">
        <v>40624</v>
      </c>
      <c r="C177">
        <v>281134</v>
      </c>
      <c r="D177">
        <v>28916</v>
      </c>
      <c r="F177" s="2">
        <f t="shared" si="22"/>
        <v>9.3262377035961935E-2</v>
      </c>
      <c r="I177">
        <v>306990</v>
      </c>
      <c r="J177">
        <v>20178</v>
      </c>
      <c r="L177" s="2">
        <f t="shared" si="23"/>
        <v>6.1674735915492961E-2</v>
      </c>
      <c r="N177">
        <v>124289</v>
      </c>
      <c r="O177">
        <v>32804</v>
      </c>
      <c r="Q177" s="2">
        <f t="shared" si="24"/>
        <v>0.20881897983996742</v>
      </c>
      <c r="T177">
        <v>125763</v>
      </c>
      <c r="U177">
        <v>25552</v>
      </c>
      <c r="W177" s="2">
        <f t="shared" si="25"/>
        <v>0.16886627234576876</v>
      </c>
      <c r="Z177">
        <f t="shared" si="20"/>
        <v>405423</v>
      </c>
      <c r="AA177">
        <f t="shared" si="21"/>
        <v>61720</v>
      </c>
      <c r="AC177" s="2">
        <f t="shared" si="26"/>
        <v>0.13212228375465329</v>
      </c>
      <c r="AD177" s="2"/>
      <c r="AE177">
        <f t="shared" si="27"/>
        <v>432753</v>
      </c>
      <c r="AF177">
        <f t="shared" si="28"/>
        <v>45730</v>
      </c>
      <c r="AH177" s="2">
        <f t="shared" si="29"/>
        <v>9.5572883467124226E-2</v>
      </c>
      <c r="AI177" s="2"/>
      <c r="AJ177" s="2"/>
    </row>
    <row r="178" spans="2:36" x14ac:dyDescent="0.25">
      <c r="B178" s="1">
        <v>40631</v>
      </c>
      <c r="C178">
        <v>293308</v>
      </c>
      <c r="D178">
        <v>31549</v>
      </c>
      <c r="F178" s="2">
        <f t="shared" si="22"/>
        <v>9.7116577447923236E-2</v>
      </c>
      <c r="I178">
        <v>315643</v>
      </c>
      <c r="J178">
        <v>23577</v>
      </c>
      <c r="L178" s="2">
        <f t="shared" si="23"/>
        <v>6.950356700666234E-2</v>
      </c>
      <c r="N178">
        <v>125751</v>
      </c>
      <c r="O178">
        <v>27987</v>
      </c>
      <c r="Q178" s="2">
        <f t="shared" si="24"/>
        <v>0.1820434765640245</v>
      </c>
      <c r="T178">
        <v>126597</v>
      </c>
      <c r="U178">
        <v>21141</v>
      </c>
      <c r="W178" s="2">
        <f t="shared" si="25"/>
        <v>0.14309791658205742</v>
      </c>
      <c r="Z178">
        <f t="shared" si="20"/>
        <v>419059</v>
      </c>
      <c r="AA178">
        <f t="shared" si="21"/>
        <v>59536</v>
      </c>
      <c r="AC178" s="2">
        <f t="shared" si="26"/>
        <v>0.12439745505072138</v>
      </c>
      <c r="AD178" s="2"/>
      <c r="AE178">
        <f t="shared" si="27"/>
        <v>442240</v>
      </c>
      <c r="AF178">
        <f t="shared" si="28"/>
        <v>44718</v>
      </c>
      <c r="AH178" s="2">
        <f t="shared" si="29"/>
        <v>9.1831328369181731E-2</v>
      </c>
      <c r="AI178" s="2"/>
      <c r="AJ178" s="2"/>
    </row>
    <row r="179" spans="2:36" x14ac:dyDescent="0.25">
      <c r="B179" s="1">
        <v>40638</v>
      </c>
      <c r="C179">
        <v>296342</v>
      </c>
      <c r="D179">
        <v>28803</v>
      </c>
      <c r="F179" s="2">
        <f t="shared" si="22"/>
        <v>8.8585092804748647E-2</v>
      </c>
      <c r="I179">
        <v>325762</v>
      </c>
      <c r="J179">
        <v>20465</v>
      </c>
      <c r="L179" s="2">
        <f t="shared" si="23"/>
        <v>5.9108619489525657E-2</v>
      </c>
      <c r="N179">
        <v>130153</v>
      </c>
      <c r="O179">
        <v>24522</v>
      </c>
      <c r="Q179" s="2">
        <f t="shared" si="24"/>
        <v>0.15853887182802651</v>
      </c>
      <c r="T179">
        <v>134471</v>
      </c>
      <c r="U179">
        <v>19196</v>
      </c>
      <c r="W179" s="2">
        <f t="shared" si="25"/>
        <v>0.12491946872132599</v>
      </c>
      <c r="Z179">
        <f t="shared" si="20"/>
        <v>426495</v>
      </c>
      <c r="AA179">
        <f t="shared" si="21"/>
        <v>53325</v>
      </c>
      <c r="AC179" s="2">
        <f t="shared" si="26"/>
        <v>0.11113542578466926</v>
      </c>
      <c r="AD179" s="2"/>
      <c r="AE179">
        <f t="shared" si="27"/>
        <v>460233</v>
      </c>
      <c r="AF179">
        <f t="shared" si="28"/>
        <v>39661</v>
      </c>
      <c r="AH179" s="2">
        <f t="shared" si="29"/>
        <v>7.9338819829803925E-2</v>
      </c>
      <c r="AI179" s="2"/>
      <c r="AJ179" s="2"/>
    </row>
    <row r="180" spans="2:36" x14ac:dyDescent="0.25">
      <c r="B180" s="1">
        <v>40645</v>
      </c>
      <c r="C180">
        <v>279198</v>
      </c>
      <c r="D180">
        <v>27951</v>
      </c>
      <c r="F180" s="2">
        <f t="shared" si="22"/>
        <v>9.1001435785237783E-2</v>
      </c>
      <c r="I180">
        <v>303868</v>
      </c>
      <c r="J180">
        <v>22289</v>
      </c>
      <c r="L180" s="2">
        <f t="shared" si="23"/>
        <v>6.8338254276314778E-2</v>
      </c>
      <c r="N180">
        <v>116544</v>
      </c>
      <c r="O180">
        <v>24678</v>
      </c>
      <c r="Q180" s="2">
        <f t="shared" si="24"/>
        <v>0.17474614436844119</v>
      </c>
      <c r="T180">
        <v>119302</v>
      </c>
      <c r="U180">
        <v>20597</v>
      </c>
      <c r="W180" s="2">
        <f t="shared" si="25"/>
        <v>0.14722764279944817</v>
      </c>
      <c r="Z180">
        <f t="shared" si="20"/>
        <v>395742</v>
      </c>
      <c r="AA180">
        <f t="shared" si="21"/>
        <v>52629</v>
      </c>
      <c r="AC180" s="2">
        <f t="shared" si="26"/>
        <v>0.11737824257144196</v>
      </c>
      <c r="AD180" s="2"/>
      <c r="AE180">
        <f t="shared" si="27"/>
        <v>423170</v>
      </c>
      <c r="AF180">
        <f t="shared" si="28"/>
        <v>42886</v>
      </c>
      <c r="AH180" s="2">
        <f t="shared" si="29"/>
        <v>9.2018984843023149E-2</v>
      </c>
      <c r="AI180" s="2"/>
      <c r="AJ180" s="2"/>
    </row>
    <row r="181" spans="2:36" x14ac:dyDescent="0.25">
      <c r="B181" s="1">
        <v>40652</v>
      </c>
      <c r="C181">
        <v>296915</v>
      </c>
      <c r="D181">
        <v>37904</v>
      </c>
      <c r="F181" s="2">
        <f t="shared" si="22"/>
        <v>0.11320743446459132</v>
      </c>
      <c r="I181">
        <v>312733</v>
      </c>
      <c r="J181">
        <v>22817</v>
      </c>
      <c r="L181" s="2">
        <f t="shared" si="23"/>
        <v>6.7998807927283564E-2</v>
      </c>
      <c r="N181">
        <v>115221</v>
      </c>
      <c r="O181">
        <v>33732</v>
      </c>
      <c r="Q181" s="2">
        <f t="shared" si="24"/>
        <v>0.22646069565567661</v>
      </c>
      <c r="T181">
        <v>117690</v>
      </c>
      <c r="U181">
        <v>29675</v>
      </c>
      <c r="W181" s="2">
        <f t="shared" si="25"/>
        <v>0.20137074610660605</v>
      </c>
      <c r="Z181">
        <f t="shared" si="20"/>
        <v>412136</v>
      </c>
      <c r="AA181">
        <f t="shared" si="21"/>
        <v>71636</v>
      </c>
      <c r="AC181" s="2">
        <f t="shared" si="26"/>
        <v>0.14807802022440322</v>
      </c>
      <c r="AD181" s="2"/>
      <c r="AE181">
        <f t="shared" si="27"/>
        <v>430423</v>
      </c>
      <c r="AF181">
        <f t="shared" si="28"/>
        <v>52492</v>
      </c>
      <c r="AH181" s="2">
        <f t="shared" si="29"/>
        <v>0.10869821811291842</v>
      </c>
      <c r="AI181" s="2"/>
      <c r="AJ181" s="2"/>
    </row>
    <row r="182" spans="2:36" x14ac:dyDescent="0.25">
      <c r="B182" s="1">
        <v>40659</v>
      </c>
      <c r="C182">
        <v>296609</v>
      </c>
      <c r="D182">
        <v>33373</v>
      </c>
      <c r="F182" s="2">
        <f t="shared" si="22"/>
        <v>0.1011358195295501</v>
      </c>
      <c r="I182">
        <v>319585</v>
      </c>
      <c r="J182">
        <v>18467</v>
      </c>
      <c r="L182" s="2">
        <f t="shared" si="23"/>
        <v>5.4627690414492447E-2</v>
      </c>
      <c r="N182">
        <v>116278</v>
      </c>
      <c r="O182">
        <v>30422</v>
      </c>
      <c r="Q182" s="2">
        <f t="shared" si="24"/>
        <v>0.20737559645535106</v>
      </c>
      <c r="T182">
        <v>119689</v>
      </c>
      <c r="U182">
        <v>26439</v>
      </c>
      <c r="W182" s="2">
        <f t="shared" si="25"/>
        <v>0.1809304171685098</v>
      </c>
      <c r="Z182">
        <f t="shared" si="20"/>
        <v>412887</v>
      </c>
      <c r="AA182">
        <f t="shared" si="21"/>
        <v>63795</v>
      </c>
      <c r="AC182" s="2">
        <f t="shared" si="26"/>
        <v>0.13383135927096051</v>
      </c>
      <c r="AD182" s="2"/>
      <c r="AE182">
        <f t="shared" si="27"/>
        <v>439274</v>
      </c>
      <c r="AF182">
        <f t="shared" si="28"/>
        <v>44906</v>
      </c>
      <c r="AH182" s="2">
        <f t="shared" si="29"/>
        <v>9.2746499235821386E-2</v>
      </c>
      <c r="AI182" s="2"/>
      <c r="AJ182" s="2"/>
    </row>
    <row r="183" spans="2:36" x14ac:dyDescent="0.25">
      <c r="B183" s="1">
        <v>40666</v>
      </c>
      <c r="C183">
        <v>295640</v>
      </c>
      <c r="D183">
        <v>36972</v>
      </c>
      <c r="F183" s="2">
        <f t="shared" si="22"/>
        <v>0.11115654275852946</v>
      </c>
      <c r="I183">
        <v>314696</v>
      </c>
      <c r="J183">
        <v>20873</v>
      </c>
      <c r="L183" s="2">
        <f t="shared" si="23"/>
        <v>6.2201812443938506E-2</v>
      </c>
      <c r="N183">
        <v>113729</v>
      </c>
      <c r="O183">
        <v>26332</v>
      </c>
      <c r="Q183" s="2">
        <f t="shared" si="24"/>
        <v>0.18800379834500683</v>
      </c>
      <c r="T183">
        <v>116720</v>
      </c>
      <c r="U183">
        <v>22074</v>
      </c>
      <c r="W183" s="2">
        <f t="shared" si="25"/>
        <v>0.15904145712350679</v>
      </c>
      <c r="Z183">
        <f t="shared" si="20"/>
        <v>409369</v>
      </c>
      <c r="AA183">
        <f t="shared" si="21"/>
        <v>63304</v>
      </c>
      <c r="AC183" s="2">
        <f t="shared" si="26"/>
        <v>0.13392768362060029</v>
      </c>
      <c r="AD183" s="2"/>
      <c r="AE183">
        <f t="shared" si="27"/>
        <v>431416</v>
      </c>
      <c r="AF183">
        <f t="shared" si="28"/>
        <v>42947</v>
      </c>
      <c r="AH183" s="2">
        <f t="shared" si="29"/>
        <v>9.0536150585100436E-2</v>
      </c>
      <c r="AI183" s="2"/>
      <c r="AJ183" s="2"/>
    </row>
    <row r="184" spans="2:36" x14ac:dyDescent="0.25">
      <c r="B184" s="1">
        <v>40673</v>
      </c>
      <c r="C184">
        <v>280900</v>
      </c>
      <c r="D184">
        <v>47331</v>
      </c>
      <c r="F184" s="2">
        <f t="shared" si="22"/>
        <v>0.1442002735878086</v>
      </c>
      <c r="I184">
        <v>287379</v>
      </c>
      <c r="J184">
        <v>31666</v>
      </c>
      <c r="L184" s="2">
        <f t="shared" si="23"/>
        <v>9.9252456550016452E-2</v>
      </c>
      <c r="N184">
        <v>111214</v>
      </c>
      <c r="O184">
        <v>39126</v>
      </c>
      <c r="Q184" s="2">
        <f t="shared" si="24"/>
        <v>0.26025009977384594</v>
      </c>
      <c r="T184">
        <v>111930</v>
      </c>
      <c r="U184">
        <v>30792</v>
      </c>
      <c r="W184" s="2">
        <f t="shared" si="25"/>
        <v>0.21574809770042461</v>
      </c>
      <c r="Z184">
        <f t="shared" si="20"/>
        <v>392114</v>
      </c>
      <c r="AA184">
        <f t="shared" si="21"/>
        <v>86457</v>
      </c>
      <c r="AC184" s="2">
        <f t="shared" si="26"/>
        <v>0.18065657969245943</v>
      </c>
      <c r="AD184" s="2"/>
      <c r="AE184">
        <f t="shared" si="27"/>
        <v>399309</v>
      </c>
      <c r="AF184">
        <f t="shared" si="28"/>
        <v>62458</v>
      </c>
      <c r="AH184" s="2">
        <f t="shared" si="29"/>
        <v>0.13525869107147112</v>
      </c>
      <c r="AI184" s="2"/>
      <c r="AJ184" s="2"/>
    </row>
    <row r="185" spans="2:36" x14ac:dyDescent="0.25">
      <c r="B185" s="1">
        <v>40680</v>
      </c>
      <c r="C185">
        <v>249943</v>
      </c>
      <c r="D185">
        <v>37935</v>
      </c>
      <c r="F185" s="2">
        <f t="shared" si="22"/>
        <v>0.13177457117251057</v>
      </c>
      <c r="I185">
        <v>251593</v>
      </c>
      <c r="J185">
        <v>30028</v>
      </c>
      <c r="L185" s="2">
        <f t="shared" si="23"/>
        <v>0.10662557124646245</v>
      </c>
      <c r="N185">
        <v>93168</v>
      </c>
      <c r="O185">
        <v>41565</v>
      </c>
      <c r="Q185" s="2">
        <f t="shared" si="24"/>
        <v>0.30849903141769275</v>
      </c>
      <c r="T185">
        <v>93564</v>
      </c>
      <c r="U185">
        <v>32753</v>
      </c>
      <c r="W185" s="2">
        <f t="shared" si="25"/>
        <v>0.25929209845072321</v>
      </c>
      <c r="Z185">
        <f t="shared" si="20"/>
        <v>343111</v>
      </c>
      <c r="AA185">
        <f t="shared" si="21"/>
        <v>79500</v>
      </c>
      <c r="AC185" s="2">
        <f t="shared" si="26"/>
        <v>0.18811625821381839</v>
      </c>
      <c r="AD185" s="2"/>
      <c r="AE185">
        <f t="shared" si="27"/>
        <v>345157</v>
      </c>
      <c r="AF185">
        <f t="shared" si="28"/>
        <v>62781</v>
      </c>
      <c r="AH185" s="2">
        <f t="shared" si="29"/>
        <v>0.15389838651952012</v>
      </c>
      <c r="AI185" s="2"/>
      <c r="AJ185" s="2"/>
    </row>
    <row r="186" spans="2:36" x14ac:dyDescent="0.25">
      <c r="B186" s="1">
        <v>40687</v>
      </c>
      <c r="C186">
        <v>251438</v>
      </c>
      <c r="D186">
        <v>38498</v>
      </c>
      <c r="F186" s="2">
        <f t="shared" si="22"/>
        <v>0.13278102753711163</v>
      </c>
      <c r="I186">
        <v>257293</v>
      </c>
      <c r="J186">
        <v>31616</v>
      </c>
      <c r="L186" s="2">
        <f t="shared" si="23"/>
        <v>0.10943238182265004</v>
      </c>
      <c r="N186">
        <v>94491</v>
      </c>
      <c r="O186">
        <v>46501</v>
      </c>
      <c r="Q186" s="2">
        <f t="shared" si="24"/>
        <v>0.32981303903767589</v>
      </c>
      <c r="T186">
        <v>95049</v>
      </c>
      <c r="U186">
        <v>37772</v>
      </c>
      <c r="W186" s="2">
        <f t="shared" si="25"/>
        <v>0.284382740681067</v>
      </c>
      <c r="Z186">
        <f t="shared" si="20"/>
        <v>345929</v>
      </c>
      <c r="AA186">
        <f t="shared" si="21"/>
        <v>84999</v>
      </c>
      <c r="AC186" s="2">
        <f t="shared" si="26"/>
        <v>0.19724640775257118</v>
      </c>
      <c r="AD186" s="2"/>
      <c r="AE186">
        <f t="shared" si="27"/>
        <v>352342</v>
      </c>
      <c r="AF186">
        <f t="shared" si="28"/>
        <v>69388</v>
      </c>
      <c r="AH186" s="2">
        <f t="shared" si="29"/>
        <v>0.16453180945154483</v>
      </c>
      <c r="AI186" s="2"/>
      <c r="AJ186" s="2"/>
    </row>
    <row r="187" spans="2:36" x14ac:dyDescent="0.25">
      <c r="B187" s="1">
        <v>40694</v>
      </c>
      <c r="C187">
        <v>246234</v>
      </c>
      <c r="D187">
        <v>40407</v>
      </c>
      <c r="F187" s="2">
        <f t="shared" si="22"/>
        <v>0.14096727265115597</v>
      </c>
      <c r="I187">
        <v>258039</v>
      </c>
      <c r="J187">
        <v>33598</v>
      </c>
      <c r="L187" s="2">
        <f t="shared" si="23"/>
        <v>0.11520486083727373</v>
      </c>
      <c r="N187">
        <v>106767</v>
      </c>
      <c r="O187">
        <v>43179</v>
      </c>
      <c r="Q187" s="2">
        <f t="shared" si="24"/>
        <v>0.28796366692009123</v>
      </c>
      <c r="T187">
        <v>108052</v>
      </c>
      <c r="U187">
        <v>34205</v>
      </c>
      <c r="W187" s="2">
        <f t="shared" si="25"/>
        <v>0.24044510990671814</v>
      </c>
      <c r="Z187">
        <f t="shared" si="20"/>
        <v>353001</v>
      </c>
      <c r="AA187">
        <f t="shared" si="21"/>
        <v>83586</v>
      </c>
      <c r="AC187" s="2">
        <f t="shared" si="26"/>
        <v>0.19145324986772397</v>
      </c>
      <c r="AD187" s="2"/>
      <c r="AE187">
        <f t="shared" si="27"/>
        <v>366091</v>
      </c>
      <c r="AF187">
        <f t="shared" si="28"/>
        <v>67803</v>
      </c>
      <c r="AH187" s="2">
        <f t="shared" si="29"/>
        <v>0.15626627701696727</v>
      </c>
      <c r="AI187" s="2"/>
      <c r="AJ187" s="2"/>
    </row>
    <row r="188" spans="2:36" x14ac:dyDescent="0.25">
      <c r="B188" s="1">
        <v>40701</v>
      </c>
      <c r="C188">
        <v>236116</v>
      </c>
      <c r="D188">
        <v>57899</v>
      </c>
      <c r="F188" s="2">
        <f t="shared" si="22"/>
        <v>0.19692532693910175</v>
      </c>
      <c r="I188">
        <v>241459</v>
      </c>
      <c r="J188">
        <v>50485</v>
      </c>
      <c r="L188" s="2">
        <f t="shared" si="23"/>
        <v>0.17292699969857234</v>
      </c>
      <c r="N188">
        <v>106126</v>
      </c>
      <c r="O188">
        <v>42699</v>
      </c>
      <c r="Q188" s="2">
        <f t="shared" si="24"/>
        <v>0.2869074416260709</v>
      </c>
      <c r="T188">
        <v>107446</v>
      </c>
      <c r="U188">
        <v>33752</v>
      </c>
      <c r="W188" s="2">
        <f t="shared" si="25"/>
        <v>0.23904021303417897</v>
      </c>
      <c r="Z188">
        <f t="shared" si="20"/>
        <v>342242</v>
      </c>
      <c r="AA188">
        <f t="shared" si="21"/>
        <v>100598</v>
      </c>
      <c r="AC188" s="2">
        <f t="shared" si="26"/>
        <v>0.2271655676993948</v>
      </c>
      <c r="AD188" s="2"/>
      <c r="AE188">
        <f t="shared" si="27"/>
        <v>348905</v>
      </c>
      <c r="AF188">
        <f t="shared" si="28"/>
        <v>84237</v>
      </c>
      <c r="AH188" s="2">
        <f t="shared" si="29"/>
        <v>0.19447894685807426</v>
      </c>
      <c r="AI188" s="2"/>
      <c r="AJ188" s="2"/>
    </row>
    <row r="189" spans="2:36" x14ac:dyDescent="0.25">
      <c r="B189" s="1">
        <v>40708</v>
      </c>
      <c r="C189">
        <v>240024</v>
      </c>
      <c r="D189">
        <v>56911</v>
      </c>
      <c r="F189" s="2">
        <f t="shared" si="22"/>
        <v>0.19166147473352754</v>
      </c>
      <c r="I189">
        <v>247793</v>
      </c>
      <c r="J189">
        <v>53421</v>
      </c>
      <c r="L189" s="2">
        <f t="shared" si="23"/>
        <v>0.17735231430146009</v>
      </c>
      <c r="N189">
        <v>111357</v>
      </c>
      <c r="O189">
        <v>40936</v>
      </c>
      <c r="Q189" s="2">
        <f t="shared" si="24"/>
        <v>0.268797646641671</v>
      </c>
      <c r="T189">
        <v>111751</v>
      </c>
      <c r="U189">
        <v>30457</v>
      </c>
      <c r="W189" s="2">
        <f t="shared" si="25"/>
        <v>0.21417219846984697</v>
      </c>
      <c r="Z189">
        <f t="shared" si="20"/>
        <v>351381</v>
      </c>
      <c r="AA189">
        <f t="shared" si="21"/>
        <v>97847</v>
      </c>
      <c r="AC189" s="2">
        <f t="shared" si="26"/>
        <v>0.21781144541301967</v>
      </c>
      <c r="AD189" s="2"/>
      <c r="AE189">
        <f t="shared" si="27"/>
        <v>359544</v>
      </c>
      <c r="AF189">
        <f t="shared" si="28"/>
        <v>83878</v>
      </c>
      <c r="AH189" s="2">
        <f t="shared" si="29"/>
        <v>0.18916066410777996</v>
      </c>
      <c r="AI189" s="2"/>
      <c r="AJ189" s="2"/>
    </row>
    <row r="190" spans="2:36" x14ac:dyDescent="0.25">
      <c r="B190" s="1">
        <v>40715</v>
      </c>
      <c r="C190">
        <v>228586</v>
      </c>
      <c r="D190">
        <v>66396</v>
      </c>
      <c r="F190" s="2">
        <f t="shared" si="22"/>
        <v>0.2250849204358232</v>
      </c>
      <c r="I190">
        <v>228813</v>
      </c>
      <c r="J190">
        <v>61343</v>
      </c>
      <c r="L190" s="2">
        <f t="shared" si="23"/>
        <v>0.21141386013041261</v>
      </c>
      <c r="N190">
        <v>89058</v>
      </c>
      <c r="O190">
        <v>49667</v>
      </c>
      <c r="Q190" s="2">
        <f t="shared" si="24"/>
        <v>0.35802486934582806</v>
      </c>
      <c r="T190">
        <v>88623</v>
      </c>
      <c r="U190">
        <v>41304</v>
      </c>
      <c r="W190" s="2">
        <f t="shared" si="25"/>
        <v>0.3179015908933478</v>
      </c>
      <c r="Z190">
        <f t="shared" si="20"/>
        <v>317644</v>
      </c>
      <c r="AA190">
        <f t="shared" si="21"/>
        <v>116063</v>
      </c>
      <c r="AC190" s="2">
        <f t="shared" si="26"/>
        <v>0.26760693279103176</v>
      </c>
      <c r="AD190" s="2"/>
      <c r="AE190">
        <f t="shared" si="27"/>
        <v>317436</v>
      </c>
      <c r="AF190">
        <f t="shared" si="28"/>
        <v>102647</v>
      </c>
      <c r="AH190" s="2">
        <f t="shared" si="29"/>
        <v>0.24434933096554728</v>
      </c>
      <c r="AI190" s="2"/>
      <c r="AJ190" s="2"/>
    </row>
    <row r="191" spans="2:36" x14ac:dyDescent="0.25">
      <c r="B191" s="1">
        <v>40722</v>
      </c>
      <c r="C191">
        <v>223022</v>
      </c>
      <c r="D191">
        <v>73018</v>
      </c>
      <c r="F191" s="2">
        <f t="shared" si="22"/>
        <v>0.24664910147277394</v>
      </c>
      <c r="I191">
        <v>223980</v>
      </c>
      <c r="J191">
        <v>70832</v>
      </c>
      <c r="L191" s="2">
        <f t="shared" si="23"/>
        <v>0.24026159043729564</v>
      </c>
      <c r="N191">
        <v>87831</v>
      </c>
      <c r="O191">
        <v>49301</v>
      </c>
      <c r="Q191" s="2">
        <f t="shared" si="24"/>
        <v>0.35951491993116119</v>
      </c>
      <c r="T191">
        <v>86272</v>
      </c>
      <c r="U191">
        <v>42964</v>
      </c>
      <c r="W191" s="2">
        <f t="shared" si="25"/>
        <v>0.33244606765916618</v>
      </c>
      <c r="Z191">
        <f t="shared" si="20"/>
        <v>310853</v>
      </c>
      <c r="AA191">
        <f t="shared" si="21"/>
        <v>122319</v>
      </c>
      <c r="AC191" s="2">
        <f t="shared" si="26"/>
        <v>0.28237974753677525</v>
      </c>
      <c r="AD191" s="2"/>
      <c r="AE191">
        <f t="shared" si="27"/>
        <v>310252</v>
      </c>
      <c r="AF191">
        <f t="shared" si="28"/>
        <v>113796</v>
      </c>
      <c r="AH191" s="2">
        <f t="shared" si="29"/>
        <v>0.26835641248160585</v>
      </c>
      <c r="AI191" s="2"/>
      <c r="AJ191" s="2"/>
    </row>
    <row r="192" spans="2:36" x14ac:dyDescent="0.25">
      <c r="B192" s="1">
        <v>40729</v>
      </c>
      <c r="C192">
        <v>224114</v>
      </c>
      <c r="D192">
        <v>64473</v>
      </c>
      <c r="F192" s="2">
        <f t="shared" si="22"/>
        <v>0.22340923187808182</v>
      </c>
      <c r="I192">
        <v>228532</v>
      </c>
      <c r="J192">
        <v>63041</v>
      </c>
      <c r="L192" s="2">
        <f t="shared" si="23"/>
        <v>0.21621000572755364</v>
      </c>
      <c r="N192">
        <v>100233</v>
      </c>
      <c r="O192">
        <v>37539</v>
      </c>
      <c r="Q192" s="2">
        <f t="shared" si="24"/>
        <v>0.27247191011235955</v>
      </c>
      <c r="T192">
        <v>99065</v>
      </c>
      <c r="U192">
        <v>31283</v>
      </c>
      <c r="W192" s="2">
        <f t="shared" si="25"/>
        <v>0.23999601067910517</v>
      </c>
      <c r="Z192">
        <f t="shared" si="20"/>
        <v>324347</v>
      </c>
      <c r="AA192">
        <f t="shared" si="21"/>
        <v>102012</v>
      </c>
      <c r="AC192" s="2">
        <f t="shared" si="26"/>
        <v>0.23926315616651694</v>
      </c>
      <c r="AD192" s="2"/>
      <c r="AE192">
        <f t="shared" si="27"/>
        <v>327597</v>
      </c>
      <c r="AF192">
        <f t="shared" si="28"/>
        <v>94324</v>
      </c>
      <c r="AH192" s="2">
        <f t="shared" si="29"/>
        <v>0.22355843866505815</v>
      </c>
      <c r="AI192" s="2"/>
      <c r="AJ192" s="2"/>
    </row>
    <row r="193" spans="2:36" x14ac:dyDescent="0.25">
      <c r="B193" s="1">
        <v>40736</v>
      </c>
      <c r="C193">
        <v>228578</v>
      </c>
      <c r="D193">
        <v>66290</v>
      </c>
      <c r="F193" s="2">
        <f t="shared" si="22"/>
        <v>0.22481245845598707</v>
      </c>
      <c r="I193">
        <v>231437</v>
      </c>
      <c r="J193">
        <v>62604</v>
      </c>
      <c r="L193" s="2">
        <f t="shared" si="23"/>
        <v>0.21290908410731837</v>
      </c>
      <c r="N193">
        <v>108096</v>
      </c>
      <c r="O193">
        <v>32098</v>
      </c>
      <c r="Q193" s="2">
        <f t="shared" si="24"/>
        <v>0.22895416351627032</v>
      </c>
      <c r="T193">
        <v>107783</v>
      </c>
      <c r="U193">
        <v>25998</v>
      </c>
      <c r="W193" s="2">
        <f t="shared" si="25"/>
        <v>0.19433252853544225</v>
      </c>
      <c r="Z193">
        <f t="shared" si="20"/>
        <v>336674</v>
      </c>
      <c r="AA193">
        <f t="shared" si="21"/>
        <v>98388</v>
      </c>
      <c r="AC193" s="2">
        <f t="shared" si="26"/>
        <v>0.22614707788774932</v>
      </c>
      <c r="AD193" s="2"/>
      <c r="AE193">
        <f t="shared" si="27"/>
        <v>339220</v>
      </c>
      <c r="AF193">
        <f t="shared" si="28"/>
        <v>88602</v>
      </c>
      <c r="AH193" s="2">
        <f t="shared" si="29"/>
        <v>0.20710014912744085</v>
      </c>
      <c r="AI193" s="2"/>
      <c r="AJ193" s="2"/>
    </row>
    <row r="194" spans="2:36" x14ac:dyDescent="0.25">
      <c r="B194" s="1">
        <v>40743</v>
      </c>
      <c r="C194">
        <v>237123</v>
      </c>
      <c r="D194">
        <v>65733</v>
      </c>
      <c r="F194" s="2">
        <f t="shared" si="22"/>
        <v>0.21704374356129646</v>
      </c>
      <c r="I194">
        <v>243107</v>
      </c>
      <c r="J194">
        <v>60822</v>
      </c>
      <c r="L194" s="2">
        <f t="shared" si="23"/>
        <v>0.20011910676506683</v>
      </c>
      <c r="N194">
        <v>113782</v>
      </c>
      <c r="O194">
        <v>27762</v>
      </c>
      <c r="Q194" s="2">
        <f t="shared" si="24"/>
        <v>0.19613689029559714</v>
      </c>
      <c r="T194">
        <v>113144</v>
      </c>
      <c r="U194">
        <v>21982</v>
      </c>
      <c r="W194" s="2">
        <f t="shared" si="25"/>
        <v>0.1626777970190785</v>
      </c>
      <c r="Z194">
        <f t="shared" si="20"/>
        <v>350905</v>
      </c>
      <c r="AA194">
        <f t="shared" si="21"/>
        <v>93495</v>
      </c>
      <c r="AC194" s="2">
        <f t="shared" si="26"/>
        <v>0.2103847884788479</v>
      </c>
      <c r="AD194" s="2"/>
      <c r="AE194">
        <f t="shared" si="27"/>
        <v>356251</v>
      </c>
      <c r="AF194">
        <f t="shared" si="28"/>
        <v>82804</v>
      </c>
      <c r="AH194" s="2">
        <f t="shared" si="29"/>
        <v>0.18859596178155355</v>
      </c>
      <c r="AI194" s="2"/>
      <c r="AJ194" s="2"/>
    </row>
    <row r="195" spans="2:36" x14ac:dyDescent="0.25">
      <c r="B195" s="1">
        <v>40750</v>
      </c>
      <c r="C195">
        <v>244362</v>
      </c>
      <c r="D195">
        <v>64349</v>
      </c>
      <c r="F195" s="2">
        <f t="shared" si="22"/>
        <v>0.2084441435517361</v>
      </c>
      <c r="I195">
        <v>250645</v>
      </c>
      <c r="J195">
        <v>59222</v>
      </c>
      <c r="L195" s="2">
        <f t="shared" si="23"/>
        <v>0.19112070662574587</v>
      </c>
      <c r="N195">
        <v>122240</v>
      </c>
      <c r="O195">
        <v>29072</v>
      </c>
      <c r="Q195" s="2">
        <f t="shared" si="24"/>
        <v>0.19213281167389235</v>
      </c>
      <c r="T195">
        <v>121778</v>
      </c>
      <c r="U195">
        <v>23045</v>
      </c>
      <c r="W195" s="2">
        <f t="shared" si="25"/>
        <v>0.15912527706234508</v>
      </c>
      <c r="Z195">
        <f t="shared" si="20"/>
        <v>366602</v>
      </c>
      <c r="AA195">
        <f t="shared" si="21"/>
        <v>93421</v>
      </c>
      <c r="AC195" s="2">
        <f t="shared" si="26"/>
        <v>0.20307897648595832</v>
      </c>
      <c r="AD195" s="2"/>
      <c r="AE195">
        <f t="shared" si="27"/>
        <v>372423</v>
      </c>
      <c r="AF195">
        <f t="shared" si="28"/>
        <v>82267</v>
      </c>
      <c r="AH195" s="2">
        <f t="shared" si="29"/>
        <v>0.18092986430315161</v>
      </c>
      <c r="AI195" s="2"/>
      <c r="AJ195" s="2"/>
    </row>
    <row r="196" spans="2:36" x14ac:dyDescent="0.25">
      <c r="B196" s="1">
        <v>40757</v>
      </c>
      <c r="C196">
        <v>234663</v>
      </c>
      <c r="D196">
        <v>77524</v>
      </c>
      <c r="F196" s="2">
        <f t="shared" si="22"/>
        <v>0.24832552284368023</v>
      </c>
      <c r="I196">
        <v>235396</v>
      </c>
      <c r="J196">
        <v>75145</v>
      </c>
      <c r="L196" s="2">
        <f t="shared" si="23"/>
        <v>0.24198093005432456</v>
      </c>
      <c r="N196">
        <v>126312</v>
      </c>
      <c r="O196">
        <v>34318</v>
      </c>
      <c r="Q196" s="2">
        <f t="shared" si="24"/>
        <v>0.21364626782045695</v>
      </c>
      <c r="T196">
        <v>125677</v>
      </c>
      <c r="U196">
        <v>29806</v>
      </c>
      <c r="W196" s="2">
        <f t="shared" si="25"/>
        <v>0.19169941408385482</v>
      </c>
      <c r="Z196">
        <f t="shared" si="20"/>
        <v>360975</v>
      </c>
      <c r="AA196">
        <f t="shared" si="21"/>
        <v>111842</v>
      </c>
      <c r="AC196" s="2">
        <f t="shared" si="26"/>
        <v>0.23654394829289133</v>
      </c>
      <c r="AD196" s="2"/>
      <c r="AE196">
        <f t="shared" si="27"/>
        <v>361073</v>
      </c>
      <c r="AF196">
        <f t="shared" si="28"/>
        <v>104951</v>
      </c>
      <c r="AH196" s="2">
        <f t="shared" si="29"/>
        <v>0.22520513964946012</v>
      </c>
      <c r="AI196" s="2"/>
      <c r="AJ196" s="2"/>
    </row>
    <row r="197" spans="2:36" x14ac:dyDescent="0.25">
      <c r="B197" s="1">
        <v>40764</v>
      </c>
      <c r="C197">
        <v>227268</v>
      </c>
      <c r="D197">
        <v>80156</v>
      </c>
      <c r="F197" s="2">
        <f t="shared" si="22"/>
        <v>0.26073436036223585</v>
      </c>
      <c r="I197">
        <v>218694</v>
      </c>
      <c r="J197">
        <v>75756</v>
      </c>
      <c r="L197" s="2">
        <f t="shared" si="23"/>
        <v>0.25727967396841567</v>
      </c>
      <c r="N197">
        <v>94296</v>
      </c>
      <c r="O197">
        <v>43839</v>
      </c>
      <c r="Q197" s="2">
        <f t="shared" si="24"/>
        <v>0.31736344880008688</v>
      </c>
      <c r="T197">
        <v>91831</v>
      </c>
      <c r="U197">
        <v>42979</v>
      </c>
      <c r="W197" s="2">
        <f t="shared" si="25"/>
        <v>0.31881166085601959</v>
      </c>
      <c r="Z197">
        <f t="shared" si="20"/>
        <v>321564</v>
      </c>
      <c r="AA197">
        <f t="shared" si="21"/>
        <v>123995</v>
      </c>
      <c r="AC197" s="2">
        <f t="shared" si="26"/>
        <v>0.2782908660805864</v>
      </c>
      <c r="AD197" s="2"/>
      <c r="AE197">
        <f t="shared" si="27"/>
        <v>310525</v>
      </c>
      <c r="AF197">
        <f t="shared" si="28"/>
        <v>118735</v>
      </c>
      <c r="AH197" s="2">
        <f t="shared" si="29"/>
        <v>0.27660392303033127</v>
      </c>
      <c r="AI197" s="2"/>
      <c r="AJ197" s="2"/>
    </row>
    <row r="198" spans="2:36" x14ac:dyDescent="0.25">
      <c r="B198" s="1">
        <v>40771</v>
      </c>
      <c r="C198">
        <v>226918</v>
      </c>
      <c r="D198">
        <v>78323</v>
      </c>
      <c r="F198" s="2">
        <f t="shared" si="22"/>
        <v>0.25659397001058182</v>
      </c>
      <c r="I198">
        <v>217545</v>
      </c>
      <c r="J198">
        <v>74776</v>
      </c>
      <c r="L198" s="2">
        <f t="shared" si="23"/>
        <v>0.2558009859024839</v>
      </c>
      <c r="N198">
        <v>92146</v>
      </c>
      <c r="O198">
        <v>47360</v>
      </c>
      <c r="Q198" s="2">
        <f t="shared" si="24"/>
        <v>0.33948360643986636</v>
      </c>
      <c r="T198">
        <v>94692</v>
      </c>
      <c r="U198">
        <v>45084</v>
      </c>
      <c r="W198" s="2">
        <f t="shared" si="25"/>
        <v>0.32254464285714285</v>
      </c>
      <c r="Z198">
        <f t="shared" si="20"/>
        <v>319064</v>
      </c>
      <c r="AA198">
        <f t="shared" si="21"/>
        <v>125683</v>
      </c>
      <c r="AC198" s="2">
        <f t="shared" si="26"/>
        <v>0.28259437387998121</v>
      </c>
      <c r="AD198" s="2"/>
      <c r="AE198">
        <f t="shared" si="27"/>
        <v>312237</v>
      </c>
      <c r="AF198">
        <f t="shared" si="28"/>
        <v>119860</v>
      </c>
      <c r="AH198" s="2">
        <f t="shared" si="29"/>
        <v>0.27739141905636927</v>
      </c>
      <c r="AI198" s="2"/>
      <c r="AJ198" s="2"/>
    </row>
    <row r="199" spans="2:36" x14ac:dyDescent="0.25">
      <c r="B199" s="1">
        <v>40778</v>
      </c>
      <c r="C199">
        <v>218941</v>
      </c>
      <c r="D199">
        <v>80170</v>
      </c>
      <c r="F199" s="2">
        <f t="shared" si="22"/>
        <v>0.26802758842035229</v>
      </c>
      <c r="I199">
        <v>219170</v>
      </c>
      <c r="J199">
        <v>75975</v>
      </c>
      <c r="L199" s="2">
        <f t="shared" si="23"/>
        <v>0.25741584644835591</v>
      </c>
      <c r="N199">
        <v>94130</v>
      </c>
      <c r="O199">
        <v>55484</v>
      </c>
      <c r="Q199" s="2">
        <f t="shared" si="24"/>
        <v>0.37084764794738462</v>
      </c>
      <c r="T199">
        <v>96209</v>
      </c>
      <c r="U199">
        <v>52720</v>
      </c>
      <c r="W199" s="2">
        <f t="shared" si="25"/>
        <v>0.35399418514862785</v>
      </c>
      <c r="Z199">
        <f t="shared" si="20"/>
        <v>313071</v>
      </c>
      <c r="AA199">
        <f t="shared" si="21"/>
        <v>135654</v>
      </c>
      <c r="AC199" s="2">
        <f t="shared" si="26"/>
        <v>0.30230987798763165</v>
      </c>
      <c r="AD199" s="2"/>
      <c r="AE199">
        <f t="shared" si="27"/>
        <v>315379</v>
      </c>
      <c r="AF199">
        <f t="shared" si="28"/>
        <v>128695</v>
      </c>
      <c r="AH199" s="2">
        <f t="shared" si="29"/>
        <v>0.28980530271981697</v>
      </c>
      <c r="AI199" s="2"/>
      <c r="AJ199" s="2"/>
    </row>
    <row r="200" spans="2:36" x14ac:dyDescent="0.25">
      <c r="B200" s="1">
        <v>40785</v>
      </c>
      <c r="C200">
        <v>221311</v>
      </c>
      <c r="D200">
        <v>65583</v>
      </c>
      <c r="F200" s="2">
        <f t="shared" si="22"/>
        <v>0.22859662453728555</v>
      </c>
      <c r="I200">
        <v>221044</v>
      </c>
      <c r="J200">
        <v>59427</v>
      </c>
      <c r="L200" s="2">
        <f t="shared" si="23"/>
        <v>0.21188286846055385</v>
      </c>
      <c r="N200">
        <v>103852</v>
      </c>
      <c r="O200">
        <v>43264</v>
      </c>
      <c r="Q200" s="2">
        <f t="shared" si="24"/>
        <v>0.29408086136110279</v>
      </c>
      <c r="T200">
        <v>104950</v>
      </c>
      <c r="U200">
        <v>40519</v>
      </c>
      <c r="W200" s="2">
        <f t="shared" si="25"/>
        <v>0.2785404450432738</v>
      </c>
      <c r="Z200">
        <f t="shared" si="20"/>
        <v>325163</v>
      </c>
      <c r="AA200">
        <f t="shared" si="21"/>
        <v>108847</v>
      </c>
      <c r="AC200" s="2">
        <f t="shared" si="26"/>
        <v>0.25079376051243057</v>
      </c>
      <c r="AD200" s="2"/>
      <c r="AE200">
        <f t="shared" si="27"/>
        <v>325994</v>
      </c>
      <c r="AF200">
        <f t="shared" si="28"/>
        <v>99946</v>
      </c>
      <c r="AH200" s="2">
        <f t="shared" si="29"/>
        <v>0.23464807249847397</v>
      </c>
      <c r="AI200" s="2"/>
      <c r="AJ200" s="2"/>
    </row>
    <row r="201" spans="2:36" x14ac:dyDescent="0.25">
      <c r="B201" s="1">
        <v>40792</v>
      </c>
      <c r="C201">
        <v>224199</v>
      </c>
      <c r="D201">
        <v>70072</v>
      </c>
      <c r="F201" s="2">
        <f t="shared" si="22"/>
        <v>0.23812064389627249</v>
      </c>
      <c r="I201">
        <v>221269</v>
      </c>
      <c r="J201">
        <v>65432</v>
      </c>
      <c r="L201" s="2">
        <f t="shared" si="23"/>
        <v>0.22822382900652596</v>
      </c>
      <c r="N201">
        <v>115881</v>
      </c>
      <c r="O201">
        <v>46354</v>
      </c>
      <c r="Q201" s="2">
        <f t="shared" si="24"/>
        <v>0.28572133016919898</v>
      </c>
      <c r="T201">
        <v>117381</v>
      </c>
      <c r="U201">
        <v>44926</v>
      </c>
      <c r="W201" s="2">
        <f t="shared" si="25"/>
        <v>0.27679644131183501</v>
      </c>
      <c r="Z201">
        <f t="shared" ref="Z201:Z264" si="30">IFERROR(+C201+N201,C201)</f>
        <v>340080</v>
      </c>
      <c r="AA201">
        <f t="shared" ref="AA201:AA264" si="31">IFERROR(+D201+O201,D201)</f>
        <v>116426</v>
      </c>
      <c r="AC201" s="2">
        <f t="shared" si="26"/>
        <v>0.25503717366255862</v>
      </c>
      <c r="AD201" s="2"/>
      <c r="AE201">
        <f t="shared" si="27"/>
        <v>338650</v>
      </c>
      <c r="AF201">
        <f t="shared" si="28"/>
        <v>110358</v>
      </c>
      <c r="AH201" s="2">
        <f t="shared" si="29"/>
        <v>0.24578181235078217</v>
      </c>
      <c r="AI201" s="2"/>
      <c r="AJ201" s="2"/>
    </row>
    <row r="202" spans="2:36" x14ac:dyDescent="0.25">
      <c r="B202" s="1">
        <v>40799</v>
      </c>
      <c r="C202">
        <v>228362</v>
      </c>
      <c r="D202">
        <v>59564</v>
      </c>
      <c r="F202" s="2">
        <f t="shared" ref="F202:F265" si="32">+D202/SUM(C202:D202)</f>
        <v>0.20687259920951911</v>
      </c>
      <c r="I202">
        <v>229695</v>
      </c>
      <c r="J202">
        <v>50148</v>
      </c>
      <c r="L202" s="2">
        <f t="shared" ref="L202:L265" si="33">+J202/SUM(I202:J202)</f>
        <v>0.17920048026929386</v>
      </c>
      <c r="N202">
        <v>117980</v>
      </c>
      <c r="O202">
        <v>51316</v>
      </c>
      <c r="Q202" s="2">
        <f t="shared" ref="Q202:Q265" si="34">+O202/SUM(N202:O202)</f>
        <v>0.30311407239391364</v>
      </c>
      <c r="T202">
        <v>119415</v>
      </c>
      <c r="U202">
        <v>50421</v>
      </c>
      <c r="W202" s="2">
        <f t="shared" ref="W202:W265" si="35">+U202/SUM(T202:U202)</f>
        <v>0.29688052003108883</v>
      </c>
      <c r="Z202">
        <f t="shared" si="30"/>
        <v>346342</v>
      </c>
      <c r="AA202">
        <f t="shared" si="31"/>
        <v>110880</v>
      </c>
      <c r="AC202" s="2">
        <f t="shared" ref="AC202:AC265" si="36">+AA202/SUM(Z202:AA202)</f>
        <v>0.24250801579976466</v>
      </c>
      <c r="AD202" s="2"/>
      <c r="AE202">
        <f t="shared" ref="AE202:AE265" si="37">IFERROR(+I202+T202,I202)</f>
        <v>349110</v>
      </c>
      <c r="AF202">
        <f t="shared" ref="AF202:AF265" si="38">IFERROR(+J202+U202,J202)</f>
        <v>100569</v>
      </c>
      <c r="AH202" s="2">
        <f t="shared" ref="AH202:AH265" si="39">+AF202/SUM(AE202:AF202)</f>
        <v>0.22364620095668244</v>
      </c>
      <c r="AI202" s="2"/>
      <c r="AJ202" s="2"/>
    </row>
    <row r="203" spans="2:36" x14ac:dyDescent="0.25">
      <c r="B203" s="1">
        <v>40806</v>
      </c>
      <c r="C203">
        <v>217699</v>
      </c>
      <c r="D203">
        <v>64824</v>
      </c>
      <c r="F203" s="2">
        <f t="shared" si="32"/>
        <v>0.22944680610074225</v>
      </c>
      <c r="I203">
        <v>222199</v>
      </c>
      <c r="J203">
        <v>55022</v>
      </c>
      <c r="L203" s="2">
        <f t="shared" si="33"/>
        <v>0.1984770273536276</v>
      </c>
      <c r="N203">
        <v>121294</v>
      </c>
      <c r="O203">
        <v>51317</v>
      </c>
      <c r="Q203" s="2">
        <f t="shared" si="34"/>
        <v>0.29729854991860311</v>
      </c>
      <c r="T203">
        <v>122209</v>
      </c>
      <c r="U203">
        <v>48939</v>
      </c>
      <c r="W203" s="2">
        <f t="shared" si="35"/>
        <v>0.28594549746418307</v>
      </c>
      <c r="Z203">
        <f t="shared" si="30"/>
        <v>338993</v>
      </c>
      <c r="AA203">
        <f t="shared" si="31"/>
        <v>116141</v>
      </c>
      <c r="AC203" s="2">
        <f t="shared" si="36"/>
        <v>0.25517979320375977</v>
      </c>
      <c r="AD203" s="2"/>
      <c r="AE203">
        <f t="shared" si="37"/>
        <v>344408</v>
      </c>
      <c r="AF203">
        <f t="shared" si="38"/>
        <v>103961</v>
      </c>
      <c r="AH203" s="2">
        <f t="shared" si="39"/>
        <v>0.23186482562353775</v>
      </c>
      <c r="AI203" s="2"/>
      <c r="AJ203" s="2"/>
    </row>
    <row r="204" spans="2:36" x14ac:dyDescent="0.25">
      <c r="B204" s="1">
        <v>40813</v>
      </c>
      <c r="C204">
        <v>215424</v>
      </c>
      <c r="D204">
        <v>73890</v>
      </c>
      <c r="F204" s="2">
        <f t="shared" si="32"/>
        <v>0.25539725004666208</v>
      </c>
      <c r="I204">
        <v>217271</v>
      </c>
      <c r="J204">
        <v>62417</v>
      </c>
      <c r="L204" s="2">
        <f t="shared" si="33"/>
        <v>0.22316652841737936</v>
      </c>
      <c r="N204">
        <v>105098</v>
      </c>
      <c r="O204">
        <v>61784</v>
      </c>
      <c r="Q204" s="2">
        <f t="shared" si="34"/>
        <v>0.37022566843638022</v>
      </c>
      <c r="T204">
        <v>105979</v>
      </c>
      <c r="U204">
        <v>58952</v>
      </c>
      <c r="W204" s="2">
        <f t="shared" si="35"/>
        <v>0.35743432101909284</v>
      </c>
      <c r="Z204">
        <f t="shared" si="30"/>
        <v>320522</v>
      </c>
      <c r="AA204">
        <f t="shared" si="31"/>
        <v>135674</v>
      </c>
      <c r="AC204" s="2">
        <f t="shared" si="36"/>
        <v>0.29740287069592897</v>
      </c>
      <c r="AD204" s="2"/>
      <c r="AE204">
        <f t="shared" si="37"/>
        <v>323250</v>
      </c>
      <c r="AF204">
        <f t="shared" si="38"/>
        <v>121369</v>
      </c>
      <c r="AH204" s="2">
        <f t="shared" si="39"/>
        <v>0.27297303983860338</v>
      </c>
      <c r="AI204" s="2"/>
      <c r="AJ204" s="2"/>
    </row>
    <row r="205" spans="2:36" x14ac:dyDescent="0.25">
      <c r="B205" s="1">
        <v>40820</v>
      </c>
      <c r="C205">
        <v>211402</v>
      </c>
      <c r="D205">
        <v>85309</v>
      </c>
      <c r="F205" s="2">
        <f t="shared" si="32"/>
        <v>0.28751546117265619</v>
      </c>
      <c r="I205">
        <v>215051</v>
      </c>
      <c r="J205">
        <v>68747</v>
      </c>
      <c r="L205" s="2">
        <f t="shared" si="33"/>
        <v>0.24223919830301835</v>
      </c>
      <c r="N205">
        <v>96801</v>
      </c>
      <c r="O205">
        <v>72025</v>
      </c>
      <c r="Q205" s="2">
        <f t="shared" si="34"/>
        <v>0.42662267660194519</v>
      </c>
      <c r="T205">
        <v>97484</v>
      </c>
      <c r="U205">
        <v>68391</v>
      </c>
      <c r="W205" s="2">
        <f t="shared" si="35"/>
        <v>0.41230444611906558</v>
      </c>
      <c r="Z205">
        <f t="shared" si="30"/>
        <v>308203</v>
      </c>
      <c r="AA205">
        <f t="shared" si="31"/>
        <v>157334</v>
      </c>
      <c r="AC205" s="2">
        <f t="shared" si="36"/>
        <v>0.33796239611459455</v>
      </c>
      <c r="AD205" s="2"/>
      <c r="AE205">
        <f t="shared" si="37"/>
        <v>312535</v>
      </c>
      <c r="AF205">
        <f t="shared" si="38"/>
        <v>137138</v>
      </c>
      <c r="AH205" s="2">
        <f t="shared" si="39"/>
        <v>0.30497272462433811</v>
      </c>
      <c r="AI205" s="2"/>
      <c r="AJ205" s="2"/>
    </row>
    <row r="206" spans="2:36" x14ac:dyDescent="0.25">
      <c r="B206" s="1">
        <v>40827</v>
      </c>
      <c r="C206">
        <v>210780</v>
      </c>
      <c r="D206">
        <v>63332</v>
      </c>
      <c r="F206" s="2">
        <f t="shared" si="32"/>
        <v>0.23104424468830259</v>
      </c>
      <c r="I206">
        <v>212632</v>
      </c>
      <c r="J206">
        <v>54939</v>
      </c>
      <c r="L206" s="2">
        <f t="shared" si="33"/>
        <v>0.20532494179115077</v>
      </c>
      <c r="N206">
        <v>98527</v>
      </c>
      <c r="O206">
        <v>62583</v>
      </c>
      <c r="Q206" s="2">
        <f t="shared" si="34"/>
        <v>0.3884488858543852</v>
      </c>
      <c r="T206">
        <v>99320</v>
      </c>
      <c r="U206">
        <v>58316</v>
      </c>
      <c r="W206" s="2">
        <f t="shared" si="35"/>
        <v>0.36994087644954199</v>
      </c>
      <c r="Z206">
        <f t="shared" si="30"/>
        <v>309307</v>
      </c>
      <c r="AA206">
        <f t="shared" si="31"/>
        <v>125915</v>
      </c>
      <c r="AC206" s="2">
        <f t="shared" si="36"/>
        <v>0.28931212117034527</v>
      </c>
      <c r="AD206" s="2"/>
      <c r="AE206">
        <f t="shared" si="37"/>
        <v>311952</v>
      </c>
      <c r="AF206">
        <f t="shared" si="38"/>
        <v>113255</v>
      </c>
      <c r="AH206" s="2">
        <f t="shared" si="39"/>
        <v>0.26635262354570832</v>
      </c>
      <c r="AI206" s="2"/>
      <c r="AJ206" s="2"/>
    </row>
    <row r="207" spans="2:36" x14ac:dyDescent="0.25">
      <c r="B207" s="1">
        <v>40834</v>
      </c>
      <c r="C207">
        <v>219391</v>
      </c>
      <c r="D207">
        <v>60870</v>
      </c>
      <c r="F207" s="2">
        <f t="shared" si="32"/>
        <v>0.21719040465851475</v>
      </c>
      <c r="I207">
        <v>224335</v>
      </c>
      <c r="J207">
        <v>52957</v>
      </c>
      <c r="L207" s="2">
        <f t="shared" si="33"/>
        <v>0.19097918439767467</v>
      </c>
      <c r="N207">
        <v>114069</v>
      </c>
      <c r="O207">
        <v>64365</v>
      </c>
      <c r="Q207" s="2">
        <f t="shared" si="34"/>
        <v>0.36072161135209657</v>
      </c>
      <c r="T207">
        <v>115060</v>
      </c>
      <c r="U207">
        <v>60852</v>
      </c>
      <c r="W207" s="2">
        <f t="shared" si="35"/>
        <v>0.34592296148074037</v>
      </c>
      <c r="Z207">
        <f t="shared" si="30"/>
        <v>333460</v>
      </c>
      <c r="AA207">
        <f t="shared" si="31"/>
        <v>125235</v>
      </c>
      <c r="AC207" s="2">
        <f t="shared" si="36"/>
        <v>0.27302455880269022</v>
      </c>
      <c r="AD207" s="2"/>
      <c r="AE207">
        <f t="shared" si="37"/>
        <v>339395</v>
      </c>
      <c r="AF207">
        <f t="shared" si="38"/>
        <v>113809</v>
      </c>
      <c r="AH207" s="2">
        <f t="shared" si="39"/>
        <v>0.25112090802375969</v>
      </c>
      <c r="AI207" s="2"/>
      <c r="AJ207" s="2"/>
    </row>
    <row r="208" spans="2:36" x14ac:dyDescent="0.25">
      <c r="B208" s="1">
        <v>40841</v>
      </c>
      <c r="C208">
        <v>237254</v>
      </c>
      <c r="D208">
        <v>53107</v>
      </c>
      <c r="F208" s="2">
        <f t="shared" si="32"/>
        <v>0.18289990735670425</v>
      </c>
      <c r="I208">
        <v>245037</v>
      </c>
      <c r="J208">
        <v>47757</v>
      </c>
      <c r="L208" s="2">
        <f t="shared" si="33"/>
        <v>0.16310785057070842</v>
      </c>
      <c r="N208">
        <v>114813</v>
      </c>
      <c r="O208">
        <v>70826</v>
      </c>
      <c r="Q208" s="2">
        <f t="shared" si="34"/>
        <v>0.38152543377199832</v>
      </c>
      <c r="T208">
        <v>116123</v>
      </c>
      <c r="U208">
        <v>67715</v>
      </c>
      <c r="W208" s="2">
        <f t="shared" si="35"/>
        <v>0.3683406042276352</v>
      </c>
      <c r="Z208">
        <f t="shared" si="30"/>
        <v>352067</v>
      </c>
      <c r="AA208">
        <f t="shared" si="31"/>
        <v>123933</v>
      </c>
      <c r="AC208" s="2">
        <f t="shared" si="36"/>
        <v>0.26036344537815126</v>
      </c>
      <c r="AD208" s="2"/>
      <c r="AE208">
        <f t="shared" si="37"/>
        <v>361160</v>
      </c>
      <c r="AF208">
        <f t="shared" si="38"/>
        <v>115472</v>
      </c>
      <c r="AH208" s="2">
        <f t="shared" si="39"/>
        <v>0.24226657043589184</v>
      </c>
      <c r="AI208" s="2"/>
      <c r="AJ208" s="2"/>
    </row>
    <row r="209" spans="2:36" x14ac:dyDescent="0.25">
      <c r="B209" s="1">
        <v>40848</v>
      </c>
      <c r="C209">
        <v>229279</v>
      </c>
      <c r="D209">
        <v>49434</v>
      </c>
      <c r="F209" s="2">
        <f t="shared" si="32"/>
        <v>0.17736524668745268</v>
      </c>
      <c r="I209">
        <v>234662</v>
      </c>
      <c r="J209">
        <v>44446</v>
      </c>
      <c r="L209" s="2">
        <f t="shared" si="33"/>
        <v>0.15924301703999885</v>
      </c>
      <c r="N209">
        <v>113635</v>
      </c>
      <c r="O209">
        <v>62423</v>
      </c>
      <c r="Q209" s="2">
        <f t="shared" si="34"/>
        <v>0.35455929296027444</v>
      </c>
      <c r="T209">
        <v>114196</v>
      </c>
      <c r="U209">
        <v>59638</v>
      </c>
      <c r="W209" s="2">
        <f t="shared" si="35"/>
        <v>0.34307442732722021</v>
      </c>
      <c r="Z209">
        <f t="shared" si="30"/>
        <v>342914</v>
      </c>
      <c r="AA209">
        <f t="shared" si="31"/>
        <v>111857</v>
      </c>
      <c r="AC209" s="2">
        <f t="shared" si="36"/>
        <v>0.24596335298424921</v>
      </c>
      <c r="AD209" s="2"/>
      <c r="AE209">
        <f t="shared" si="37"/>
        <v>348858</v>
      </c>
      <c r="AF209">
        <f t="shared" si="38"/>
        <v>104084</v>
      </c>
      <c r="AH209" s="2">
        <f t="shared" si="39"/>
        <v>0.22979542634597808</v>
      </c>
      <c r="AI209" s="2"/>
      <c r="AJ209" s="2"/>
    </row>
    <row r="210" spans="2:36" x14ac:dyDescent="0.25">
      <c r="B210" s="1">
        <v>40855</v>
      </c>
      <c r="C210">
        <v>235730</v>
      </c>
      <c r="D210">
        <v>47549</v>
      </c>
      <c r="F210" s="2">
        <f t="shared" si="32"/>
        <v>0.16785218812548761</v>
      </c>
      <c r="I210">
        <v>246482</v>
      </c>
      <c r="J210">
        <v>42517</v>
      </c>
      <c r="L210" s="2">
        <f t="shared" si="33"/>
        <v>0.14711815611818727</v>
      </c>
      <c r="N210">
        <v>121733</v>
      </c>
      <c r="O210">
        <v>60174</v>
      </c>
      <c r="Q210" s="2">
        <f t="shared" si="34"/>
        <v>0.33079540644395211</v>
      </c>
      <c r="T210">
        <v>121152</v>
      </c>
      <c r="U210">
        <v>57626</v>
      </c>
      <c r="W210" s="2">
        <f t="shared" si="35"/>
        <v>0.32233272550313796</v>
      </c>
      <c r="Z210">
        <f t="shared" si="30"/>
        <v>357463</v>
      </c>
      <c r="AA210">
        <f t="shared" si="31"/>
        <v>107723</v>
      </c>
      <c r="AC210" s="2">
        <f t="shared" si="36"/>
        <v>0.23156973769631933</v>
      </c>
      <c r="AD210" s="2"/>
      <c r="AE210">
        <f t="shared" si="37"/>
        <v>367634</v>
      </c>
      <c r="AF210">
        <f t="shared" si="38"/>
        <v>100143</v>
      </c>
      <c r="AH210" s="2">
        <f t="shared" si="39"/>
        <v>0.21408277875996468</v>
      </c>
      <c r="AI210" s="2"/>
      <c r="AJ210" s="2"/>
    </row>
    <row r="211" spans="2:36" x14ac:dyDescent="0.25">
      <c r="B211" s="1">
        <v>40862</v>
      </c>
      <c r="C211">
        <v>230682</v>
      </c>
      <c r="D211">
        <v>38886</v>
      </c>
      <c r="F211" s="2">
        <f t="shared" si="32"/>
        <v>0.14425302706552706</v>
      </c>
      <c r="I211">
        <v>254573</v>
      </c>
      <c r="J211">
        <v>38498</v>
      </c>
      <c r="L211" s="2">
        <f t="shared" si="33"/>
        <v>0.13136066004483554</v>
      </c>
      <c r="N211">
        <v>123354</v>
      </c>
      <c r="O211">
        <v>61240</v>
      </c>
      <c r="Q211" s="2">
        <f t="shared" si="34"/>
        <v>0.33175509496516681</v>
      </c>
      <c r="T211">
        <v>120661</v>
      </c>
      <c r="U211">
        <v>57782</v>
      </c>
      <c r="W211" s="2">
        <f t="shared" si="35"/>
        <v>0.32381208565200092</v>
      </c>
      <c r="Z211">
        <f t="shared" si="30"/>
        <v>354036</v>
      </c>
      <c r="AA211">
        <f t="shared" si="31"/>
        <v>100126</v>
      </c>
      <c r="AC211" s="2">
        <f t="shared" si="36"/>
        <v>0.22046318274096027</v>
      </c>
      <c r="AD211" s="2"/>
      <c r="AE211">
        <f t="shared" si="37"/>
        <v>375234</v>
      </c>
      <c r="AF211">
        <f t="shared" si="38"/>
        <v>96280</v>
      </c>
      <c r="AH211" s="2">
        <f t="shared" si="39"/>
        <v>0.2041933007291406</v>
      </c>
      <c r="AI211" s="2"/>
      <c r="AJ211" s="2"/>
    </row>
    <row r="212" spans="2:36" x14ac:dyDescent="0.25">
      <c r="B212" s="1">
        <v>40869</v>
      </c>
      <c r="C212">
        <v>210899</v>
      </c>
      <c r="D212">
        <v>44866</v>
      </c>
      <c r="F212" s="2">
        <f t="shared" si="32"/>
        <v>0.17541884151467166</v>
      </c>
      <c r="I212">
        <v>228925</v>
      </c>
      <c r="J212">
        <v>39237</v>
      </c>
      <c r="L212" s="2">
        <f t="shared" si="33"/>
        <v>0.1463182702992967</v>
      </c>
      <c r="N212">
        <v>111670</v>
      </c>
      <c r="O212">
        <v>56031</v>
      </c>
      <c r="Q212" s="2">
        <f t="shared" si="34"/>
        <v>0.33411249783841479</v>
      </c>
      <c r="T212">
        <v>109525</v>
      </c>
      <c r="U212">
        <v>52002</v>
      </c>
      <c r="W212" s="2">
        <f t="shared" si="35"/>
        <v>0.32193998526562123</v>
      </c>
      <c r="Z212">
        <f t="shared" si="30"/>
        <v>322569</v>
      </c>
      <c r="AA212">
        <f t="shared" si="31"/>
        <v>100897</v>
      </c>
      <c r="AC212" s="2">
        <f t="shared" si="36"/>
        <v>0.23826470129833327</v>
      </c>
      <c r="AD212" s="2"/>
      <c r="AE212">
        <f t="shared" si="37"/>
        <v>338450</v>
      </c>
      <c r="AF212">
        <f t="shared" si="38"/>
        <v>91239</v>
      </c>
      <c r="AH212" s="2">
        <f t="shared" si="39"/>
        <v>0.21233729511344251</v>
      </c>
      <c r="AI212" s="2"/>
      <c r="AJ212" s="2"/>
    </row>
    <row r="213" spans="2:36" x14ac:dyDescent="0.25">
      <c r="B213" s="1">
        <v>40876</v>
      </c>
      <c r="C213">
        <v>212820</v>
      </c>
      <c r="D213">
        <v>39425</v>
      </c>
      <c r="F213" s="2">
        <f t="shared" si="32"/>
        <v>0.1562964578088763</v>
      </c>
      <c r="I213">
        <v>229006</v>
      </c>
      <c r="J213">
        <v>34311</v>
      </c>
      <c r="L213" s="2">
        <f t="shared" si="33"/>
        <v>0.13030301879483663</v>
      </c>
      <c r="N213">
        <v>117346</v>
      </c>
      <c r="O213">
        <v>46603</v>
      </c>
      <c r="Q213" s="2">
        <f t="shared" si="34"/>
        <v>0.28425302990564139</v>
      </c>
      <c r="T213">
        <v>114774</v>
      </c>
      <c r="U213">
        <v>42418</v>
      </c>
      <c r="W213" s="2">
        <f t="shared" si="35"/>
        <v>0.2698483383378289</v>
      </c>
      <c r="Z213">
        <f t="shared" si="30"/>
        <v>330166</v>
      </c>
      <c r="AA213">
        <f t="shared" si="31"/>
        <v>86028</v>
      </c>
      <c r="AC213" s="2">
        <f t="shared" si="36"/>
        <v>0.20670168238850151</v>
      </c>
      <c r="AD213" s="2"/>
      <c r="AE213">
        <f t="shared" si="37"/>
        <v>343780</v>
      </c>
      <c r="AF213">
        <f t="shared" si="38"/>
        <v>76729</v>
      </c>
      <c r="AH213" s="2">
        <f t="shared" si="39"/>
        <v>0.18246696265716073</v>
      </c>
      <c r="AI213" s="2"/>
      <c r="AJ213" s="2"/>
    </row>
    <row r="214" spans="2:36" x14ac:dyDescent="0.25">
      <c r="B214" s="1">
        <v>40883</v>
      </c>
      <c r="C214">
        <v>210754</v>
      </c>
      <c r="D214">
        <v>36431</v>
      </c>
      <c r="F214" s="2">
        <f t="shared" si="32"/>
        <v>0.14738353864514434</v>
      </c>
      <c r="I214">
        <v>232015</v>
      </c>
      <c r="J214">
        <v>29280</v>
      </c>
      <c r="L214" s="2">
        <f t="shared" si="33"/>
        <v>0.11205725329608297</v>
      </c>
      <c r="N214">
        <v>123151</v>
      </c>
      <c r="O214">
        <v>37635</v>
      </c>
      <c r="Q214" s="2">
        <f t="shared" si="34"/>
        <v>0.23406888659460401</v>
      </c>
      <c r="T214">
        <v>119873</v>
      </c>
      <c r="U214">
        <v>34286</v>
      </c>
      <c r="W214" s="2">
        <f t="shared" si="35"/>
        <v>0.22240673590254217</v>
      </c>
      <c r="Z214">
        <f t="shared" si="30"/>
        <v>333905</v>
      </c>
      <c r="AA214">
        <f t="shared" si="31"/>
        <v>74066</v>
      </c>
      <c r="AC214" s="2">
        <f t="shared" si="36"/>
        <v>0.18154721781695268</v>
      </c>
      <c r="AD214" s="2"/>
      <c r="AE214">
        <f t="shared" si="37"/>
        <v>351888</v>
      </c>
      <c r="AF214">
        <f t="shared" si="38"/>
        <v>63566</v>
      </c>
      <c r="AH214" s="2">
        <f t="shared" si="39"/>
        <v>0.15300370197422578</v>
      </c>
      <c r="AI214" s="2"/>
      <c r="AJ214" s="2"/>
    </row>
    <row r="215" spans="2:36" x14ac:dyDescent="0.25">
      <c r="B215" s="1">
        <v>40890</v>
      </c>
      <c r="C215">
        <v>219394</v>
      </c>
      <c r="D215">
        <v>45013</v>
      </c>
      <c r="F215" s="2">
        <f t="shared" si="32"/>
        <v>0.17024133249119727</v>
      </c>
      <c r="I215">
        <v>235993</v>
      </c>
      <c r="J215">
        <v>35007</v>
      </c>
      <c r="L215" s="2">
        <f t="shared" si="33"/>
        <v>0.12917712177121771</v>
      </c>
      <c r="N215">
        <v>124576</v>
      </c>
      <c r="O215">
        <v>45644</v>
      </c>
      <c r="Q215" s="2">
        <f t="shared" si="34"/>
        <v>0.2681471037480907</v>
      </c>
      <c r="T215">
        <v>121319</v>
      </c>
      <c r="U215">
        <v>41386</v>
      </c>
      <c r="W215" s="2">
        <f t="shared" si="35"/>
        <v>0.25436218923819182</v>
      </c>
      <c r="Z215">
        <f t="shared" si="30"/>
        <v>343970</v>
      </c>
      <c r="AA215">
        <f t="shared" si="31"/>
        <v>90657</v>
      </c>
      <c r="AC215" s="2">
        <f t="shared" si="36"/>
        <v>0.20858575284094177</v>
      </c>
      <c r="AD215" s="2"/>
      <c r="AE215">
        <f t="shared" si="37"/>
        <v>357312</v>
      </c>
      <c r="AF215">
        <f t="shared" si="38"/>
        <v>76393</v>
      </c>
      <c r="AH215" s="2">
        <f t="shared" si="39"/>
        <v>0.17614046414037191</v>
      </c>
      <c r="AI215" s="2"/>
      <c r="AJ215" s="2"/>
    </row>
    <row r="216" spans="2:36" x14ac:dyDescent="0.25">
      <c r="B216" s="1">
        <v>40897</v>
      </c>
      <c r="C216">
        <v>197370</v>
      </c>
      <c r="D216">
        <v>46066</v>
      </c>
      <c r="F216" s="2">
        <f t="shared" si="32"/>
        <v>0.18923248821045366</v>
      </c>
      <c r="I216">
        <v>217798</v>
      </c>
      <c r="J216">
        <v>38917</v>
      </c>
      <c r="L216" s="2">
        <f t="shared" si="33"/>
        <v>0.15159612800186978</v>
      </c>
      <c r="N216">
        <v>113315</v>
      </c>
      <c r="O216">
        <v>47921</v>
      </c>
      <c r="Q216" s="2">
        <f t="shared" si="34"/>
        <v>0.29721030042918456</v>
      </c>
      <c r="T216">
        <v>111257</v>
      </c>
      <c r="U216">
        <v>42445</v>
      </c>
      <c r="W216" s="2">
        <f t="shared" si="35"/>
        <v>0.27615125372474009</v>
      </c>
      <c r="Z216">
        <f t="shared" si="30"/>
        <v>310685</v>
      </c>
      <c r="AA216">
        <f t="shared" si="31"/>
        <v>93987</v>
      </c>
      <c r="AC216" s="2">
        <f t="shared" si="36"/>
        <v>0.23225476435236439</v>
      </c>
      <c r="AD216" s="2"/>
      <c r="AE216">
        <f t="shared" si="37"/>
        <v>329055</v>
      </c>
      <c r="AF216">
        <f t="shared" si="38"/>
        <v>81362</v>
      </c>
      <c r="AH216" s="2">
        <f t="shared" si="39"/>
        <v>0.1982422755392686</v>
      </c>
      <c r="AI216" s="2"/>
      <c r="AJ216" s="2"/>
    </row>
    <row r="217" spans="2:36" x14ac:dyDescent="0.25">
      <c r="B217" s="1">
        <v>40904</v>
      </c>
      <c r="C217">
        <v>210113</v>
      </c>
      <c r="D217">
        <v>44608</v>
      </c>
      <c r="F217" s="2">
        <f t="shared" si="32"/>
        <v>0.17512494062130723</v>
      </c>
      <c r="I217">
        <v>231779</v>
      </c>
      <c r="J217">
        <v>39313</v>
      </c>
      <c r="L217" s="2">
        <f t="shared" si="33"/>
        <v>0.14501718973632569</v>
      </c>
      <c r="N217">
        <v>124288</v>
      </c>
      <c r="O217">
        <v>45516</v>
      </c>
      <c r="Q217" s="2">
        <f t="shared" si="34"/>
        <v>0.26805022260959693</v>
      </c>
      <c r="T217">
        <v>121805</v>
      </c>
      <c r="U217">
        <v>40268</v>
      </c>
      <c r="W217" s="2">
        <f t="shared" si="35"/>
        <v>0.24845594269249041</v>
      </c>
      <c r="Z217">
        <f t="shared" si="30"/>
        <v>334401</v>
      </c>
      <c r="AA217">
        <f t="shared" si="31"/>
        <v>90124</v>
      </c>
      <c r="AC217" s="2">
        <f t="shared" si="36"/>
        <v>0.21229374006242271</v>
      </c>
      <c r="AD217" s="2"/>
      <c r="AE217">
        <f t="shared" si="37"/>
        <v>353584</v>
      </c>
      <c r="AF217">
        <f t="shared" si="38"/>
        <v>79581</v>
      </c>
      <c r="AH217" s="2">
        <f t="shared" si="39"/>
        <v>0.18371982962612399</v>
      </c>
      <c r="AI217" s="2"/>
      <c r="AJ217" s="2"/>
    </row>
    <row r="218" spans="2:36" x14ac:dyDescent="0.25">
      <c r="B218" s="1">
        <v>40911</v>
      </c>
      <c r="C218">
        <v>216478</v>
      </c>
      <c r="D218">
        <v>46447</v>
      </c>
      <c r="F218" s="2">
        <f t="shared" si="32"/>
        <v>0.17665493962156509</v>
      </c>
      <c r="I218">
        <v>239048</v>
      </c>
      <c r="J218">
        <v>38741</v>
      </c>
      <c r="L218" s="2">
        <f t="shared" si="33"/>
        <v>0.13946196573658423</v>
      </c>
      <c r="N218">
        <v>138452</v>
      </c>
      <c r="O218">
        <v>44137</v>
      </c>
      <c r="Q218" s="2">
        <f t="shared" si="34"/>
        <v>0.24172869121359994</v>
      </c>
      <c r="T218">
        <v>136873</v>
      </c>
      <c r="U218">
        <v>40414</v>
      </c>
      <c r="W218" s="2">
        <f t="shared" si="35"/>
        <v>0.22795805671030589</v>
      </c>
      <c r="Z218">
        <f t="shared" si="30"/>
        <v>354930</v>
      </c>
      <c r="AA218">
        <f t="shared" si="31"/>
        <v>90584</v>
      </c>
      <c r="AC218" s="2">
        <f t="shared" si="36"/>
        <v>0.20332469911158796</v>
      </c>
      <c r="AD218" s="2"/>
      <c r="AE218">
        <f t="shared" si="37"/>
        <v>375921</v>
      </c>
      <c r="AF218">
        <f t="shared" si="38"/>
        <v>79155</v>
      </c>
      <c r="AH218" s="2">
        <f t="shared" si="39"/>
        <v>0.17393797959022228</v>
      </c>
      <c r="AI218" s="2"/>
      <c r="AJ218" s="2"/>
    </row>
    <row r="219" spans="2:36" x14ac:dyDescent="0.25">
      <c r="B219" s="1">
        <v>40918</v>
      </c>
      <c r="C219">
        <v>213674</v>
      </c>
      <c r="D219">
        <v>39589</v>
      </c>
      <c r="F219" s="2">
        <f t="shared" si="32"/>
        <v>0.15631576661415209</v>
      </c>
      <c r="I219">
        <v>234261</v>
      </c>
      <c r="J219">
        <v>32589</v>
      </c>
      <c r="L219" s="2">
        <f t="shared" si="33"/>
        <v>0.1221247892074199</v>
      </c>
      <c r="N219">
        <v>144863</v>
      </c>
      <c r="O219">
        <v>54312</v>
      </c>
      <c r="Q219" s="2">
        <f t="shared" si="34"/>
        <v>0.27268482490272372</v>
      </c>
      <c r="T219">
        <v>143391</v>
      </c>
      <c r="U219">
        <v>50408</v>
      </c>
      <c r="W219" s="2">
        <f t="shared" si="35"/>
        <v>0.26010454130310268</v>
      </c>
      <c r="Z219">
        <f t="shared" si="30"/>
        <v>358537</v>
      </c>
      <c r="AA219">
        <f t="shared" si="31"/>
        <v>93901</v>
      </c>
      <c r="AC219" s="2">
        <f t="shared" si="36"/>
        <v>0.20754445913031178</v>
      </c>
      <c r="AD219" s="2"/>
      <c r="AE219">
        <f t="shared" si="37"/>
        <v>377652</v>
      </c>
      <c r="AF219">
        <f t="shared" si="38"/>
        <v>82997</v>
      </c>
      <c r="AH219" s="2">
        <f t="shared" si="39"/>
        <v>0.18017405877359985</v>
      </c>
      <c r="AI219" s="2"/>
      <c r="AJ219" s="2"/>
    </row>
    <row r="220" spans="2:36" x14ac:dyDescent="0.25">
      <c r="B220" s="1">
        <v>40925</v>
      </c>
      <c r="C220">
        <v>204567</v>
      </c>
      <c r="D220">
        <v>40397</v>
      </c>
      <c r="F220" s="2">
        <f t="shared" si="32"/>
        <v>0.16490994595124181</v>
      </c>
      <c r="I220">
        <v>225076</v>
      </c>
      <c r="J220">
        <v>31111</v>
      </c>
      <c r="L220" s="2">
        <f t="shared" si="33"/>
        <v>0.12143863662090583</v>
      </c>
      <c r="N220">
        <v>142246</v>
      </c>
      <c r="O220">
        <v>59169</v>
      </c>
      <c r="Q220" s="2">
        <f t="shared" si="34"/>
        <v>0.29376660129583199</v>
      </c>
      <c r="T220">
        <v>139888</v>
      </c>
      <c r="U220">
        <v>54040</v>
      </c>
      <c r="W220" s="2">
        <f t="shared" si="35"/>
        <v>0.27866012128212531</v>
      </c>
      <c r="Z220">
        <f t="shared" si="30"/>
        <v>346813</v>
      </c>
      <c r="AA220">
        <f t="shared" si="31"/>
        <v>99566</v>
      </c>
      <c r="AC220" s="2">
        <f t="shared" si="36"/>
        <v>0.22305260776156585</v>
      </c>
      <c r="AD220" s="2"/>
      <c r="AE220">
        <f t="shared" si="37"/>
        <v>364964</v>
      </c>
      <c r="AF220">
        <f t="shared" si="38"/>
        <v>85151</v>
      </c>
      <c r="AH220" s="2">
        <f t="shared" si="39"/>
        <v>0.18917609944125391</v>
      </c>
      <c r="AI220" s="2"/>
      <c r="AJ220" s="2"/>
    </row>
    <row r="221" spans="2:36" x14ac:dyDescent="0.25">
      <c r="B221" s="1">
        <v>40932</v>
      </c>
      <c r="C221">
        <v>211106</v>
      </c>
      <c r="D221">
        <v>35729</v>
      </c>
      <c r="F221" s="2">
        <f t="shared" si="32"/>
        <v>0.14474851621528551</v>
      </c>
      <c r="I221">
        <v>231325</v>
      </c>
      <c r="J221">
        <v>27281</v>
      </c>
      <c r="L221" s="2">
        <f t="shared" si="33"/>
        <v>0.10549252530877087</v>
      </c>
      <c r="N221">
        <v>145227</v>
      </c>
      <c r="O221">
        <v>62362</v>
      </c>
      <c r="Q221" s="2">
        <f t="shared" si="34"/>
        <v>0.30041090809243265</v>
      </c>
      <c r="T221">
        <v>142649</v>
      </c>
      <c r="U221">
        <v>56397</v>
      </c>
      <c r="W221" s="2">
        <f t="shared" si="35"/>
        <v>0.28333651517739616</v>
      </c>
      <c r="Z221">
        <f t="shared" si="30"/>
        <v>356333</v>
      </c>
      <c r="AA221">
        <f t="shared" si="31"/>
        <v>98091</v>
      </c>
      <c r="AC221" s="2">
        <f t="shared" si="36"/>
        <v>0.21585787722479446</v>
      </c>
      <c r="AD221" s="2"/>
      <c r="AE221">
        <f t="shared" si="37"/>
        <v>373974</v>
      </c>
      <c r="AF221">
        <f t="shared" si="38"/>
        <v>83678</v>
      </c>
      <c r="AH221" s="2">
        <f t="shared" si="39"/>
        <v>0.18284198473949639</v>
      </c>
      <c r="AI221" s="2"/>
      <c r="AJ221" s="2"/>
    </row>
    <row r="222" spans="2:36" x14ac:dyDescent="0.25">
      <c r="B222" s="1">
        <v>40939</v>
      </c>
      <c r="C222">
        <v>212097</v>
      </c>
      <c r="D222">
        <v>39176</v>
      </c>
      <c r="F222" s="2">
        <f t="shared" si="32"/>
        <v>0.15591010574156397</v>
      </c>
      <c r="I222">
        <v>230148</v>
      </c>
      <c r="J222">
        <v>28879</v>
      </c>
      <c r="L222" s="2">
        <f t="shared" si="33"/>
        <v>0.11149030796017403</v>
      </c>
      <c r="N222">
        <v>141629</v>
      </c>
      <c r="O222">
        <v>57212</v>
      </c>
      <c r="Q222" s="2">
        <f t="shared" si="34"/>
        <v>0.28772738016807398</v>
      </c>
      <c r="T222">
        <v>137769</v>
      </c>
      <c r="U222">
        <v>51346</v>
      </c>
      <c r="W222" s="2">
        <f t="shared" si="35"/>
        <v>0.27150675514898343</v>
      </c>
      <c r="Z222">
        <f t="shared" si="30"/>
        <v>353726</v>
      </c>
      <c r="AA222">
        <f t="shared" si="31"/>
        <v>96388</v>
      </c>
      <c r="AC222" s="2">
        <f t="shared" si="36"/>
        <v>0.21414130642459467</v>
      </c>
      <c r="AD222" s="2"/>
      <c r="AE222">
        <f t="shared" si="37"/>
        <v>367917</v>
      </c>
      <c r="AF222">
        <f t="shared" si="38"/>
        <v>80225</v>
      </c>
      <c r="AH222" s="2">
        <f t="shared" si="39"/>
        <v>0.17901691874450509</v>
      </c>
      <c r="AI222" s="2"/>
      <c r="AJ222" s="2"/>
    </row>
    <row r="223" spans="2:36" x14ac:dyDescent="0.25">
      <c r="B223" s="1">
        <v>40946</v>
      </c>
      <c r="C223">
        <v>211129</v>
      </c>
      <c r="D223">
        <v>37660</v>
      </c>
      <c r="F223" s="2">
        <f t="shared" si="32"/>
        <v>0.1513732520328471</v>
      </c>
      <c r="I223">
        <v>232568</v>
      </c>
      <c r="J223">
        <v>26859</v>
      </c>
      <c r="L223" s="2">
        <f t="shared" si="33"/>
        <v>0.10353201478643317</v>
      </c>
      <c r="N223">
        <v>138071</v>
      </c>
      <c r="O223">
        <v>49365</v>
      </c>
      <c r="Q223" s="2">
        <f t="shared" si="34"/>
        <v>0.26336989692481699</v>
      </c>
      <c r="T223">
        <v>136693</v>
      </c>
      <c r="U223">
        <v>46298</v>
      </c>
      <c r="W223" s="2">
        <f t="shared" si="35"/>
        <v>0.2530069784852807</v>
      </c>
      <c r="Z223">
        <f t="shared" si="30"/>
        <v>349200</v>
      </c>
      <c r="AA223">
        <f t="shared" si="31"/>
        <v>87025</v>
      </c>
      <c r="AC223" s="2">
        <f t="shared" si="36"/>
        <v>0.19949567310447591</v>
      </c>
      <c r="AD223" s="2"/>
      <c r="AE223">
        <f t="shared" si="37"/>
        <v>369261</v>
      </c>
      <c r="AF223">
        <f t="shared" si="38"/>
        <v>73157</v>
      </c>
      <c r="AH223" s="2">
        <f t="shared" si="39"/>
        <v>0.16535719613578109</v>
      </c>
      <c r="AI223" s="2"/>
      <c r="AJ223" s="2"/>
    </row>
    <row r="224" spans="2:36" x14ac:dyDescent="0.25">
      <c r="B224" s="1">
        <v>40953</v>
      </c>
      <c r="C224">
        <v>236010</v>
      </c>
      <c r="D224">
        <v>33788</v>
      </c>
      <c r="F224" s="2">
        <f t="shared" si="32"/>
        <v>0.12523443465110934</v>
      </c>
      <c r="I224">
        <v>254964</v>
      </c>
      <c r="J224">
        <v>21075</v>
      </c>
      <c r="L224" s="2">
        <f t="shared" si="33"/>
        <v>7.6347907360916387E-2</v>
      </c>
      <c r="N224">
        <v>145160</v>
      </c>
      <c r="O224">
        <v>48457</v>
      </c>
      <c r="Q224" s="2">
        <f t="shared" si="34"/>
        <v>0.25027244508488405</v>
      </c>
      <c r="T224">
        <v>143880</v>
      </c>
      <c r="U224">
        <v>46667</v>
      </c>
      <c r="W224" s="2">
        <f t="shared" si="35"/>
        <v>0.24491070444562235</v>
      </c>
      <c r="Z224">
        <f t="shared" si="30"/>
        <v>381170</v>
      </c>
      <c r="AA224">
        <f t="shared" si="31"/>
        <v>82245</v>
      </c>
      <c r="AC224" s="2">
        <f t="shared" si="36"/>
        <v>0.17747591251901643</v>
      </c>
      <c r="AD224" s="2"/>
      <c r="AE224">
        <f t="shared" si="37"/>
        <v>398844</v>
      </c>
      <c r="AF224">
        <f t="shared" si="38"/>
        <v>67742</v>
      </c>
      <c r="AH224" s="2">
        <f t="shared" si="39"/>
        <v>0.1451865250993386</v>
      </c>
      <c r="AI224" s="2"/>
      <c r="AJ224" s="2"/>
    </row>
    <row r="225" spans="2:36" x14ac:dyDescent="0.25">
      <c r="B225" s="1">
        <v>40960</v>
      </c>
      <c r="C225">
        <v>247891</v>
      </c>
      <c r="D225">
        <v>32089</v>
      </c>
      <c r="F225" s="2">
        <f t="shared" si="32"/>
        <v>0.11461175798271304</v>
      </c>
      <c r="I225">
        <v>275568</v>
      </c>
      <c r="J225">
        <v>16406</v>
      </c>
      <c r="L225" s="2">
        <f t="shared" si="33"/>
        <v>5.6189934720214815E-2</v>
      </c>
      <c r="N225">
        <v>150892</v>
      </c>
      <c r="O225">
        <v>43914</v>
      </c>
      <c r="Q225" s="2">
        <f t="shared" si="34"/>
        <v>0.22542426824635792</v>
      </c>
      <c r="T225">
        <v>151314</v>
      </c>
      <c r="U225">
        <v>43419</v>
      </c>
      <c r="W225" s="2">
        <f t="shared" si="35"/>
        <v>0.22296683150775679</v>
      </c>
      <c r="Z225">
        <f t="shared" si="30"/>
        <v>398783</v>
      </c>
      <c r="AA225">
        <f t="shared" si="31"/>
        <v>76003</v>
      </c>
      <c r="AC225" s="2">
        <f t="shared" si="36"/>
        <v>0.16007843533718349</v>
      </c>
      <c r="AD225" s="2"/>
      <c r="AE225">
        <f t="shared" si="37"/>
        <v>426882</v>
      </c>
      <c r="AF225">
        <f t="shared" si="38"/>
        <v>59825</v>
      </c>
      <c r="AH225" s="2">
        <f t="shared" si="39"/>
        <v>0.12291789516074353</v>
      </c>
      <c r="AI225" s="2"/>
      <c r="AJ225" s="2"/>
    </row>
    <row r="226" spans="2:36" x14ac:dyDescent="0.25">
      <c r="B226" s="1">
        <v>40967</v>
      </c>
      <c r="C226">
        <v>261729</v>
      </c>
      <c r="D226">
        <v>33337</v>
      </c>
      <c r="F226" s="2">
        <f t="shared" si="32"/>
        <v>0.11298150244352111</v>
      </c>
      <c r="I226">
        <v>284800</v>
      </c>
      <c r="J226">
        <v>12768</v>
      </c>
      <c r="L226" s="2">
        <f t="shared" si="33"/>
        <v>4.2907839552640069E-2</v>
      </c>
      <c r="N226">
        <v>164648</v>
      </c>
      <c r="O226">
        <v>42360</v>
      </c>
      <c r="Q226" s="2">
        <f t="shared" si="34"/>
        <v>0.20462977276240532</v>
      </c>
      <c r="T226">
        <v>164578</v>
      </c>
      <c r="U226">
        <v>37776</v>
      </c>
      <c r="W226" s="2">
        <f t="shared" si="35"/>
        <v>0.1866827441019204</v>
      </c>
      <c r="Z226">
        <f t="shared" si="30"/>
        <v>426377</v>
      </c>
      <c r="AA226">
        <f t="shared" si="31"/>
        <v>75697</v>
      </c>
      <c r="AC226" s="2">
        <f t="shared" si="36"/>
        <v>0.15076861179826082</v>
      </c>
      <c r="AD226" s="2"/>
      <c r="AE226">
        <f t="shared" si="37"/>
        <v>449378</v>
      </c>
      <c r="AF226">
        <f t="shared" si="38"/>
        <v>50544</v>
      </c>
      <c r="AH226" s="2">
        <f t="shared" si="39"/>
        <v>0.10110377218846139</v>
      </c>
      <c r="AI226" s="2"/>
      <c r="AJ226" s="2"/>
    </row>
    <row r="227" spans="2:36" x14ac:dyDescent="0.25">
      <c r="B227" s="1">
        <v>40974</v>
      </c>
      <c r="C227">
        <v>255274</v>
      </c>
      <c r="D227">
        <v>45739</v>
      </c>
      <c r="F227" s="2">
        <f t="shared" si="32"/>
        <v>0.15195024799593373</v>
      </c>
      <c r="I227">
        <v>276600</v>
      </c>
      <c r="J227">
        <v>24382</v>
      </c>
      <c r="L227" s="2">
        <f t="shared" si="33"/>
        <v>8.1008166601324996E-2</v>
      </c>
      <c r="N227">
        <v>173319</v>
      </c>
      <c r="O227">
        <v>45225</v>
      </c>
      <c r="Q227" s="2">
        <f t="shared" si="34"/>
        <v>0.20693773336261806</v>
      </c>
      <c r="T227">
        <v>173840</v>
      </c>
      <c r="U227">
        <v>41470</v>
      </c>
      <c r="W227" s="2">
        <f t="shared" si="35"/>
        <v>0.1926060099391575</v>
      </c>
      <c r="Z227">
        <f t="shared" si="30"/>
        <v>428593</v>
      </c>
      <c r="AA227">
        <f t="shared" si="31"/>
        <v>90964</v>
      </c>
      <c r="AC227" s="2">
        <f t="shared" si="36"/>
        <v>0.17507992385820997</v>
      </c>
      <c r="AD227" s="2"/>
      <c r="AE227">
        <f t="shared" si="37"/>
        <v>450440</v>
      </c>
      <c r="AF227">
        <f t="shared" si="38"/>
        <v>65852</v>
      </c>
      <c r="AH227" s="2">
        <f t="shared" si="39"/>
        <v>0.12754797672634866</v>
      </c>
      <c r="AI227" s="2"/>
      <c r="AJ227" s="2"/>
    </row>
    <row r="228" spans="2:36" x14ac:dyDescent="0.25">
      <c r="B228" s="1">
        <v>40981</v>
      </c>
      <c r="C228">
        <v>263258</v>
      </c>
      <c r="D228">
        <v>51326</v>
      </c>
      <c r="F228" s="2">
        <f t="shared" si="32"/>
        <v>0.16315515092948146</v>
      </c>
      <c r="I228">
        <v>286494</v>
      </c>
      <c r="J228">
        <v>28088</v>
      </c>
      <c r="L228" s="2">
        <f t="shared" si="33"/>
        <v>8.9286736049742202E-2</v>
      </c>
      <c r="N228">
        <v>178105</v>
      </c>
      <c r="O228">
        <v>45153</v>
      </c>
      <c r="Q228" s="2">
        <f t="shared" si="34"/>
        <v>0.2022458321762266</v>
      </c>
      <c r="T228">
        <v>182359</v>
      </c>
      <c r="U228">
        <v>42160</v>
      </c>
      <c r="W228" s="2">
        <f t="shared" si="35"/>
        <v>0.18777920799575981</v>
      </c>
      <c r="Z228">
        <f t="shared" si="30"/>
        <v>441363</v>
      </c>
      <c r="AA228">
        <f t="shared" si="31"/>
        <v>96479</v>
      </c>
      <c r="AC228" s="2">
        <f t="shared" si="36"/>
        <v>0.17938167714682007</v>
      </c>
      <c r="AD228" s="2"/>
      <c r="AE228">
        <f t="shared" si="37"/>
        <v>468853</v>
      </c>
      <c r="AF228">
        <f t="shared" si="38"/>
        <v>70248</v>
      </c>
      <c r="AH228" s="2">
        <f t="shared" si="39"/>
        <v>0.13030582395506593</v>
      </c>
      <c r="AI228" s="2"/>
      <c r="AJ228" s="2"/>
    </row>
    <row r="229" spans="2:36" x14ac:dyDescent="0.25">
      <c r="B229" s="1">
        <v>40988</v>
      </c>
      <c r="C229">
        <v>251223</v>
      </c>
      <c r="D229">
        <v>47532</v>
      </c>
      <c r="F229" s="2">
        <f t="shared" si="32"/>
        <v>0.15910026610433298</v>
      </c>
      <c r="I229">
        <v>273731</v>
      </c>
      <c r="J229">
        <v>25904</v>
      </c>
      <c r="L229" s="2">
        <f t="shared" si="33"/>
        <v>8.6451849750529816E-2</v>
      </c>
      <c r="N229">
        <v>179217</v>
      </c>
      <c r="O229">
        <v>47340</v>
      </c>
      <c r="Q229" s="2">
        <f t="shared" si="34"/>
        <v>0.208954038056648</v>
      </c>
      <c r="T229">
        <v>182809</v>
      </c>
      <c r="U229">
        <v>43231</v>
      </c>
      <c r="W229" s="2">
        <f t="shared" si="35"/>
        <v>0.19125376039639003</v>
      </c>
      <c r="Z229">
        <f t="shared" si="30"/>
        <v>430440</v>
      </c>
      <c r="AA229">
        <f t="shared" si="31"/>
        <v>94872</v>
      </c>
      <c r="AC229" s="2">
        <f t="shared" si="36"/>
        <v>0.18060124269005848</v>
      </c>
      <c r="AD229" s="2"/>
      <c r="AE229">
        <f t="shared" si="37"/>
        <v>456540</v>
      </c>
      <c r="AF229">
        <f t="shared" si="38"/>
        <v>69135</v>
      </c>
      <c r="AH229" s="2">
        <f t="shared" si="39"/>
        <v>0.13151662148666002</v>
      </c>
      <c r="AI229" s="2"/>
      <c r="AJ229" s="2"/>
    </row>
    <row r="230" spans="2:36" x14ac:dyDescent="0.25">
      <c r="B230" s="1">
        <v>40995</v>
      </c>
      <c r="C230">
        <v>243905</v>
      </c>
      <c r="D230">
        <v>46509</v>
      </c>
      <c r="F230" s="2">
        <f t="shared" si="32"/>
        <v>0.16014723808080877</v>
      </c>
      <c r="I230">
        <v>265914</v>
      </c>
      <c r="J230">
        <v>24547</v>
      </c>
      <c r="L230" s="2">
        <f t="shared" si="33"/>
        <v>8.451048505651361E-2</v>
      </c>
      <c r="N230">
        <v>181018</v>
      </c>
      <c r="O230">
        <v>42653</v>
      </c>
      <c r="Q230" s="2">
        <f t="shared" si="34"/>
        <v>0.19069526223784039</v>
      </c>
      <c r="T230">
        <v>191655</v>
      </c>
      <c r="U230">
        <v>40772</v>
      </c>
      <c r="W230" s="2">
        <f t="shared" si="35"/>
        <v>0.17541851850258361</v>
      </c>
      <c r="Z230">
        <f t="shared" si="30"/>
        <v>424923</v>
      </c>
      <c r="AA230">
        <f t="shared" si="31"/>
        <v>89162</v>
      </c>
      <c r="AC230" s="2">
        <f t="shared" si="36"/>
        <v>0.17343824464825855</v>
      </c>
      <c r="AD230" s="2"/>
      <c r="AE230">
        <f t="shared" si="37"/>
        <v>457569</v>
      </c>
      <c r="AF230">
        <f t="shared" si="38"/>
        <v>65319</v>
      </c>
      <c r="AH230" s="2">
        <f t="shared" si="39"/>
        <v>0.1249196768715289</v>
      </c>
      <c r="AI230" s="2"/>
      <c r="AJ230" s="2"/>
    </row>
    <row r="231" spans="2:36" x14ac:dyDescent="0.25">
      <c r="B231" s="1">
        <v>41002</v>
      </c>
      <c r="C231">
        <v>227856</v>
      </c>
      <c r="D231">
        <v>48355</v>
      </c>
      <c r="F231" s="2">
        <f t="shared" si="32"/>
        <v>0.17506543910271496</v>
      </c>
      <c r="I231">
        <v>244503</v>
      </c>
      <c r="J231">
        <v>27816</v>
      </c>
      <c r="L231" s="2">
        <f t="shared" si="33"/>
        <v>0.1021449109316647</v>
      </c>
      <c r="N231">
        <v>177613</v>
      </c>
      <c r="O231">
        <v>52537</v>
      </c>
      <c r="Q231" s="2">
        <f t="shared" si="34"/>
        <v>0.22827286552248532</v>
      </c>
      <c r="T231">
        <v>186740</v>
      </c>
      <c r="U231">
        <v>47666</v>
      </c>
      <c r="W231" s="2">
        <f t="shared" si="35"/>
        <v>0.20334803716628413</v>
      </c>
      <c r="Z231">
        <f t="shared" si="30"/>
        <v>405469</v>
      </c>
      <c r="AA231">
        <f t="shared" si="31"/>
        <v>100892</v>
      </c>
      <c r="AC231" s="2">
        <f t="shared" si="36"/>
        <v>0.19924915228463488</v>
      </c>
      <c r="AD231" s="2"/>
      <c r="AE231">
        <f t="shared" si="37"/>
        <v>431243</v>
      </c>
      <c r="AF231">
        <f t="shared" si="38"/>
        <v>75482</v>
      </c>
      <c r="AH231" s="2">
        <f t="shared" si="39"/>
        <v>0.1489604815235088</v>
      </c>
      <c r="AI231" s="2"/>
      <c r="AJ231" s="2"/>
    </row>
    <row r="232" spans="2:36" x14ac:dyDescent="0.25">
      <c r="B232" s="1">
        <v>41009</v>
      </c>
      <c r="C232">
        <v>214984</v>
      </c>
      <c r="D232">
        <v>56018</v>
      </c>
      <c r="F232" s="2">
        <f t="shared" si="32"/>
        <v>0.20670696157223931</v>
      </c>
      <c r="I232">
        <v>227969</v>
      </c>
      <c r="J232">
        <v>36142</v>
      </c>
      <c r="L232" s="2">
        <f t="shared" si="33"/>
        <v>0.13684397847874569</v>
      </c>
      <c r="N232">
        <v>168090</v>
      </c>
      <c r="O232">
        <v>58616</v>
      </c>
      <c r="Q232" s="2">
        <f t="shared" si="34"/>
        <v>0.2585551330798479</v>
      </c>
      <c r="T232">
        <v>173285</v>
      </c>
      <c r="U232">
        <v>50946</v>
      </c>
      <c r="W232" s="2">
        <f t="shared" si="35"/>
        <v>0.22720319670339961</v>
      </c>
      <c r="Z232">
        <f t="shared" si="30"/>
        <v>383074</v>
      </c>
      <c r="AA232">
        <f t="shared" si="31"/>
        <v>114634</v>
      </c>
      <c r="AC232" s="2">
        <f t="shared" si="36"/>
        <v>0.23032380431899829</v>
      </c>
      <c r="AD232" s="2"/>
      <c r="AE232">
        <f t="shared" si="37"/>
        <v>401254</v>
      </c>
      <c r="AF232">
        <f t="shared" si="38"/>
        <v>87088</v>
      </c>
      <c r="AH232" s="2">
        <f t="shared" si="39"/>
        <v>0.17833403639252818</v>
      </c>
      <c r="AI232" s="2"/>
      <c r="AJ232" s="2"/>
    </row>
    <row r="233" spans="2:36" x14ac:dyDescent="0.25">
      <c r="B233" s="1">
        <v>41016</v>
      </c>
      <c r="C233">
        <v>206073</v>
      </c>
      <c r="D233">
        <v>44749</v>
      </c>
      <c r="F233" s="2">
        <f t="shared" si="32"/>
        <v>0.17840938992592356</v>
      </c>
      <c r="I233">
        <v>224120</v>
      </c>
      <c r="J233">
        <v>24816</v>
      </c>
      <c r="L233" s="2">
        <f t="shared" si="33"/>
        <v>9.9688273291127033E-2</v>
      </c>
      <c r="N233">
        <v>164223</v>
      </c>
      <c r="O233">
        <v>56125</v>
      </c>
      <c r="Q233" s="2">
        <f t="shared" si="34"/>
        <v>0.25471073029934466</v>
      </c>
      <c r="T233">
        <v>170183</v>
      </c>
      <c r="U233">
        <v>47299</v>
      </c>
      <c r="W233" s="2">
        <f t="shared" si="35"/>
        <v>0.21748466539759612</v>
      </c>
      <c r="Z233">
        <f t="shared" si="30"/>
        <v>370296</v>
      </c>
      <c r="AA233">
        <f t="shared" si="31"/>
        <v>100874</v>
      </c>
      <c r="AC233" s="2">
        <f t="shared" si="36"/>
        <v>0.2140925780503852</v>
      </c>
      <c r="AD233" s="2"/>
      <c r="AE233">
        <f t="shared" si="37"/>
        <v>394303</v>
      </c>
      <c r="AF233">
        <f t="shared" si="38"/>
        <v>72115</v>
      </c>
      <c r="AH233" s="2">
        <f t="shared" si="39"/>
        <v>0.15461453031401018</v>
      </c>
      <c r="AI233" s="2"/>
      <c r="AJ233" s="2"/>
    </row>
    <row r="234" spans="2:36" x14ac:dyDescent="0.25">
      <c r="B234" s="1">
        <v>41023</v>
      </c>
      <c r="C234">
        <v>204591</v>
      </c>
      <c r="D234">
        <v>40069</v>
      </c>
      <c r="F234" s="2">
        <f t="shared" si="32"/>
        <v>0.16377421728112482</v>
      </c>
      <c r="I234">
        <v>218838</v>
      </c>
      <c r="J234">
        <v>22412</v>
      </c>
      <c r="L234" s="2">
        <f t="shared" si="33"/>
        <v>9.2899481865284975E-2</v>
      </c>
      <c r="N234">
        <v>164091</v>
      </c>
      <c r="O234">
        <v>61700</v>
      </c>
      <c r="Q234" s="2">
        <f t="shared" si="34"/>
        <v>0.27326155604076335</v>
      </c>
      <c r="T234">
        <v>170084</v>
      </c>
      <c r="U234">
        <v>56168</v>
      </c>
      <c r="W234" s="2">
        <f t="shared" si="35"/>
        <v>0.24825415907925677</v>
      </c>
      <c r="Z234">
        <f t="shared" si="30"/>
        <v>368682</v>
      </c>
      <c r="AA234">
        <f t="shared" si="31"/>
        <v>101769</v>
      </c>
      <c r="AC234" s="2">
        <f t="shared" si="36"/>
        <v>0.2163222099644809</v>
      </c>
      <c r="AD234" s="2"/>
      <c r="AE234">
        <f t="shared" si="37"/>
        <v>388922</v>
      </c>
      <c r="AF234">
        <f t="shared" si="38"/>
        <v>78580</v>
      </c>
      <c r="AH234" s="2">
        <f t="shared" si="39"/>
        <v>0.16808484241778646</v>
      </c>
      <c r="AI234" s="2"/>
      <c r="AJ234" s="2"/>
    </row>
    <row r="235" spans="2:36" x14ac:dyDescent="0.25">
      <c r="B235" s="1">
        <v>41030</v>
      </c>
      <c r="C235">
        <v>225381</v>
      </c>
      <c r="D235">
        <v>39280</v>
      </c>
      <c r="F235" s="2">
        <f t="shared" si="32"/>
        <v>0.14841627591522741</v>
      </c>
      <c r="I235">
        <v>241141</v>
      </c>
      <c r="J235">
        <v>21324</v>
      </c>
      <c r="L235" s="2">
        <f t="shared" si="33"/>
        <v>8.1245118396738619E-2</v>
      </c>
      <c r="N235">
        <v>177355</v>
      </c>
      <c r="O235">
        <v>62128</v>
      </c>
      <c r="Q235" s="2">
        <f t="shared" si="34"/>
        <v>0.25942551245808682</v>
      </c>
      <c r="T235">
        <v>184524</v>
      </c>
      <c r="U235">
        <v>57443</v>
      </c>
      <c r="W235" s="2">
        <f t="shared" si="35"/>
        <v>0.23740014134158791</v>
      </c>
      <c r="Z235">
        <f t="shared" si="30"/>
        <v>402736</v>
      </c>
      <c r="AA235">
        <f t="shared" si="31"/>
        <v>101408</v>
      </c>
      <c r="AC235" s="2">
        <f t="shared" si="36"/>
        <v>0.2011488780983211</v>
      </c>
      <c r="AD235" s="2"/>
      <c r="AE235">
        <f t="shared" si="37"/>
        <v>425665</v>
      </c>
      <c r="AF235">
        <f t="shared" si="38"/>
        <v>78767</v>
      </c>
      <c r="AH235" s="2">
        <f t="shared" si="39"/>
        <v>0.1561498873981032</v>
      </c>
      <c r="AI235" s="2"/>
      <c r="AJ235" s="2"/>
    </row>
    <row r="236" spans="2:36" x14ac:dyDescent="0.25">
      <c r="B236" s="1">
        <v>41037</v>
      </c>
      <c r="C236">
        <v>195203</v>
      </c>
      <c r="D236">
        <v>66060</v>
      </c>
      <c r="F236" s="2">
        <f t="shared" si="32"/>
        <v>0.25284866207614548</v>
      </c>
      <c r="I236">
        <v>197554</v>
      </c>
      <c r="J236">
        <v>49562</v>
      </c>
      <c r="L236" s="2">
        <f t="shared" si="33"/>
        <v>0.20056167953511711</v>
      </c>
      <c r="N236">
        <v>156565</v>
      </c>
      <c r="O236">
        <v>64096</v>
      </c>
      <c r="Q236" s="2">
        <f t="shared" si="34"/>
        <v>0.29047271606672681</v>
      </c>
      <c r="T236">
        <v>161231</v>
      </c>
      <c r="U236">
        <v>57458</v>
      </c>
      <c r="W236" s="2">
        <f t="shared" si="35"/>
        <v>0.26273840933929005</v>
      </c>
      <c r="Z236">
        <f t="shared" si="30"/>
        <v>351768</v>
      </c>
      <c r="AA236">
        <f t="shared" si="31"/>
        <v>130156</v>
      </c>
      <c r="AC236" s="2">
        <f t="shared" si="36"/>
        <v>0.27007577958350282</v>
      </c>
      <c r="AD236" s="2"/>
      <c r="AE236">
        <f t="shared" si="37"/>
        <v>358785</v>
      </c>
      <c r="AF236">
        <f t="shared" si="38"/>
        <v>107020</v>
      </c>
      <c r="AH236" s="2">
        <f t="shared" si="39"/>
        <v>0.22975279355094944</v>
      </c>
      <c r="AI236" s="2"/>
      <c r="AJ236" s="2"/>
    </row>
    <row r="237" spans="2:36" x14ac:dyDescent="0.25">
      <c r="B237" s="1">
        <v>41044</v>
      </c>
      <c r="C237">
        <v>188810</v>
      </c>
      <c r="D237">
        <v>65194</v>
      </c>
      <c r="F237" s="2">
        <f t="shared" si="32"/>
        <v>0.2566652493661517</v>
      </c>
      <c r="I237">
        <v>187144</v>
      </c>
      <c r="J237">
        <v>47962</v>
      </c>
      <c r="L237" s="2">
        <f t="shared" si="33"/>
        <v>0.20400159927862327</v>
      </c>
      <c r="N237">
        <v>144971</v>
      </c>
      <c r="O237">
        <v>61498</v>
      </c>
      <c r="Q237" s="2">
        <f t="shared" si="34"/>
        <v>0.2978558524524263</v>
      </c>
      <c r="T237">
        <v>152265</v>
      </c>
      <c r="U237">
        <v>54640</v>
      </c>
      <c r="W237" s="2">
        <f t="shared" si="35"/>
        <v>0.26408254996254321</v>
      </c>
      <c r="Z237">
        <f t="shared" si="30"/>
        <v>333781</v>
      </c>
      <c r="AA237">
        <f t="shared" si="31"/>
        <v>126692</v>
      </c>
      <c r="AC237" s="2">
        <f t="shared" si="36"/>
        <v>0.27513448128337603</v>
      </c>
      <c r="AD237" s="2"/>
      <c r="AE237">
        <f t="shared" si="37"/>
        <v>339409</v>
      </c>
      <c r="AF237">
        <f t="shared" si="38"/>
        <v>102602</v>
      </c>
      <c r="AH237" s="2">
        <f t="shared" si="39"/>
        <v>0.23212544484187045</v>
      </c>
      <c r="AI237" s="2"/>
      <c r="AJ237" s="2"/>
    </row>
    <row r="238" spans="2:36" x14ac:dyDescent="0.25">
      <c r="B238" s="1">
        <v>41051</v>
      </c>
      <c r="C238">
        <v>183591</v>
      </c>
      <c r="D238">
        <v>61880</v>
      </c>
      <c r="F238" s="2">
        <f t="shared" si="32"/>
        <v>0.25208680455125043</v>
      </c>
      <c r="I238">
        <v>184013</v>
      </c>
      <c r="J238">
        <v>47262</v>
      </c>
      <c r="L238" s="2">
        <f t="shared" si="33"/>
        <v>0.20435412387849963</v>
      </c>
      <c r="N238">
        <v>138944</v>
      </c>
      <c r="O238">
        <v>59549</v>
      </c>
      <c r="Q238" s="2">
        <f t="shared" si="34"/>
        <v>0.30000554175714006</v>
      </c>
      <c r="T238">
        <v>146833</v>
      </c>
      <c r="U238">
        <v>55625</v>
      </c>
      <c r="W238" s="2">
        <f t="shared" si="35"/>
        <v>0.27474834286617472</v>
      </c>
      <c r="Z238">
        <f t="shared" si="30"/>
        <v>322535</v>
      </c>
      <c r="AA238">
        <f t="shared" si="31"/>
        <v>121429</v>
      </c>
      <c r="AC238" s="2">
        <f t="shared" si="36"/>
        <v>0.27351091529943872</v>
      </c>
      <c r="AD238" s="2"/>
      <c r="AE238">
        <f t="shared" si="37"/>
        <v>330846</v>
      </c>
      <c r="AF238">
        <f t="shared" si="38"/>
        <v>102887</v>
      </c>
      <c r="AH238" s="2">
        <f t="shared" si="39"/>
        <v>0.23721275531260014</v>
      </c>
      <c r="AI238" s="2"/>
      <c r="AJ238" s="2"/>
    </row>
    <row r="239" spans="2:36" x14ac:dyDescent="0.25">
      <c r="B239" s="1">
        <v>41058</v>
      </c>
      <c r="C239">
        <v>187561</v>
      </c>
      <c r="D239">
        <v>61323</v>
      </c>
      <c r="F239" s="2">
        <f t="shared" si="32"/>
        <v>0.24639189341219203</v>
      </c>
      <c r="I239">
        <v>183559</v>
      </c>
      <c r="J239">
        <v>46975</v>
      </c>
      <c r="L239" s="2">
        <f t="shared" si="33"/>
        <v>0.20376603884893335</v>
      </c>
      <c r="N239">
        <v>134839</v>
      </c>
      <c r="O239">
        <v>63193</v>
      </c>
      <c r="Q239" s="2">
        <f t="shared" si="34"/>
        <v>0.31910499313242302</v>
      </c>
      <c r="T239">
        <v>141360</v>
      </c>
      <c r="U239">
        <v>60402</v>
      </c>
      <c r="W239" s="2">
        <f t="shared" si="35"/>
        <v>0.29937252802807268</v>
      </c>
      <c r="Z239">
        <f t="shared" si="30"/>
        <v>322400</v>
      </c>
      <c r="AA239">
        <f t="shared" si="31"/>
        <v>124516</v>
      </c>
      <c r="AC239" s="2">
        <f t="shared" si="36"/>
        <v>0.27861164066625493</v>
      </c>
      <c r="AD239" s="2"/>
      <c r="AE239">
        <f t="shared" si="37"/>
        <v>324919</v>
      </c>
      <c r="AF239">
        <f t="shared" si="38"/>
        <v>107377</v>
      </c>
      <c r="AH239" s="2">
        <f t="shared" si="39"/>
        <v>0.24838767881266541</v>
      </c>
      <c r="AI239" s="2"/>
      <c r="AJ239" s="2"/>
    </row>
    <row r="240" spans="2:36" x14ac:dyDescent="0.25">
      <c r="B240" s="1">
        <v>41065</v>
      </c>
      <c r="C240">
        <v>186853</v>
      </c>
      <c r="D240">
        <v>66943</v>
      </c>
      <c r="F240" s="2">
        <f t="shared" si="32"/>
        <v>0.26376696244227649</v>
      </c>
      <c r="I240">
        <v>184477</v>
      </c>
      <c r="J240">
        <v>51428</v>
      </c>
      <c r="L240" s="2">
        <f t="shared" si="33"/>
        <v>0.21800300968610245</v>
      </c>
      <c r="N240">
        <v>124772</v>
      </c>
      <c r="O240">
        <v>67469</v>
      </c>
      <c r="Q240" s="2">
        <f t="shared" si="34"/>
        <v>0.35096051310594512</v>
      </c>
      <c r="T240">
        <v>130361</v>
      </c>
      <c r="U240">
        <v>72610</v>
      </c>
      <c r="W240" s="2">
        <f t="shared" si="35"/>
        <v>0.35773583418320842</v>
      </c>
      <c r="Z240">
        <f t="shared" si="30"/>
        <v>311625</v>
      </c>
      <c r="AA240">
        <f t="shared" si="31"/>
        <v>134412</v>
      </c>
      <c r="AC240" s="2">
        <f t="shared" si="36"/>
        <v>0.3013471976540063</v>
      </c>
      <c r="AD240" s="2"/>
      <c r="AE240">
        <f t="shared" si="37"/>
        <v>314838</v>
      </c>
      <c r="AF240">
        <f t="shared" si="38"/>
        <v>124038</v>
      </c>
      <c r="AH240" s="2">
        <f t="shared" si="39"/>
        <v>0.28262652776638503</v>
      </c>
      <c r="AI240" s="2"/>
      <c r="AJ240" s="2"/>
    </row>
    <row r="241" spans="2:36" x14ac:dyDescent="0.25">
      <c r="B241" s="1">
        <v>41072</v>
      </c>
      <c r="C241">
        <v>178293</v>
      </c>
      <c r="D241">
        <v>68715</v>
      </c>
      <c r="F241" s="2">
        <f t="shared" si="32"/>
        <v>0.27818937038476488</v>
      </c>
      <c r="I241">
        <v>182187</v>
      </c>
      <c r="J241">
        <v>51679</v>
      </c>
      <c r="L241" s="2">
        <f t="shared" si="33"/>
        <v>0.22097696971770159</v>
      </c>
      <c r="N241">
        <v>122098</v>
      </c>
      <c r="O241">
        <v>75332</v>
      </c>
      <c r="Q241" s="2">
        <f t="shared" si="34"/>
        <v>0.38156308565061037</v>
      </c>
      <c r="T241">
        <v>127228</v>
      </c>
      <c r="U241">
        <v>75191</v>
      </c>
      <c r="W241" s="2">
        <f t="shared" si="35"/>
        <v>0.37146216511295876</v>
      </c>
      <c r="Z241">
        <f t="shared" si="30"/>
        <v>300391</v>
      </c>
      <c r="AA241">
        <f t="shared" si="31"/>
        <v>144047</v>
      </c>
      <c r="AC241" s="2">
        <f t="shared" si="36"/>
        <v>0.32411044960151925</v>
      </c>
      <c r="AD241" s="2"/>
      <c r="AE241">
        <f t="shared" si="37"/>
        <v>309415</v>
      </c>
      <c r="AF241">
        <f t="shared" si="38"/>
        <v>126870</v>
      </c>
      <c r="AH241" s="2">
        <f t="shared" si="39"/>
        <v>0.29079615389023228</v>
      </c>
      <c r="AI241" s="2"/>
      <c r="AJ241" s="2"/>
    </row>
    <row r="242" spans="2:36" x14ac:dyDescent="0.25">
      <c r="B242" s="1">
        <v>41079</v>
      </c>
      <c r="C242">
        <v>172770</v>
      </c>
      <c r="D242">
        <v>71222</v>
      </c>
      <c r="F242" s="2">
        <f t="shared" si="32"/>
        <v>0.291903013213548</v>
      </c>
      <c r="I242">
        <v>179471</v>
      </c>
      <c r="J242">
        <v>56656</v>
      </c>
      <c r="L242" s="2">
        <f t="shared" si="33"/>
        <v>0.23993867706784908</v>
      </c>
      <c r="N242">
        <v>121740</v>
      </c>
      <c r="O242">
        <v>76095</v>
      </c>
      <c r="Q242" s="2">
        <f t="shared" si="34"/>
        <v>0.38463871407991507</v>
      </c>
      <c r="T242">
        <v>125555</v>
      </c>
      <c r="U242">
        <v>73443</v>
      </c>
      <c r="W242" s="2">
        <f t="shared" si="35"/>
        <v>0.36906401069357481</v>
      </c>
      <c r="Z242">
        <f t="shared" si="30"/>
        <v>294510</v>
      </c>
      <c r="AA242">
        <f t="shared" si="31"/>
        <v>147317</v>
      </c>
      <c r="AC242" s="2">
        <f t="shared" si="36"/>
        <v>0.33342688427823558</v>
      </c>
      <c r="AD242" s="2"/>
      <c r="AE242">
        <f t="shared" si="37"/>
        <v>305026</v>
      </c>
      <c r="AF242">
        <f t="shared" si="38"/>
        <v>130099</v>
      </c>
      <c r="AH242" s="2">
        <f t="shared" si="39"/>
        <v>0.29899224360815857</v>
      </c>
      <c r="AI242" s="2"/>
      <c r="AJ242" s="2"/>
    </row>
    <row r="243" spans="2:36" x14ac:dyDescent="0.25">
      <c r="B243" s="1">
        <v>41086</v>
      </c>
      <c r="C243">
        <v>172034</v>
      </c>
      <c r="D243">
        <v>72269</v>
      </c>
      <c r="F243" s="2">
        <f t="shared" si="32"/>
        <v>0.29581707961015624</v>
      </c>
      <c r="I243">
        <v>181520</v>
      </c>
      <c r="J243">
        <v>57503</v>
      </c>
      <c r="L243" s="2">
        <f t="shared" si="33"/>
        <v>0.24057517477397572</v>
      </c>
      <c r="N243">
        <v>118186</v>
      </c>
      <c r="O243">
        <v>80370</v>
      </c>
      <c r="Q243" s="2">
        <f t="shared" si="34"/>
        <v>0.40477245714055482</v>
      </c>
      <c r="T243">
        <v>120655</v>
      </c>
      <c r="U243">
        <v>79240</v>
      </c>
      <c r="W243" s="2">
        <f t="shared" si="35"/>
        <v>0.39640811425998651</v>
      </c>
      <c r="Z243">
        <f t="shared" si="30"/>
        <v>290220</v>
      </c>
      <c r="AA243">
        <f t="shared" si="31"/>
        <v>152639</v>
      </c>
      <c r="AC243" s="2">
        <f t="shared" si="36"/>
        <v>0.34466726429856909</v>
      </c>
      <c r="AD243" s="2"/>
      <c r="AE243">
        <f t="shared" si="37"/>
        <v>302175</v>
      </c>
      <c r="AF243">
        <f t="shared" si="38"/>
        <v>136743</v>
      </c>
      <c r="AH243" s="2">
        <f t="shared" si="39"/>
        <v>0.31154566456604649</v>
      </c>
      <c r="AI243" s="2"/>
      <c r="AJ243" s="2"/>
    </row>
    <row r="244" spans="2:36" x14ac:dyDescent="0.25">
      <c r="B244" s="1">
        <v>41093</v>
      </c>
      <c r="C244">
        <v>182356</v>
      </c>
      <c r="D244">
        <v>68458</v>
      </c>
      <c r="F244" s="2">
        <f t="shared" si="32"/>
        <v>0.27294329662618516</v>
      </c>
      <c r="I244">
        <v>190812</v>
      </c>
      <c r="J244">
        <v>55801</v>
      </c>
      <c r="L244" s="2">
        <f t="shared" si="33"/>
        <v>0.22626949917482048</v>
      </c>
      <c r="N244">
        <v>116231</v>
      </c>
      <c r="O244">
        <v>63044</v>
      </c>
      <c r="Q244" s="2">
        <f t="shared" si="34"/>
        <v>0.3516608562264677</v>
      </c>
      <c r="T244">
        <v>121567</v>
      </c>
      <c r="U244">
        <v>56132</v>
      </c>
      <c r="W244" s="2">
        <f t="shared" si="35"/>
        <v>0.31588247542192133</v>
      </c>
      <c r="Z244">
        <f t="shared" si="30"/>
        <v>298587</v>
      </c>
      <c r="AA244">
        <f t="shared" si="31"/>
        <v>131502</v>
      </c>
      <c r="AC244" s="2">
        <f t="shared" si="36"/>
        <v>0.30575532041042669</v>
      </c>
      <c r="AD244" s="2"/>
      <c r="AE244">
        <f t="shared" si="37"/>
        <v>312379</v>
      </c>
      <c r="AF244">
        <f t="shared" si="38"/>
        <v>111933</v>
      </c>
      <c r="AH244" s="2">
        <f t="shared" si="39"/>
        <v>0.26379880842398989</v>
      </c>
      <c r="AI244" s="2"/>
      <c r="AJ244" s="2"/>
    </row>
    <row r="245" spans="2:36" x14ac:dyDescent="0.25">
      <c r="B245" s="1">
        <v>41100</v>
      </c>
      <c r="C245">
        <v>180109</v>
      </c>
      <c r="D245">
        <v>72389</v>
      </c>
      <c r="F245" s="2">
        <f t="shared" si="32"/>
        <v>0.28669137973370085</v>
      </c>
      <c r="I245">
        <v>184539</v>
      </c>
      <c r="J245">
        <v>56447</v>
      </c>
      <c r="L245" s="2">
        <f t="shared" si="33"/>
        <v>0.23423352393914998</v>
      </c>
      <c r="N245">
        <v>118875</v>
      </c>
      <c r="O245">
        <v>69755</v>
      </c>
      <c r="Q245" s="2">
        <f t="shared" si="34"/>
        <v>0.36979801728251072</v>
      </c>
      <c r="T245">
        <v>121677</v>
      </c>
      <c r="U245">
        <v>61673</v>
      </c>
      <c r="W245" s="2">
        <f t="shared" si="35"/>
        <v>0.33636760294518681</v>
      </c>
      <c r="Z245">
        <f t="shared" si="30"/>
        <v>298984</v>
      </c>
      <c r="AA245">
        <f t="shared" si="31"/>
        <v>142144</v>
      </c>
      <c r="AC245" s="2">
        <f t="shared" si="36"/>
        <v>0.32222846883444262</v>
      </c>
      <c r="AD245" s="2"/>
      <c r="AE245">
        <f t="shared" si="37"/>
        <v>306216</v>
      </c>
      <c r="AF245">
        <f t="shared" si="38"/>
        <v>118120</v>
      </c>
      <c r="AH245" s="2">
        <f t="shared" si="39"/>
        <v>0.27836431507107573</v>
      </c>
      <c r="AI245" s="2"/>
      <c r="AJ245" s="2"/>
    </row>
    <row r="246" spans="2:36" x14ac:dyDescent="0.25">
      <c r="B246" s="1">
        <v>41107</v>
      </c>
      <c r="C246">
        <v>182324</v>
      </c>
      <c r="D246">
        <v>67095</v>
      </c>
      <c r="F246" s="2">
        <f t="shared" si="32"/>
        <v>0.26900516801045632</v>
      </c>
      <c r="I246">
        <v>189772</v>
      </c>
      <c r="J246">
        <v>56607</v>
      </c>
      <c r="L246" s="2">
        <f t="shared" si="33"/>
        <v>0.22975578275745903</v>
      </c>
      <c r="N246">
        <v>122817</v>
      </c>
      <c r="O246">
        <v>53736</v>
      </c>
      <c r="Q246" s="2">
        <f t="shared" si="34"/>
        <v>0.30436186300997436</v>
      </c>
      <c r="T246">
        <v>131836</v>
      </c>
      <c r="U246">
        <v>53154</v>
      </c>
      <c r="W246" s="2">
        <f t="shared" si="35"/>
        <v>0.28733445051083845</v>
      </c>
      <c r="Z246">
        <f t="shared" si="30"/>
        <v>305141</v>
      </c>
      <c r="AA246">
        <f t="shared" si="31"/>
        <v>120831</v>
      </c>
      <c r="AC246" s="2">
        <f t="shared" si="36"/>
        <v>0.28365948935610791</v>
      </c>
      <c r="AD246" s="2"/>
      <c r="AE246">
        <f t="shared" si="37"/>
        <v>321608</v>
      </c>
      <c r="AF246">
        <f t="shared" si="38"/>
        <v>109761</v>
      </c>
      <c r="AH246" s="2">
        <f t="shared" si="39"/>
        <v>0.25444804795894005</v>
      </c>
      <c r="AI246" s="2"/>
      <c r="AJ246" s="2"/>
    </row>
    <row r="247" spans="2:36" x14ac:dyDescent="0.25">
      <c r="B247" s="1">
        <v>41114</v>
      </c>
      <c r="C247">
        <v>186661</v>
      </c>
      <c r="D247">
        <v>62528</v>
      </c>
      <c r="F247" s="2">
        <f t="shared" si="32"/>
        <v>0.25092600395683595</v>
      </c>
      <c r="I247">
        <v>190320</v>
      </c>
      <c r="J247">
        <v>49684</v>
      </c>
      <c r="L247" s="2">
        <f t="shared" si="33"/>
        <v>0.20701321644639256</v>
      </c>
      <c r="N247">
        <v>123261</v>
      </c>
      <c r="O247">
        <v>55110</v>
      </c>
      <c r="Q247" s="2">
        <f t="shared" si="34"/>
        <v>0.30896277982407455</v>
      </c>
      <c r="T247">
        <v>130964</v>
      </c>
      <c r="U247">
        <v>53454</v>
      </c>
      <c r="W247" s="2">
        <f t="shared" si="35"/>
        <v>0.28985240052489453</v>
      </c>
      <c r="Z247">
        <f t="shared" si="30"/>
        <v>309922</v>
      </c>
      <c r="AA247">
        <f t="shared" si="31"/>
        <v>117638</v>
      </c>
      <c r="AC247" s="2">
        <f t="shared" si="36"/>
        <v>0.27513799232856206</v>
      </c>
      <c r="AD247" s="2"/>
      <c r="AE247">
        <f t="shared" si="37"/>
        <v>321284</v>
      </c>
      <c r="AF247">
        <f t="shared" si="38"/>
        <v>103138</v>
      </c>
      <c r="AH247" s="2">
        <f t="shared" si="39"/>
        <v>0.24300813812667582</v>
      </c>
      <c r="AI247" s="2"/>
      <c r="AJ247" s="2"/>
    </row>
    <row r="248" spans="2:36" x14ac:dyDescent="0.25">
      <c r="B248" s="1">
        <v>41121</v>
      </c>
      <c r="C248">
        <v>185696</v>
      </c>
      <c r="D248">
        <v>65838</v>
      </c>
      <c r="F248" s="2">
        <f t="shared" si="32"/>
        <v>0.26174592699197724</v>
      </c>
      <c r="I248">
        <v>188741</v>
      </c>
      <c r="J248">
        <v>51707</v>
      </c>
      <c r="L248" s="2">
        <f t="shared" si="33"/>
        <v>0.21504441708810221</v>
      </c>
      <c r="N248">
        <v>123354</v>
      </c>
      <c r="O248">
        <v>44682</v>
      </c>
      <c r="Q248" s="2">
        <f t="shared" si="34"/>
        <v>0.2659073055773763</v>
      </c>
      <c r="T248">
        <v>131597</v>
      </c>
      <c r="U248">
        <v>45532</v>
      </c>
      <c r="W248" s="2">
        <f t="shared" si="35"/>
        <v>0.25705559225197455</v>
      </c>
      <c r="Z248">
        <f t="shared" si="30"/>
        <v>309050</v>
      </c>
      <c r="AA248">
        <f t="shared" si="31"/>
        <v>110520</v>
      </c>
      <c r="AC248" s="2">
        <f t="shared" si="36"/>
        <v>0.26341254141144504</v>
      </c>
      <c r="AD248" s="2"/>
      <c r="AE248">
        <f t="shared" si="37"/>
        <v>320338</v>
      </c>
      <c r="AF248">
        <f t="shared" si="38"/>
        <v>97239</v>
      </c>
      <c r="AH248" s="2">
        <f t="shared" si="39"/>
        <v>0.23286483690433141</v>
      </c>
      <c r="AI248" s="2"/>
      <c r="AJ248" s="2"/>
    </row>
    <row r="249" spans="2:36" x14ac:dyDescent="0.25">
      <c r="B249" s="1">
        <v>41128</v>
      </c>
      <c r="C249">
        <v>202071</v>
      </c>
      <c r="D249">
        <v>51301</v>
      </c>
      <c r="F249" s="2">
        <f t="shared" si="32"/>
        <v>0.20247304358808393</v>
      </c>
      <c r="I249">
        <v>206646</v>
      </c>
      <c r="J249">
        <v>42660</v>
      </c>
      <c r="L249" s="2">
        <f t="shared" si="33"/>
        <v>0.17111501528242401</v>
      </c>
      <c r="N249">
        <v>127468</v>
      </c>
      <c r="O249">
        <v>44177</v>
      </c>
      <c r="Q249" s="2">
        <f t="shared" si="34"/>
        <v>0.25737423169914647</v>
      </c>
      <c r="T249">
        <v>139298</v>
      </c>
      <c r="U249">
        <v>48339</v>
      </c>
      <c r="W249" s="2">
        <f t="shared" si="35"/>
        <v>0.25761976582443763</v>
      </c>
      <c r="Z249">
        <f t="shared" si="30"/>
        <v>329539</v>
      </c>
      <c r="AA249">
        <f t="shared" si="31"/>
        <v>95478</v>
      </c>
      <c r="AC249" s="2">
        <f t="shared" si="36"/>
        <v>0.22464513184178514</v>
      </c>
      <c r="AD249" s="2"/>
      <c r="AE249">
        <f t="shared" si="37"/>
        <v>345944</v>
      </c>
      <c r="AF249">
        <f t="shared" si="38"/>
        <v>90999</v>
      </c>
      <c r="AH249" s="2">
        <f t="shared" si="39"/>
        <v>0.20826286266172017</v>
      </c>
      <c r="AI249" s="2"/>
      <c r="AJ249" s="2"/>
    </row>
    <row r="250" spans="2:36" x14ac:dyDescent="0.25">
      <c r="B250" s="1">
        <v>41135</v>
      </c>
      <c r="C250">
        <v>191827</v>
      </c>
      <c r="D250">
        <v>52760</v>
      </c>
      <c r="F250" s="2">
        <f t="shared" si="32"/>
        <v>0.21571056515677448</v>
      </c>
      <c r="I250">
        <v>193139</v>
      </c>
      <c r="J250">
        <v>40917</v>
      </c>
      <c r="L250" s="2">
        <f t="shared" si="33"/>
        <v>0.17481713777899305</v>
      </c>
      <c r="N250">
        <v>128997</v>
      </c>
      <c r="O250">
        <v>45934</v>
      </c>
      <c r="Q250" s="2">
        <f t="shared" si="34"/>
        <v>0.2625835329358433</v>
      </c>
      <c r="T250">
        <v>140850</v>
      </c>
      <c r="U250">
        <v>44236</v>
      </c>
      <c r="W250" s="2">
        <f t="shared" si="35"/>
        <v>0.2390024096906303</v>
      </c>
      <c r="Z250">
        <f t="shared" si="30"/>
        <v>320824</v>
      </c>
      <c r="AA250">
        <f t="shared" si="31"/>
        <v>98694</v>
      </c>
      <c r="AC250" s="2">
        <f t="shared" si="36"/>
        <v>0.23525569820603645</v>
      </c>
      <c r="AD250" s="2"/>
      <c r="AE250">
        <f t="shared" si="37"/>
        <v>333989</v>
      </c>
      <c r="AF250">
        <f t="shared" si="38"/>
        <v>85153</v>
      </c>
      <c r="AH250" s="2">
        <f t="shared" si="39"/>
        <v>0.2031602654947488</v>
      </c>
      <c r="AI250" s="2"/>
      <c r="AJ250" s="2"/>
    </row>
    <row r="251" spans="2:36" x14ac:dyDescent="0.25">
      <c r="B251" s="1">
        <v>41142</v>
      </c>
      <c r="C251">
        <v>207308</v>
      </c>
      <c r="D251">
        <v>45428</v>
      </c>
      <c r="F251" s="2">
        <f t="shared" si="32"/>
        <v>0.17974487211952392</v>
      </c>
      <c r="I251">
        <v>215131</v>
      </c>
      <c r="J251">
        <v>35605</v>
      </c>
      <c r="L251" s="2">
        <f t="shared" si="33"/>
        <v>0.14200194627018059</v>
      </c>
      <c r="N251">
        <v>138308</v>
      </c>
      <c r="O251">
        <v>43860</v>
      </c>
      <c r="Q251" s="2">
        <f t="shared" si="34"/>
        <v>0.24076676474463132</v>
      </c>
      <c r="T251">
        <v>149146</v>
      </c>
      <c r="U251">
        <v>42075</v>
      </c>
      <c r="W251" s="2">
        <f t="shared" si="35"/>
        <v>0.22003336453632186</v>
      </c>
      <c r="Z251">
        <f t="shared" si="30"/>
        <v>345616</v>
      </c>
      <c r="AA251">
        <f t="shared" si="31"/>
        <v>89288</v>
      </c>
      <c r="AC251" s="2">
        <f t="shared" si="36"/>
        <v>0.20530507882199289</v>
      </c>
      <c r="AD251" s="2"/>
      <c r="AE251">
        <f t="shared" si="37"/>
        <v>364277</v>
      </c>
      <c r="AF251">
        <f t="shared" si="38"/>
        <v>77680</v>
      </c>
      <c r="AH251" s="2">
        <f t="shared" si="39"/>
        <v>0.1757637055188627</v>
      </c>
      <c r="AI251" s="2"/>
      <c r="AJ251" s="2"/>
    </row>
    <row r="252" spans="2:36" x14ac:dyDescent="0.25">
      <c r="B252" s="1">
        <v>41149</v>
      </c>
      <c r="C252">
        <v>214786</v>
      </c>
      <c r="D252">
        <v>39677</v>
      </c>
      <c r="F252" s="2">
        <f t="shared" si="32"/>
        <v>0.1559244369515411</v>
      </c>
      <c r="I252">
        <v>220946</v>
      </c>
      <c r="J252">
        <v>28475</v>
      </c>
      <c r="L252" s="2">
        <f t="shared" si="33"/>
        <v>0.11416440476142746</v>
      </c>
      <c r="N252">
        <v>142216</v>
      </c>
      <c r="O252">
        <v>48378</v>
      </c>
      <c r="Q252" s="2">
        <f t="shared" si="34"/>
        <v>0.25382750768649592</v>
      </c>
      <c r="T252">
        <v>151024</v>
      </c>
      <c r="U252">
        <v>43139</v>
      </c>
      <c r="W252" s="2">
        <f t="shared" si="35"/>
        <v>0.22217930295679403</v>
      </c>
      <c r="Z252">
        <f t="shared" si="30"/>
        <v>357002</v>
      </c>
      <c r="AA252">
        <f t="shared" si="31"/>
        <v>88055</v>
      </c>
      <c r="AC252" s="2">
        <f t="shared" si="36"/>
        <v>0.19785106177410983</v>
      </c>
      <c r="AD252" s="2"/>
      <c r="AE252">
        <f t="shared" si="37"/>
        <v>371970</v>
      </c>
      <c r="AF252">
        <f t="shared" si="38"/>
        <v>71614</v>
      </c>
      <c r="AH252" s="2">
        <f t="shared" si="39"/>
        <v>0.16144405569181935</v>
      </c>
      <c r="AI252" s="2"/>
      <c r="AJ252" s="2"/>
    </row>
    <row r="253" spans="2:36" x14ac:dyDescent="0.25">
      <c r="B253" s="1">
        <v>41156</v>
      </c>
      <c r="C253">
        <v>216183</v>
      </c>
      <c r="D253">
        <v>39146</v>
      </c>
      <c r="F253" s="2">
        <f t="shared" si="32"/>
        <v>0.15331591789416793</v>
      </c>
      <c r="I253">
        <v>221541</v>
      </c>
      <c r="J253">
        <v>27917</v>
      </c>
      <c r="L253" s="2">
        <f t="shared" si="33"/>
        <v>0.11191062222899245</v>
      </c>
      <c r="N253">
        <v>144549</v>
      </c>
      <c r="O253">
        <v>49826</v>
      </c>
      <c r="Q253" s="2">
        <f t="shared" si="34"/>
        <v>0.2563395498392283</v>
      </c>
      <c r="T253">
        <v>153874</v>
      </c>
      <c r="U253">
        <v>43399</v>
      </c>
      <c r="W253" s="2">
        <f t="shared" si="35"/>
        <v>0.21999462673553907</v>
      </c>
      <c r="Z253">
        <f t="shared" si="30"/>
        <v>360732</v>
      </c>
      <c r="AA253">
        <f t="shared" si="31"/>
        <v>88972</v>
      </c>
      <c r="AC253" s="2">
        <f t="shared" si="36"/>
        <v>0.19784569405653496</v>
      </c>
      <c r="AD253" s="2"/>
      <c r="AE253">
        <f t="shared" si="37"/>
        <v>375415</v>
      </c>
      <c r="AF253">
        <f t="shared" si="38"/>
        <v>71316</v>
      </c>
      <c r="AH253" s="2">
        <f t="shared" si="39"/>
        <v>0.15963969368590941</v>
      </c>
      <c r="AI253" s="2"/>
      <c r="AJ253" s="2"/>
    </row>
    <row r="254" spans="2:36" x14ac:dyDescent="0.25">
      <c r="B254" s="1">
        <v>41163</v>
      </c>
      <c r="C254">
        <v>218695</v>
      </c>
      <c r="D254">
        <v>33468</v>
      </c>
      <c r="F254" s="2">
        <f t="shared" si="32"/>
        <v>0.13272367476592523</v>
      </c>
      <c r="I254">
        <v>228599</v>
      </c>
      <c r="J254">
        <v>25275</v>
      </c>
      <c r="L254" s="2">
        <f t="shared" si="33"/>
        <v>9.9557260688372978E-2</v>
      </c>
      <c r="N254">
        <v>150846</v>
      </c>
      <c r="O254">
        <v>48075</v>
      </c>
      <c r="Q254" s="2">
        <f t="shared" si="34"/>
        <v>0.24167885743586651</v>
      </c>
      <c r="T254">
        <v>159245</v>
      </c>
      <c r="U254">
        <v>43767</v>
      </c>
      <c r="W254" s="2">
        <f t="shared" si="35"/>
        <v>0.21558824108919669</v>
      </c>
      <c r="Z254">
        <f t="shared" si="30"/>
        <v>369541</v>
      </c>
      <c r="AA254">
        <f t="shared" si="31"/>
        <v>81543</v>
      </c>
      <c r="AC254" s="2">
        <f t="shared" si="36"/>
        <v>0.18077120891009213</v>
      </c>
      <c r="AD254" s="2"/>
      <c r="AE254">
        <f t="shared" si="37"/>
        <v>387844</v>
      </c>
      <c r="AF254">
        <f t="shared" si="38"/>
        <v>69042</v>
      </c>
      <c r="AH254" s="2">
        <f t="shared" si="39"/>
        <v>0.15111428233738833</v>
      </c>
      <c r="AI254" s="2"/>
      <c r="AJ254" s="2"/>
    </row>
    <row r="255" spans="2:36" x14ac:dyDescent="0.25">
      <c r="B255" s="1">
        <v>41170</v>
      </c>
      <c r="C255">
        <v>230043</v>
      </c>
      <c r="D255">
        <v>37569</v>
      </c>
      <c r="F255" s="2">
        <f t="shared" si="32"/>
        <v>0.14038608134164388</v>
      </c>
      <c r="I255">
        <v>240933</v>
      </c>
      <c r="J255">
        <v>26286</v>
      </c>
      <c r="L255" s="2">
        <f t="shared" si="33"/>
        <v>9.8368753718859808E-2</v>
      </c>
      <c r="N255">
        <v>150727</v>
      </c>
      <c r="O255">
        <v>50336</v>
      </c>
      <c r="Q255" s="2">
        <f t="shared" si="34"/>
        <v>0.2503493929763308</v>
      </c>
      <c r="T255">
        <v>154617</v>
      </c>
      <c r="U255">
        <v>46653</v>
      </c>
      <c r="W255" s="2">
        <f t="shared" si="35"/>
        <v>0.23179311372782829</v>
      </c>
      <c r="Z255">
        <f t="shared" si="30"/>
        <v>380770</v>
      </c>
      <c r="AA255">
        <f t="shared" si="31"/>
        <v>87905</v>
      </c>
      <c r="AC255" s="2">
        <f t="shared" si="36"/>
        <v>0.18756067637488666</v>
      </c>
      <c r="AD255" s="2"/>
      <c r="AE255">
        <f t="shared" si="37"/>
        <v>395550</v>
      </c>
      <c r="AF255">
        <f t="shared" si="38"/>
        <v>72939</v>
      </c>
      <c r="AH255" s="2">
        <f t="shared" si="39"/>
        <v>0.15568988812971063</v>
      </c>
      <c r="AI255" s="2"/>
      <c r="AJ255" s="2"/>
    </row>
    <row r="256" spans="2:36" x14ac:dyDescent="0.25">
      <c r="B256" s="1">
        <v>41177</v>
      </c>
      <c r="C256">
        <v>205884</v>
      </c>
      <c r="D256">
        <v>51782</v>
      </c>
      <c r="F256" s="2">
        <f t="shared" si="32"/>
        <v>0.20096559111407791</v>
      </c>
      <c r="I256">
        <v>216315</v>
      </c>
      <c r="J256">
        <v>38553</v>
      </c>
      <c r="L256" s="2">
        <f t="shared" si="33"/>
        <v>0.15126653797259759</v>
      </c>
      <c r="N256">
        <v>143151</v>
      </c>
      <c r="O256">
        <v>42600</v>
      </c>
      <c r="Q256" s="2">
        <f t="shared" si="34"/>
        <v>0.22933927677374549</v>
      </c>
      <c r="T256">
        <v>145473</v>
      </c>
      <c r="U256">
        <v>38346</v>
      </c>
      <c r="W256" s="2">
        <f t="shared" si="35"/>
        <v>0.20860738008584531</v>
      </c>
      <c r="Z256">
        <f t="shared" si="30"/>
        <v>349035</v>
      </c>
      <c r="AA256">
        <f t="shared" si="31"/>
        <v>94382</v>
      </c>
      <c r="AC256" s="2">
        <f t="shared" si="36"/>
        <v>0.21285155959288887</v>
      </c>
      <c r="AD256" s="2"/>
      <c r="AE256">
        <f t="shared" si="37"/>
        <v>361788</v>
      </c>
      <c r="AF256">
        <f t="shared" si="38"/>
        <v>76899</v>
      </c>
      <c r="AH256" s="2">
        <f t="shared" si="39"/>
        <v>0.17529354642375999</v>
      </c>
      <c r="AI256" s="2"/>
      <c r="AJ256" s="2"/>
    </row>
    <row r="257" spans="2:36" x14ac:dyDescent="0.25">
      <c r="B257" s="1">
        <v>41184</v>
      </c>
      <c r="C257">
        <v>201089</v>
      </c>
      <c r="D257">
        <v>59762</v>
      </c>
      <c r="F257" s="2">
        <f t="shared" si="32"/>
        <v>0.22910397123261939</v>
      </c>
      <c r="I257">
        <v>212405</v>
      </c>
      <c r="J257">
        <v>46233</v>
      </c>
      <c r="L257" s="2">
        <f t="shared" si="33"/>
        <v>0.17875563528947797</v>
      </c>
      <c r="N257">
        <v>142953</v>
      </c>
      <c r="O257">
        <v>35189</v>
      </c>
      <c r="Q257" s="2">
        <f t="shared" si="34"/>
        <v>0.19753342838858887</v>
      </c>
      <c r="T257">
        <v>145673</v>
      </c>
      <c r="U257">
        <v>32124</v>
      </c>
      <c r="W257" s="2">
        <f t="shared" si="35"/>
        <v>0.18067796419512142</v>
      </c>
      <c r="Z257">
        <f t="shared" si="30"/>
        <v>344042</v>
      </c>
      <c r="AA257">
        <f t="shared" si="31"/>
        <v>94951</v>
      </c>
      <c r="AC257" s="2">
        <f t="shared" si="36"/>
        <v>0.21629274270888146</v>
      </c>
      <c r="AD257" s="2"/>
      <c r="AE257">
        <f t="shared" si="37"/>
        <v>358078</v>
      </c>
      <c r="AF257">
        <f t="shared" si="38"/>
        <v>78357</v>
      </c>
      <c r="AH257" s="2">
        <f t="shared" si="39"/>
        <v>0.17953876293147891</v>
      </c>
      <c r="AI257" s="2"/>
      <c r="AJ257" s="2"/>
    </row>
    <row r="258" spans="2:36" x14ac:dyDescent="0.25">
      <c r="B258" s="1">
        <v>41191</v>
      </c>
      <c r="C258">
        <v>199014</v>
      </c>
      <c r="D258">
        <v>64014</v>
      </c>
      <c r="F258" s="2">
        <f t="shared" si="32"/>
        <v>0.24337332907523154</v>
      </c>
      <c r="I258">
        <v>213314</v>
      </c>
      <c r="J258">
        <v>52310</v>
      </c>
      <c r="L258" s="2">
        <f t="shared" si="33"/>
        <v>0.19693250609884649</v>
      </c>
      <c r="N258">
        <v>147431</v>
      </c>
      <c r="O258">
        <v>41408</v>
      </c>
      <c r="Q258" s="2">
        <f t="shared" si="34"/>
        <v>0.2192767383856089</v>
      </c>
      <c r="T258">
        <v>152274</v>
      </c>
      <c r="U258">
        <v>37796</v>
      </c>
      <c r="W258" s="2">
        <f t="shared" si="35"/>
        <v>0.19885305413794918</v>
      </c>
      <c r="Z258">
        <f t="shared" si="30"/>
        <v>346445</v>
      </c>
      <c r="AA258">
        <f t="shared" si="31"/>
        <v>105422</v>
      </c>
      <c r="AC258" s="2">
        <f t="shared" si="36"/>
        <v>0.23330316221366021</v>
      </c>
      <c r="AD258" s="2"/>
      <c r="AE258">
        <f t="shared" si="37"/>
        <v>365588</v>
      </c>
      <c r="AF258">
        <f t="shared" si="38"/>
        <v>90106</v>
      </c>
      <c r="AH258" s="2">
        <f t="shared" si="39"/>
        <v>0.19773356682335075</v>
      </c>
      <c r="AI258" s="2"/>
      <c r="AJ258" s="2"/>
    </row>
    <row r="259" spans="2:36" x14ac:dyDescent="0.25">
      <c r="B259" s="1">
        <v>41198</v>
      </c>
      <c r="C259">
        <v>204545</v>
      </c>
      <c r="D259">
        <v>63733</v>
      </c>
      <c r="F259" s="2">
        <f t="shared" si="32"/>
        <v>0.23756327391735438</v>
      </c>
      <c r="I259">
        <v>218600</v>
      </c>
      <c r="J259">
        <v>52322</v>
      </c>
      <c r="L259" s="2">
        <f t="shared" si="33"/>
        <v>0.19312569669498969</v>
      </c>
      <c r="N259">
        <v>153903</v>
      </c>
      <c r="O259">
        <v>42692</v>
      </c>
      <c r="Q259" s="2">
        <f t="shared" si="34"/>
        <v>0.21715709962104834</v>
      </c>
      <c r="T259">
        <v>157036</v>
      </c>
      <c r="U259">
        <v>37460</v>
      </c>
      <c r="W259" s="2">
        <f t="shared" si="35"/>
        <v>0.19260036196117145</v>
      </c>
      <c r="Z259">
        <f t="shared" si="30"/>
        <v>358448</v>
      </c>
      <c r="AA259">
        <f t="shared" si="31"/>
        <v>106425</v>
      </c>
      <c r="AC259" s="2">
        <f t="shared" si="36"/>
        <v>0.22893349366386087</v>
      </c>
      <c r="AD259" s="2"/>
      <c r="AE259">
        <f t="shared" si="37"/>
        <v>375636</v>
      </c>
      <c r="AF259">
        <f t="shared" si="38"/>
        <v>89782</v>
      </c>
      <c r="AH259" s="2">
        <f t="shared" si="39"/>
        <v>0.19290616177285794</v>
      </c>
      <c r="AI259" s="2"/>
      <c r="AJ259" s="2"/>
    </row>
    <row r="260" spans="2:36" x14ac:dyDescent="0.25">
      <c r="B260" s="1">
        <v>41205</v>
      </c>
      <c r="C260">
        <v>196929</v>
      </c>
      <c r="D260">
        <v>83990</v>
      </c>
      <c r="F260" s="2">
        <f t="shared" si="32"/>
        <v>0.29898298085925124</v>
      </c>
      <c r="I260">
        <v>208028</v>
      </c>
      <c r="J260">
        <v>69688</v>
      </c>
      <c r="L260" s="2">
        <f t="shared" si="33"/>
        <v>0.25093260741188839</v>
      </c>
      <c r="N260">
        <v>139461</v>
      </c>
      <c r="O260">
        <v>53037</v>
      </c>
      <c r="Q260" s="2">
        <f t="shared" si="34"/>
        <v>0.27551974565969517</v>
      </c>
      <c r="T260">
        <v>138034</v>
      </c>
      <c r="U260">
        <v>44027</v>
      </c>
      <c r="W260" s="2">
        <f t="shared" si="35"/>
        <v>0.24182554198867412</v>
      </c>
      <c r="Z260">
        <f t="shared" si="30"/>
        <v>336390</v>
      </c>
      <c r="AA260">
        <f t="shared" si="31"/>
        <v>137027</v>
      </c>
      <c r="AC260" s="2">
        <f t="shared" si="36"/>
        <v>0.28944249995247318</v>
      </c>
      <c r="AD260" s="2"/>
      <c r="AE260">
        <f t="shared" si="37"/>
        <v>346062</v>
      </c>
      <c r="AF260">
        <f t="shared" si="38"/>
        <v>113715</v>
      </c>
      <c r="AH260" s="2">
        <f t="shared" si="39"/>
        <v>0.24732642128684124</v>
      </c>
      <c r="AI260" s="2"/>
      <c r="AJ260" s="2"/>
    </row>
    <row r="261" spans="2:36" x14ac:dyDescent="0.25">
      <c r="B261" s="1">
        <v>41212</v>
      </c>
      <c r="C261">
        <v>190172</v>
      </c>
      <c r="D261">
        <v>92209</v>
      </c>
      <c r="F261" s="2">
        <f t="shared" si="32"/>
        <v>0.3265410916456844</v>
      </c>
      <c r="I261">
        <v>199249</v>
      </c>
      <c r="J261">
        <v>76386</v>
      </c>
      <c r="L261" s="2">
        <f t="shared" si="33"/>
        <v>0.27712736045857744</v>
      </c>
      <c r="N261">
        <v>137481</v>
      </c>
      <c r="O261">
        <v>50972</v>
      </c>
      <c r="Q261" s="2">
        <f t="shared" si="34"/>
        <v>0.27047592768488693</v>
      </c>
      <c r="T261">
        <v>136924</v>
      </c>
      <c r="U261">
        <v>45462</v>
      </c>
      <c r="W261" s="2">
        <f t="shared" si="35"/>
        <v>0.24926255304683473</v>
      </c>
      <c r="Z261">
        <f t="shared" si="30"/>
        <v>327653</v>
      </c>
      <c r="AA261">
        <f t="shared" si="31"/>
        <v>143181</v>
      </c>
      <c r="AC261" s="2">
        <f t="shared" si="36"/>
        <v>0.3041008083528377</v>
      </c>
      <c r="AD261" s="2"/>
      <c r="AE261">
        <f t="shared" si="37"/>
        <v>336173</v>
      </c>
      <c r="AF261">
        <f t="shared" si="38"/>
        <v>121848</v>
      </c>
      <c r="AH261" s="2">
        <f t="shared" si="39"/>
        <v>0.26603147017276502</v>
      </c>
      <c r="AI261" s="2"/>
      <c r="AJ261" s="2"/>
    </row>
    <row r="262" spans="2:36" x14ac:dyDescent="0.25">
      <c r="B262" s="1">
        <v>41219</v>
      </c>
      <c r="C262">
        <v>188831</v>
      </c>
      <c r="D262">
        <v>89991</v>
      </c>
      <c r="F262" s="2">
        <f t="shared" si="32"/>
        <v>0.32275430202781702</v>
      </c>
      <c r="I262">
        <v>199073</v>
      </c>
      <c r="J262">
        <v>76764</v>
      </c>
      <c r="L262" s="2">
        <f t="shared" si="33"/>
        <v>0.27829479003904478</v>
      </c>
      <c r="N262">
        <v>129302</v>
      </c>
      <c r="O262">
        <v>46295</v>
      </c>
      <c r="Q262" s="2">
        <f t="shared" si="34"/>
        <v>0.26364345632328573</v>
      </c>
      <c r="T262">
        <v>129502</v>
      </c>
      <c r="U262">
        <v>41791</v>
      </c>
      <c r="W262" s="2">
        <f t="shared" si="35"/>
        <v>0.24397377592779623</v>
      </c>
      <c r="Z262">
        <f t="shared" si="30"/>
        <v>318133</v>
      </c>
      <c r="AA262">
        <f t="shared" si="31"/>
        <v>136286</v>
      </c>
      <c r="AC262" s="2">
        <f t="shared" si="36"/>
        <v>0.2999126356952504</v>
      </c>
      <c r="AD262" s="2"/>
      <c r="AE262">
        <f t="shared" si="37"/>
        <v>328575</v>
      </c>
      <c r="AF262">
        <f t="shared" si="38"/>
        <v>118555</v>
      </c>
      <c r="AH262" s="2">
        <f t="shared" si="39"/>
        <v>0.26514660165947262</v>
      </c>
      <c r="AI262" s="2"/>
      <c r="AJ262" s="2"/>
    </row>
    <row r="263" spans="2:36" x14ac:dyDescent="0.25">
      <c r="B263" s="1">
        <v>41226</v>
      </c>
      <c r="C263">
        <v>170660</v>
      </c>
      <c r="D263">
        <v>91453</v>
      </c>
      <c r="F263" s="2">
        <f t="shared" si="32"/>
        <v>0.34890676921785641</v>
      </c>
      <c r="I263">
        <v>182454</v>
      </c>
      <c r="J263">
        <v>82433</v>
      </c>
      <c r="L263" s="2">
        <f t="shared" si="33"/>
        <v>0.31120062517224328</v>
      </c>
      <c r="N263">
        <v>126033</v>
      </c>
      <c r="O263">
        <v>50125</v>
      </c>
      <c r="Q263" s="2">
        <f t="shared" si="34"/>
        <v>0.28454569193564866</v>
      </c>
      <c r="T263">
        <v>125022</v>
      </c>
      <c r="U263">
        <v>47521</v>
      </c>
      <c r="W263" s="2">
        <f t="shared" si="35"/>
        <v>0.27541540369646988</v>
      </c>
      <c r="Z263">
        <f t="shared" si="30"/>
        <v>296693</v>
      </c>
      <c r="AA263">
        <f t="shared" si="31"/>
        <v>141578</v>
      </c>
      <c r="AC263" s="2">
        <f t="shared" si="36"/>
        <v>0.32303757264341015</v>
      </c>
      <c r="AD263" s="2"/>
      <c r="AE263">
        <f t="shared" si="37"/>
        <v>307476</v>
      </c>
      <c r="AF263">
        <f t="shared" si="38"/>
        <v>129954</v>
      </c>
      <c r="AH263" s="2">
        <f t="shared" si="39"/>
        <v>0.29708524792538232</v>
      </c>
      <c r="AI263" s="2"/>
      <c r="AJ263" s="2"/>
    </row>
    <row r="264" spans="2:36" x14ac:dyDescent="0.25">
      <c r="B264" s="1">
        <v>41233</v>
      </c>
      <c r="C264">
        <v>176931</v>
      </c>
      <c r="D264">
        <v>86381</v>
      </c>
      <c r="F264" s="2">
        <f t="shared" si="32"/>
        <v>0.32805569058759193</v>
      </c>
      <c r="I264">
        <v>188018</v>
      </c>
      <c r="J264">
        <v>78170</v>
      </c>
      <c r="L264" s="2">
        <f t="shared" si="33"/>
        <v>0.29366462800727305</v>
      </c>
      <c r="N264">
        <v>134974</v>
      </c>
      <c r="O264">
        <v>40241</v>
      </c>
      <c r="Q264" s="2">
        <f t="shared" si="34"/>
        <v>0.22966640983934025</v>
      </c>
      <c r="T264">
        <v>134936</v>
      </c>
      <c r="U264">
        <v>37840</v>
      </c>
      <c r="W264" s="2">
        <f t="shared" si="35"/>
        <v>0.21901189980089827</v>
      </c>
      <c r="Z264">
        <f t="shared" si="30"/>
        <v>311905</v>
      </c>
      <c r="AA264">
        <f t="shared" si="31"/>
        <v>126622</v>
      </c>
      <c r="AC264" s="2">
        <f t="shared" si="36"/>
        <v>0.2887439085848762</v>
      </c>
      <c r="AD264" s="2"/>
      <c r="AE264">
        <f t="shared" si="37"/>
        <v>322954</v>
      </c>
      <c r="AF264">
        <f t="shared" si="38"/>
        <v>116010</v>
      </c>
      <c r="AH264" s="2">
        <f t="shared" si="39"/>
        <v>0.26428135336838554</v>
      </c>
      <c r="AI264" s="2"/>
      <c r="AJ264" s="2"/>
    </row>
    <row r="265" spans="2:36" x14ac:dyDescent="0.25">
      <c r="B265" s="1">
        <v>41240</v>
      </c>
      <c r="C265">
        <v>180902</v>
      </c>
      <c r="D265">
        <v>82686</v>
      </c>
      <c r="F265" s="2">
        <f t="shared" si="32"/>
        <v>0.31369409836563122</v>
      </c>
      <c r="I265">
        <v>191157</v>
      </c>
      <c r="J265">
        <v>75061</v>
      </c>
      <c r="L265" s="2">
        <f t="shared" si="33"/>
        <v>0.28195313615157502</v>
      </c>
      <c r="N265">
        <v>141869</v>
      </c>
      <c r="O265">
        <v>36190</v>
      </c>
      <c r="Q265" s="2">
        <f t="shared" si="34"/>
        <v>0.20324723827495381</v>
      </c>
      <c r="T265">
        <v>142491</v>
      </c>
      <c r="U265">
        <v>34379</v>
      </c>
      <c r="W265" s="2">
        <f t="shared" si="35"/>
        <v>0.19437439927630462</v>
      </c>
      <c r="Z265">
        <f t="shared" ref="Z265:Z328" si="40">IFERROR(+C265+N265,C265)</f>
        <v>322771</v>
      </c>
      <c r="AA265">
        <f t="shared" ref="AA265:AA328" si="41">IFERROR(+D265+O265,D265)</f>
        <v>118876</v>
      </c>
      <c r="AC265" s="2">
        <f t="shared" si="36"/>
        <v>0.26916519301614183</v>
      </c>
      <c r="AD265" s="2"/>
      <c r="AE265">
        <f t="shared" si="37"/>
        <v>333648</v>
      </c>
      <c r="AF265">
        <f t="shared" si="38"/>
        <v>109440</v>
      </c>
      <c r="AH265" s="2">
        <f t="shared" si="39"/>
        <v>0.24699382515437113</v>
      </c>
      <c r="AI265" s="2"/>
      <c r="AJ265" s="2"/>
    </row>
    <row r="266" spans="2:36" x14ac:dyDescent="0.25">
      <c r="B266" s="1">
        <v>41247</v>
      </c>
      <c r="C266">
        <v>187019</v>
      </c>
      <c r="D266">
        <v>74822</v>
      </c>
      <c r="F266" s="2">
        <f t="shared" ref="F266:F329" si="42">+D266/SUM(C266:D266)</f>
        <v>0.28575356800501067</v>
      </c>
      <c r="I266">
        <v>196328</v>
      </c>
      <c r="J266">
        <v>66798</v>
      </c>
      <c r="L266" s="2">
        <f t="shared" ref="L266:L329" si="43">+J266/SUM(I266:J266)</f>
        <v>0.25386316821598776</v>
      </c>
      <c r="N266">
        <v>145977</v>
      </c>
      <c r="O266">
        <v>35810</v>
      </c>
      <c r="Q266" s="2">
        <f t="shared" ref="Q266:Q329" si="44">+O266/SUM(N266:O266)</f>
        <v>0.19698878357638336</v>
      </c>
      <c r="T266">
        <v>145918</v>
      </c>
      <c r="U266">
        <v>34329</v>
      </c>
      <c r="W266" s="2">
        <f t="shared" ref="W266:W329" si="45">+U266/SUM(T266:U266)</f>
        <v>0.19045531964470977</v>
      </c>
      <c r="Z266">
        <f t="shared" si="40"/>
        <v>332996</v>
      </c>
      <c r="AA266">
        <f t="shared" si="41"/>
        <v>110632</v>
      </c>
      <c r="AC266" s="2">
        <f t="shared" ref="AC266:AC329" si="46">+AA266/SUM(Z266:AA266)</f>
        <v>0.24938011126439269</v>
      </c>
      <c r="AD266" s="2"/>
      <c r="AE266">
        <f t="shared" ref="AE266:AE329" si="47">IFERROR(+I266+T266,I266)</f>
        <v>342246</v>
      </c>
      <c r="AF266">
        <f t="shared" ref="AF266:AF329" si="48">IFERROR(+J266+U266,J266)</f>
        <v>101127</v>
      </c>
      <c r="AH266" s="2">
        <f t="shared" ref="AH266:AH329" si="49">+AF266/SUM(AE266:AF266)</f>
        <v>0.22808560737798647</v>
      </c>
      <c r="AI266" s="2"/>
      <c r="AJ266" s="2"/>
    </row>
    <row r="267" spans="2:36" x14ac:dyDescent="0.25">
      <c r="B267" s="1">
        <v>41254</v>
      </c>
      <c r="C267">
        <v>181172</v>
      </c>
      <c r="D267">
        <v>97660</v>
      </c>
      <c r="F267" s="2">
        <f t="shared" si="42"/>
        <v>0.3502467435588455</v>
      </c>
      <c r="I267">
        <v>191979</v>
      </c>
      <c r="J267">
        <v>90108</v>
      </c>
      <c r="L267" s="2">
        <f t="shared" si="43"/>
        <v>0.31943336630188557</v>
      </c>
      <c r="N267">
        <v>133564</v>
      </c>
      <c r="O267">
        <v>40804</v>
      </c>
      <c r="Q267" s="2">
        <f t="shared" si="44"/>
        <v>0.23401082767480272</v>
      </c>
      <c r="T267">
        <v>133673</v>
      </c>
      <c r="U267">
        <v>38226</v>
      </c>
      <c r="W267" s="2">
        <f t="shared" si="45"/>
        <v>0.22237476657804875</v>
      </c>
      <c r="Z267">
        <f t="shared" si="40"/>
        <v>314736</v>
      </c>
      <c r="AA267">
        <f t="shared" si="41"/>
        <v>138464</v>
      </c>
      <c r="AC267" s="2">
        <f t="shared" si="46"/>
        <v>0.3055251544571933</v>
      </c>
      <c r="AD267" s="2"/>
      <c r="AE267">
        <f t="shared" si="47"/>
        <v>325652</v>
      </c>
      <c r="AF267">
        <f t="shared" si="48"/>
        <v>128334</v>
      </c>
      <c r="AH267" s="2">
        <f t="shared" si="49"/>
        <v>0.28268272589903654</v>
      </c>
      <c r="AI267" s="2"/>
      <c r="AJ267" s="2"/>
    </row>
    <row r="268" spans="2:36" x14ac:dyDescent="0.25">
      <c r="B268" s="1">
        <v>41261</v>
      </c>
      <c r="C268">
        <v>184629</v>
      </c>
      <c r="D268">
        <v>81606</v>
      </c>
      <c r="F268" s="2">
        <f t="shared" si="42"/>
        <v>0.3065186771085695</v>
      </c>
      <c r="I268">
        <v>195884</v>
      </c>
      <c r="J268">
        <v>74833</v>
      </c>
      <c r="L268" s="2">
        <f t="shared" si="43"/>
        <v>0.27642519679222216</v>
      </c>
      <c r="N268">
        <v>140423</v>
      </c>
      <c r="O268">
        <v>35439</v>
      </c>
      <c r="Q268" s="2">
        <f t="shared" si="44"/>
        <v>0.20151596137880839</v>
      </c>
      <c r="T268">
        <v>141579</v>
      </c>
      <c r="U268">
        <v>35441</v>
      </c>
      <c r="W268" s="2">
        <f t="shared" si="45"/>
        <v>0.20020901593040336</v>
      </c>
      <c r="Z268">
        <f t="shared" si="40"/>
        <v>325052</v>
      </c>
      <c r="AA268">
        <f t="shared" si="41"/>
        <v>117045</v>
      </c>
      <c r="AC268" s="2">
        <f t="shared" si="46"/>
        <v>0.26474959115307273</v>
      </c>
      <c r="AD268" s="2"/>
      <c r="AE268">
        <f t="shared" si="47"/>
        <v>337463</v>
      </c>
      <c r="AF268">
        <f t="shared" si="48"/>
        <v>110274</v>
      </c>
      <c r="AH268" s="2">
        <f t="shared" si="49"/>
        <v>0.24629190797276079</v>
      </c>
      <c r="AI268" s="2"/>
      <c r="AJ268" s="2"/>
    </row>
    <row r="269" spans="2:36" x14ac:dyDescent="0.25">
      <c r="B269" s="1">
        <v>41268</v>
      </c>
      <c r="C269">
        <v>185839</v>
      </c>
      <c r="D269">
        <v>68358</v>
      </c>
      <c r="F269" s="2">
        <f t="shared" si="42"/>
        <v>0.26891741444627593</v>
      </c>
      <c r="I269">
        <v>196637</v>
      </c>
      <c r="J269">
        <v>61803</v>
      </c>
      <c r="L269" s="2">
        <f t="shared" si="43"/>
        <v>0.23913867822318527</v>
      </c>
      <c r="N269">
        <v>156990</v>
      </c>
      <c r="O269">
        <v>32502</v>
      </c>
      <c r="Q269" s="2">
        <f t="shared" si="44"/>
        <v>0.17152175289721994</v>
      </c>
      <c r="T269">
        <v>157241</v>
      </c>
      <c r="U269">
        <v>31844</v>
      </c>
      <c r="W269" s="2">
        <f t="shared" si="45"/>
        <v>0.16841103207552158</v>
      </c>
      <c r="Z269">
        <f t="shared" si="40"/>
        <v>342829</v>
      </c>
      <c r="AA269">
        <f t="shared" si="41"/>
        <v>100860</v>
      </c>
      <c r="AC269" s="2">
        <f t="shared" si="46"/>
        <v>0.22732138953185677</v>
      </c>
      <c r="AD269" s="2"/>
      <c r="AE269">
        <f t="shared" si="47"/>
        <v>353878</v>
      </c>
      <c r="AF269">
        <f t="shared" si="48"/>
        <v>93647</v>
      </c>
      <c r="AH269" s="2">
        <f t="shared" si="49"/>
        <v>0.209255348863192</v>
      </c>
      <c r="AI269" s="2"/>
      <c r="AJ269" s="2"/>
    </row>
    <row r="270" spans="2:36" x14ac:dyDescent="0.25">
      <c r="B270" s="1">
        <v>41275</v>
      </c>
      <c r="C270">
        <v>188972</v>
      </c>
      <c r="D270">
        <v>52499</v>
      </c>
      <c r="F270" s="2">
        <f t="shared" si="42"/>
        <v>0.2174132711588555</v>
      </c>
      <c r="I270">
        <v>196662</v>
      </c>
      <c r="J270">
        <v>46769</v>
      </c>
      <c r="L270" s="2">
        <f t="shared" si="43"/>
        <v>0.1921242569763095</v>
      </c>
      <c r="N270">
        <v>167623</v>
      </c>
      <c r="O270">
        <v>30051</v>
      </c>
      <c r="Q270" s="2">
        <f t="shared" si="44"/>
        <v>0.15202302781347066</v>
      </c>
      <c r="T270">
        <v>169023</v>
      </c>
      <c r="U270">
        <v>29912</v>
      </c>
      <c r="W270" s="2">
        <f t="shared" si="45"/>
        <v>0.15036067057078945</v>
      </c>
      <c r="Z270">
        <f t="shared" si="40"/>
        <v>356595</v>
      </c>
      <c r="AA270">
        <f t="shared" si="41"/>
        <v>82550</v>
      </c>
      <c r="AC270" s="2">
        <f t="shared" si="46"/>
        <v>0.18797891357068849</v>
      </c>
      <c r="AD270" s="2"/>
      <c r="AE270">
        <f t="shared" si="47"/>
        <v>365685</v>
      </c>
      <c r="AF270">
        <f t="shared" si="48"/>
        <v>76681</v>
      </c>
      <c r="AH270" s="2">
        <f t="shared" si="49"/>
        <v>0.17334288801580591</v>
      </c>
      <c r="AI270" s="2"/>
      <c r="AJ270" s="2"/>
    </row>
    <row r="271" spans="2:36" x14ac:dyDescent="0.25">
      <c r="B271" s="1">
        <v>41282</v>
      </c>
      <c r="C271">
        <v>202209</v>
      </c>
      <c r="D271">
        <v>41045</v>
      </c>
      <c r="F271" s="2">
        <f t="shared" si="42"/>
        <v>0.16873309380318516</v>
      </c>
      <c r="I271">
        <v>206204</v>
      </c>
      <c r="J271">
        <v>38138</v>
      </c>
      <c r="L271" s="2">
        <f t="shared" si="43"/>
        <v>0.15608450450597933</v>
      </c>
      <c r="N271">
        <v>185105</v>
      </c>
      <c r="O271">
        <v>37404</v>
      </c>
      <c r="Q271" s="2">
        <f t="shared" si="44"/>
        <v>0.16810106557487561</v>
      </c>
      <c r="T271">
        <v>186430</v>
      </c>
      <c r="U271">
        <v>36394</v>
      </c>
      <c r="W271" s="2">
        <f t="shared" si="45"/>
        <v>0.16333070046314579</v>
      </c>
      <c r="Z271">
        <f t="shared" si="40"/>
        <v>387314</v>
      </c>
      <c r="AA271">
        <f t="shared" si="41"/>
        <v>78449</v>
      </c>
      <c r="AC271" s="2">
        <f t="shared" si="46"/>
        <v>0.16843115490066837</v>
      </c>
      <c r="AD271" s="2"/>
      <c r="AE271">
        <f t="shared" si="47"/>
        <v>392634</v>
      </c>
      <c r="AF271">
        <f t="shared" si="48"/>
        <v>74532</v>
      </c>
      <c r="AH271" s="2">
        <f t="shared" si="49"/>
        <v>0.15954072000102748</v>
      </c>
      <c r="AI271" s="2"/>
      <c r="AJ271" s="2"/>
    </row>
    <row r="272" spans="2:36" x14ac:dyDescent="0.25">
      <c r="B272" s="1">
        <v>41289</v>
      </c>
      <c r="C272">
        <v>209693</v>
      </c>
      <c r="D272">
        <v>37007</v>
      </c>
      <c r="F272" s="2">
        <f t="shared" si="42"/>
        <v>0.15000810701256587</v>
      </c>
      <c r="I272">
        <v>213084</v>
      </c>
      <c r="J272">
        <v>33835</v>
      </c>
      <c r="L272" s="2">
        <f t="shared" si="43"/>
        <v>0.1370287422191083</v>
      </c>
      <c r="N272">
        <v>187800</v>
      </c>
      <c r="O272">
        <v>49707</v>
      </c>
      <c r="Q272" s="2">
        <f t="shared" si="44"/>
        <v>0.20928646313582336</v>
      </c>
      <c r="T272">
        <v>189088</v>
      </c>
      <c r="U272">
        <v>45506</v>
      </c>
      <c r="W272" s="2">
        <f t="shared" si="45"/>
        <v>0.19397768058859136</v>
      </c>
      <c r="Z272">
        <f t="shared" si="40"/>
        <v>397493</v>
      </c>
      <c r="AA272">
        <f t="shared" si="41"/>
        <v>86714</v>
      </c>
      <c r="AC272" s="2">
        <f t="shared" si="46"/>
        <v>0.17908456507237608</v>
      </c>
      <c r="AD272" s="2"/>
      <c r="AE272">
        <f t="shared" si="47"/>
        <v>402172</v>
      </c>
      <c r="AF272">
        <f t="shared" si="48"/>
        <v>79341</v>
      </c>
      <c r="AH272" s="2">
        <f t="shared" si="49"/>
        <v>0.16477436746256072</v>
      </c>
      <c r="AI272" s="2"/>
      <c r="AJ272" s="2"/>
    </row>
    <row r="273" spans="2:36" x14ac:dyDescent="0.25">
      <c r="B273" s="1">
        <v>41296</v>
      </c>
      <c r="C273">
        <v>228075</v>
      </c>
      <c r="D273">
        <v>30667</v>
      </c>
      <c r="F273" s="2">
        <f t="shared" si="42"/>
        <v>0.11852347125708235</v>
      </c>
      <c r="I273">
        <v>234581</v>
      </c>
      <c r="J273">
        <v>28678</v>
      </c>
      <c r="L273" s="2">
        <f t="shared" si="43"/>
        <v>0.10893454734690931</v>
      </c>
      <c r="N273">
        <v>196309</v>
      </c>
      <c r="O273">
        <v>48497</v>
      </c>
      <c r="Q273" s="2">
        <f t="shared" si="44"/>
        <v>0.19810380464531099</v>
      </c>
      <c r="T273">
        <v>199069</v>
      </c>
      <c r="U273">
        <v>45156</v>
      </c>
      <c r="W273" s="2">
        <f t="shared" si="45"/>
        <v>0.18489507626164398</v>
      </c>
      <c r="Z273">
        <f t="shared" si="40"/>
        <v>424384</v>
      </c>
      <c r="AA273">
        <f t="shared" si="41"/>
        <v>79164</v>
      </c>
      <c r="AC273" s="2">
        <f t="shared" si="46"/>
        <v>0.15721242066297553</v>
      </c>
      <c r="AD273" s="2"/>
      <c r="AE273">
        <f t="shared" si="47"/>
        <v>433650</v>
      </c>
      <c r="AF273">
        <f t="shared" si="48"/>
        <v>73834</v>
      </c>
      <c r="AH273" s="2">
        <f t="shared" si="49"/>
        <v>0.14549030117205666</v>
      </c>
      <c r="AI273" s="2"/>
      <c r="AJ273" s="2"/>
    </row>
    <row r="274" spans="2:36" x14ac:dyDescent="0.25">
      <c r="B274" s="1">
        <v>41303</v>
      </c>
      <c r="C274">
        <v>232827</v>
      </c>
      <c r="D274">
        <v>25773</v>
      </c>
      <c r="F274" s="2">
        <f t="shared" si="42"/>
        <v>9.9663573085846863E-2</v>
      </c>
      <c r="I274">
        <v>241092</v>
      </c>
      <c r="J274">
        <v>22488</v>
      </c>
      <c r="L274" s="2">
        <f t="shared" si="43"/>
        <v>8.5317550648759385E-2</v>
      </c>
      <c r="N274">
        <v>214886</v>
      </c>
      <c r="O274">
        <v>42258</v>
      </c>
      <c r="Q274" s="2">
        <f t="shared" si="44"/>
        <v>0.16433593628472762</v>
      </c>
      <c r="T274">
        <v>218239</v>
      </c>
      <c r="U274">
        <v>38504</v>
      </c>
      <c r="W274" s="2">
        <f t="shared" si="45"/>
        <v>0.14997098265580755</v>
      </c>
      <c r="Z274">
        <f t="shared" si="40"/>
        <v>447713</v>
      </c>
      <c r="AA274">
        <f t="shared" si="41"/>
        <v>68031</v>
      </c>
      <c r="AC274" s="2">
        <f t="shared" si="46"/>
        <v>0.13190846621579699</v>
      </c>
      <c r="AD274" s="2"/>
      <c r="AE274">
        <f t="shared" si="47"/>
        <v>459331</v>
      </c>
      <c r="AF274">
        <f t="shared" si="48"/>
        <v>60992</v>
      </c>
      <c r="AH274" s="2">
        <f t="shared" si="49"/>
        <v>0.11721949635130487</v>
      </c>
      <c r="AI274" s="2"/>
      <c r="AJ274" s="2"/>
    </row>
    <row r="275" spans="2:36" x14ac:dyDescent="0.25">
      <c r="B275" s="1">
        <v>41310</v>
      </c>
      <c r="C275">
        <v>227589</v>
      </c>
      <c r="D275">
        <v>25756</v>
      </c>
      <c r="F275" s="2">
        <f t="shared" si="42"/>
        <v>0.10166373916990665</v>
      </c>
      <c r="I275">
        <v>235553</v>
      </c>
      <c r="J275">
        <v>23327</v>
      </c>
      <c r="L275" s="2">
        <f t="shared" si="43"/>
        <v>9.0107385661310255E-2</v>
      </c>
      <c r="N275">
        <v>227332</v>
      </c>
      <c r="O275">
        <v>43440</v>
      </c>
      <c r="Q275" s="2">
        <f t="shared" si="44"/>
        <v>0.16043017741864005</v>
      </c>
      <c r="T275">
        <v>232260</v>
      </c>
      <c r="U275">
        <v>40065</v>
      </c>
      <c r="W275" s="2">
        <f t="shared" si="45"/>
        <v>0.14712200495731204</v>
      </c>
      <c r="Z275">
        <f t="shared" si="40"/>
        <v>454921</v>
      </c>
      <c r="AA275">
        <f t="shared" si="41"/>
        <v>69196</v>
      </c>
      <c r="AC275" s="2">
        <f t="shared" si="46"/>
        <v>0.13202395648299903</v>
      </c>
      <c r="AD275" s="2"/>
      <c r="AE275">
        <f t="shared" si="47"/>
        <v>467813</v>
      </c>
      <c r="AF275">
        <f t="shared" si="48"/>
        <v>63392</v>
      </c>
      <c r="AH275" s="2">
        <f t="shared" si="49"/>
        <v>0.11933622612738962</v>
      </c>
      <c r="AI275" s="2"/>
      <c r="AJ275" s="2"/>
    </row>
    <row r="276" spans="2:36" x14ac:dyDescent="0.25">
      <c r="B276" s="1">
        <v>41317</v>
      </c>
      <c r="C276">
        <v>235696</v>
      </c>
      <c r="D276">
        <v>26131</v>
      </c>
      <c r="F276" s="2">
        <f t="shared" si="42"/>
        <v>9.9802541372738487E-2</v>
      </c>
      <c r="I276">
        <v>241141</v>
      </c>
      <c r="J276">
        <v>19607</v>
      </c>
      <c r="L276" s="2">
        <f t="shared" si="43"/>
        <v>7.5195207633423841E-2</v>
      </c>
      <c r="N276">
        <v>223916</v>
      </c>
      <c r="O276">
        <v>41973</v>
      </c>
      <c r="Q276" s="2">
        <f t="shared" si="44"/>
        <v>0.15785910661967964</v>
      </c>
      <c r="T276">
        <v>231904</v>
      </c>
      <c r="U276">
        <v>39750</v>
      </c>
      <c r="W276" s="2">
        <f t="shared" si="45"/>
        <v>0.14632584095945578</v>
      </c>
      <c r="Z276">
        <f t="shared" si="40"/>
        <v>459612</v>
      </c>
      <c r="AA276">
        <f t="shared" si="41"/>
        <v>68104</v>
      </c>
      <c r="AC276" s="2">
        <f t="shared" si="46"/>
        <v>0.12905426403595874</v>
      </c>
      <c r="AD276" s="2"/>
      <c r="AE276">
        <f t="shared" si="47"/>
        <v>473045</v>
      </c>
      <c r="AF276">
        <f t="shared" si="48"/>
        <v>59357</v>
      </c>
      <c r="AH276" s="2">
        <f t="shared" si="49"/>
        <v>0.11148906277587237</v>
      </c>
      <c r="AI276" s="2"/>
      <c r="AJ276" s="2"/>
    </row>
    <row r="277" spans="2:36" x14ac:dyDescent="0.25">
      <c r="B277" s="1">
        <v>41324</v>
      </c>
      <c r="C277">
        <v>215261</v>
      </c>
      <c r="D277">
        <v>33725</v>
      </c>
      <c r="F277" s="2">
        <f t="shared" si="42"/>
        <v>0.13544938269621584</v>
      </c>
      <c r="I277">
        <v>232271</v>
      </c>
      <c r="J277">
        <v>24270</v>
      </c>
      <c r="L277" s="2">
        <f t="shared" si="43"/>
        <v>9.4604761032349605E-2</v>
      </c>
      <c r="N277">
        <v>227132</v>
      </c>
      <c r="O277">
        <v>47812</v>
      </c>
      <c r="Q277" s="2">
        <f t="shared" si="44"/>
        <v>0.17389722998137802</v>
      </c>
      <c r="T277">
        <v>234150</v>
      </c>
      <c r="U277">
        <v>43449</v>
      </c>
      <c r="W277" s="2">
        <f t="shared" si="45"/>
        <v>0.15651713442771767</v>
      </c>
      <c r="Z277">
        <f t="shared" si="40"/>
        <v>442393</v>
      </c>
      <c r="AA277">
        <f t="shared" si="41"/>
        <v>81537</v>
      </c>
      <c r="AC277" s="2">
        <f t="shared" si="46"/>
        <v>0.15562575153169317</v>
      </c>
      <c r="AD277" s="2"/>
      <c r="AE277">
        <f t="shared" si="47"/>
        <v>466421</v>
      </c>
      <c r="AF277">
        <f t="shared" si="48"/>
        <v>67719</v>
      </c>
      <c r="AH277" s="2">
        <f t="shared" si="49"/>
        <v>0.1267813681806268</v>
      </c>
      <c r="AI277" s="2"/>
      <c r="AJ277" s="2"/>
    </row>
    <row r="278" spans="2:36" x14ac:dyDescent="0.25">
      <c r="B278" s="1">
        <v>41331</v>
      </c>
      <c r="C278">
        <v>198020</v>
      </c>
      <c r="D278">
        <v>47595</v>
      </c>
      <c r="F278" s="2">
        <f t="shared" si="42"/>
        <v>0.19377888158296522</v>
      </c>
      <c r="I278">
        <v>210834</v>
      </c>
      <c r="J278">
        <v>35623</v>
      </c>
      <c r="L278" s="2">
        <f t="shared" si="43"/>
        <v>0.14454042693045846</v>
      </c>
      <c r="N278">
        <v>207178</v>
      </c>
      <c r="O278">
        <v>57743</v>
      </c>
      <c r="Q278" s="2">
        <f t="shared" si="44"/>
        <v>0.21796309088369739</v>
      </c>
      <c r="T278">
        <v>210069</v>
      </c>
      <c r="U278">
        <v>50253</v>
      </c>
      <c r="W278" s="2">
        <f t="shared" si="45"/>
        <v>0.19304169451679073</v>
      </c>
      <c r="Z278">
        <f t="shared" si="40"/>
        <v>405198</v>
      </c>
      <c r="AA278">
        <f t="shared" si="41"/>
        <v>105338</v>
      </c>
      <c r="AC278" s="2">
        <f t="shared" si="46"/>
        <v>0.20632825109296896</v>
      </c>
      <c r="AD278" s="2"/>
      <c r="AE278">
        <f t="shared" si="47"/>
        <v>420903</v>
      </c>
      <c r="AF278">
        <f t="shared" si="48"/>
        <v>85876</v>
      </c>
      <c r="AH278" s="2">
        <f t="shared" si="49"/>
        <v>0.16945453540892577</v>
      </c>
      <c r="AI278" s="2"/>
      <c r="AJ278" s="2"/>
    </row>
    <row r="279" spans="2:36" x14ac:dyDescent="0.25">
      <c r="B279" s="1">
        <v>41338</v>
      </c>
      <c r="C279">
        <v>200350</v>
      </c>
      <c r="D279">
        <v>57320</v>
      </c>
      <c r="F279" s="2">
        <f t="shared" si="42"/>
        <v>0.22245507820079946</v>
      </c>
      <c r="I279">
        <v>212198</v>
      </c>
      <c r="J279">
        <v>44700</v>
      </c>
      <c r="L279" s="2">
        <f t="shared" si="43"/>
        <v>0.17399901906593279</v>
      </c>
      <c r="N279">
        <v>184726</v>
      </c>
      <c r="O279">
        <v>59308</v>
      </c>
      <c r="Q279" s="2">
        <f t="shared" si="44"/>
        <v>0.2430317086963292</v>
      </c>
      <c r="T279">
        <v>189356</v>
      </c>
      <c r="U279">
        <v>58128</v>
      </c>
      <c r="W279" s="2">
        <f t="shared" si="45"/>
        <v>0.23487578995005737</v>
      </c>
      <c r="Z279">
        <f t="shared" si="40"/>
        <v>385076</v>
      </c>
      <c r="AA279">
        <f t="shared" si="41"/>
        <v>116628</v>
      </c>
      <c r="AC279" s="2">
        <f t="shared" si="46"/>
        <v>0.2324637634940124</v>
      </c>
      <c r="AD279" s="2"/>
      <c r="AE279">
        <f t="shared" si="47"/>
        <v>401554</v>
      </c>
      <c r="AF279">
        <f t="shared" si="48"/>
        <v>102828</v>
      </c>
      <c r="AH279" s="2">
        <f t="shared" si="49"/>
        <v>0.20386928954641523</v>
      </c>
      <c r="AI279" s="2"/>
      <c r="AJ279" s="2"/>
    </row>
    <row r="280" spans="2:36" x14ac:dyDescent="0.25">
      <c r="B280" s="1">
        <v>41345</v>
      </c>
      <c r="C280">
        <v>204471</v>
      </c>
      <c r="D280">
        <v>59442</v>
      </c>
      <c r="F280" s="2">
        <f t="shared" si="42"/>
        <v>0.22523331552443418</v>
      </c>
      <c r="I280">
        <v>217004</v>
      </c>
      <c r="J280">
        <v>50060</v>
      </c>
      <c r="L280" s="2">
        <f t="shared" si="43"/>
        <v>0.18744570589821166</v>
      </c>
      <c r="N280">
        <v>179682</v>
      </c>
      <c r="O280">
        <v>65069</v>
      </c>
      <c r="Q280" s="2">
        <f t="shared" si="44"/>
        <v>0.26585795359365233</v>
      </c>
      <c r="T280">
        <v>181699</v>
      </c>
      <c r="U280">
        <v>62267</v>
      </c>
      <c r="W280" s="2">
        <f t="shared" si="45"/>
        <v>0.25522818753432858</v>
      </c>
      <c r="Z280">
        <f t="shared" si="40"/>
        <v>384153</v>
      </c>
      <c r="AA280">
        <f t="shared" si="41"/>
        <v>124511</v>
      </c>
      <c r="AC280" s="2">
        <f t="shared" si="46"/>
        <v>0.24478044445842442</v>
      </c>
      <c r="AD280" s="2"/>
      <c r="AE280">
        <f t="shared" si="47"/>
        <v>398703</v>
      </c>
      <c r="AF280">
        <f t="shared" si="48"/>
        <v>112327</v>
      </c>
      <c r="AH280" s="2">
        <f t="shared" si="49"/>
        <v>0.21980509950492144</v>
      </c>
      <c r="AI280" s="2"/>
      <c r="AJ280" s="2"/>
    </row>
    <row r="281" spans="2:36" x14ac:dyDescent="0.25">
      <c r="B281" s="1">
        <v>41352</v>
      </c>
      <c r="C281">
        <v>200592</v>
      </c>
      <c r="D281">
        <v>50279</v>
      </c>
      <c r="F281" s="2">
        <f t="shared" si="42"/>
        <v>0.20041774457789063</v>
      </c>
      <c r="I281">
        <v>215422</v>
      </c>
      <c r="J281">
        <v>43154</v>
      </c>
      <c r="L281" s="2">
        <f t="shared" si="43"/>
        <v>0.16689097209331105</v>
      </c>
      <c r="N281">
        <v>183136</v>
      </c>
      <c r="O281">
        <v>62008</v>
      </c>
      <c r="Q281" s="2">
        <f t="shared" si="44"/>
        <v>0.25294520771464934</v>
      </c>
      <c r="T281">
        <v>184364</v>
      </c>
      <c r="U281">
        <v>57950</v>
      </c>
      <c r="W281" s="2">
        <f t="shared" si="45"/>
        <v>0.23915250460146753</v>
      </c>
      <c r="Z281">
        <f t="shared" si="40"/>
        <v>383728</v>
      </c>
      <c r="AA281">
        <f t="shared" si="41"/>
        <v>112287</v>
      </c>
      <c r="AC281" s="2">
        <f t="shared" si="46"/>
        <v>0.2263782345291977</v>
      </c>
      <c r="AD281" s="2"/>
      <c r="AE281">
        <f t="shared" si="47"/>
        <v>399786</v>
      </c>
      <c r="AF281">
        <f t="shared" si="48"/>
        <v>101104</v>
      </c>
      <c r="AH281" s="2">
        <f t="shared" si="49"/>
        <v>0.20184870929745055</v>
      </c>
      <c r="AI281" s="2"/>
      <c r="AJ281" s="2"/>
    </row>
    <row r="282" spans="2:36" x14ac:dyDescent="0.25">
      <c r="B282" s="1">
        <v>41359</v>
      </c>
      <c r="C282">
        <v>213640</v>
      </c>
      <c r="D282">
        <v>37766</v>
      </c>
      <c r="F282" s="2">
        <f t="shared" si="42"/>
        <v>0.15021916740252819</v>
      </c>
      <c r="I282">
        <v>232478</v>
      </c>
      <c r="J282">
        <v>33349</v>
      </c>
      <c r="L282" s="2">
        <f t="shared" si="43"/>
        <v>0.12545377256636836</v>
      </c>
      <c r="N282">
        <v>189497</v>
      </c>
      <c r="O282">
        <v>62763</v>
      </c>
      <c r="Q282" s="2">
        <f t="shared" si="44"/>
        <v>0.24880282248473798</v>
      </c>
      <c r="T282">
        <v>191299</v>
      </c>
      <c r="U282">
        <v>60826</v>
      </c>
      <c r="W282" s="2">
        <f t="shared" si="45"/>
        <v>0.24125334655428854</v>
      </c>
      <c r="Z282">
        <f t="shared" si="40"/>
        <v>403137</v>
      </c>
      <c r="AA282">
        <f t="shared" si="41"/>
        <v>100529</v>
      </c>
      <c r="AC282" s="2">
        <f t="shared" si="46"/>
        <v>0.19959457259374269</v>
      </c>
      <c r="AD282" s="2"/>
      <c r="AE282">
        <f t="shared" si="47"/>
        <v>423777</v>
      </c>
      <c r="AF282">
        <f t="shared" si="48"/>
        <v>94175</v>
      </c>
      <c r="AH282" s="2">
        <f t="shared" si="49"/>
        <v>0.18182186766341282</v>
      </c>
      <c r="AI282" s="2"/>
      <c r="AJ282" s="2"/>
    </row>
    <row r="283" spans="2:36" x14ac:dyDescent="0.25">
      <c r="B283" s="1">
        <v>41366</v>
      </c>
      <c r="C283">
        <v>215348</v>
      </c>
      <c r="D283">
        <v>34552</v>
      </c>
      <c r="F283" s="2">
        <f t="shared" si="42"/>
        <v>0.13826330532212885</v>
      </c>
      <c r="I283">
        <v>236522</v>
      </c>
      <c r="J283">
        <v>31112</v>
      </c>
      <c r="L283" s="2">
        <f t="shared" si="43"/>
        <v>0.116248309258166</v>
      </c>
      <c r="N283">
        <v>198944</v>
      </c>
      <c r="O283">
        <v>62059</v>
      </c>
      <c r="Q283" s="2">
        <f t="shared" si="44"/>
        <v>0.23777121335770088</v>
      </c>
      <c r="T283">
        <v>202487</v>
      </c>
      <c r="U283">
        <v>60395</v>
      </c>
      <c r="W283" s="2">
        <f t="shared" si="45"/>
        <v>0.22974186136745764</v>
      </c>
      <c r="Z283">
        <f t="shared" si="40"/>
        <v>414292</v>
      </c>
      <c r="AA283">
        <f t="shared" si="41"/>
        <v>96611</v>
      </c>
      <c r="AC283" s="2">
        <f t="shared" si="46"/>
        <v>0.18909851772254224</v>
      </c>
      <c r="AD283" s="2"/>
      <c r="AE283">
        <f t="shared" si="47"/>
        <v>439009</v>
      </c>
      <c r="AF283">
        <f t="shared" si="48"/>
        <v>91507</v>
      </c>
      <c r="AH283" s="2">
        <f t="shared" si="49"/>
        <v>0.17248678644941906</v>
      </c>
      <c r="AI283" s="2"/>
      <c r="AJ283" s="2"/>
    </row>
    <row r="284" spans="2:36" x14ac:dyDescent="0.25">
      <c r="B284" s="1">
        <v>41373</v>
      </c>
      <c r="C284">
        <v>208268</v>
      </c>
      <c r="D284">
        <v>36637</v>
      </c>
      <c r="F284" s="2">
        <f t="shared" si="42"/>
        <v>0.1495967824258386</v>
      </c>
      <c r="I284">
        <v>228996</v>
      </c>
      <c r="J284">
        <v>32666</v>
      </c>
      <c r="L284" s="2">
        <f t="shared" si="43"/>
        <v>0.12484044301427032</v>
      </c>
      <c r="N284">
        <v>177176</v>
      </c>
      <c r="O284">
        <v>67811</v>
      </c>
      <c r="Q284" s="2">
        <f t="shared" si="44"/>
        <v>0.27679427888010383</v>
      </c>
      <c r="T284">
        <v>178699</v>
      </c>
      <c r="U284">
        <v>61819</v>
      </c>
      <c r="W284" s="2">
        <f t="shared" si="45"/>
        <v>0.25702442228856054</v>
      </c>
      <c r="Z284">
        <f t="shared" si="40"/>
        <v>385444</v>
      </c>
      <c r="AA284">
        <f t="shared" si="41"/>
        <v>104448</v>
      </c>
      <c r="AC284" s="2">
        <f t="shared" si="46"/>
        <v>0.21320617605513051</v>
      </c>
      <c r="AD284" s="2"/>
      <c r="AE284">
        <f t="shared" si="47"/>
        <v>407695</v>
      </c>
      <c r="AF284">
        <f t="shared" si="48"/>
        <v>94485</v>
      </c>
      <c r="AH284" s="2">
        <f t="shared" si="49"/>
        <v>0.18814966744991835</v>
      </c>
      <c r="AI284" s="2"/>
      <c r="AJ284" s="2"/>
    </row>
    <row r="285" spans="2:36" x14ac:dyDescent="0.25">
      <c r="B285" s="1">
        <v>41380</v>
      </c>
      <c r="C285">
        <v>209132</v>
      </c>
      <c r="D285">
        <v>48470</v>
      </c>
      <c r="F285" s="2">
        <f t="shared" si="42"/>
        <v>0.18815847703045785</v>
      </c>
      <c r="I285">
        <v>225010</v>
      </c>
      <c r="J285">
        <v>41978</v>
      </c>
      <c r="L285" s="2">
        <f t="shared" si="43"/>
        <v>0.1572280402115451</v>
      </c>
      <c r="N285">
        <v>168991</v>
      </c>
      <c r="O285">
        <v>66916</v>
      </c>
      <c r="Q285" s="2">
        <f t="shared" si="44"/>
        <v>0.28365415184797399</v>
      </c>
      <c r="T285">
        <v>172368</v>
      </c>
      <c r="U285">
        <v>64268</v>
      </c>
      <c r="W285" s="2">
        <f t="shared" si="45"/>
        <v>0.27159012153687517</v>
      </c>
      <c r="Z285">
        <f t="shared" si="40"/>
        <v>378123</v>
      </c>
      <c r="AA285">
        <f t="shared" si="41"/>
        <v>115386</v>
      </c>
      <c r="AC285" s="2">
        <f t="shared" si="46"/>
        <v>0.23380728618930963</v>
      </c>
      <c r="AD285" s="2"/>
      <c r="AE285">
        <f t="shared" si="47"/>
        <v>397378</v>
      </c>
      <c r="AF285">
        <f t="shared" si="48"/>
        <v>106246</v>
      </c>
      <c r="AH285" s="2">
        <f t="shared" si="49"/>
        <v>0.21096294060648421</v>
      </c>
      <c r="AI285" s="2"/>
      <c r="AJ285" s="2"/>
    </row>
    <row r="286" spans="2:36" x14ac:dyDescent="0.25">
      <c r="B286" s="1">
        <v>41387</v>
      </c>
      <c r="C286">
        <v>227376</v>
      </c>
      <c r="D286">
        <v>63680</v>
      </c>
      <c r="F286" s="2">
        <f t="shared" si="42"/>
        <v>0.21878951129679511</v>
      </c>
      <c r="I286">
        <v>241608</v>
      </c>
      <c r="J286">
        <v>59200</v>
      </c>
      <c r="L286" s="2">
        <f t="shared" si="43"/>
        <v>0.19680327650860349</v>
      </c>
      <c r="N286">
        <v>169621</v>
      </c>
      <c r="O286">
        <v>74330</v>
      </c>
      <c r="Q286" s="2">
        <f t="shared" si="44"/>
        <v>0.304692335755951</v>
      </c>
      <c r="T286">
        <v>175633</v>
      </c>
      <c r="U286">
        <v>76506</v>
      </c>
      <c r="W286" s="2">
        <f t="shared" si="45"/>
        <v>0.30342787113457259</v>
      </c>
      <c r="Z286">
        <f t="shared" si="40"/>
        <v>396997</v>
      </c>
      <c r="AA286">
        <f t="shared" si="41"/>
        <v>138010</v>
      </c>
      <c r="AC286" s="2">
        <f t="shared" si="46"/>
        <v>0.25795924165478207</v>
      </c>
      <c r="AD286" s="2"/>
      <c r="AE286">
        <f t="shared" si="47"/>
        <v>417241</v>
      </c>
      <c r="AF286">
        <f t="shared" si="48"/>
        <v>135706</v>
      </c>
      <c r="AH286" s="2">
        <f t="shared" si="49"/>
        <v>0.24542315990501803</v>
      </c>
      <c r="AI286" s="2"/>
      <c r="AJ286" s="2"/>
    </row>
    <row r="287" spans="2:36" x14ac:dyDescent="0.25">
      <c r="B287" s="1">
        <v>41394</v>
      </c>
      <c r="C287">
        <v>225224</v>
      </c>
      <c r="D287">
        <v>53109</v>
      </c>
      <c r="F287" s="2">
        <f t="shared" si="42"/>
        <v>0.19081100695928976</v>
      </c>
      <c r="I287">
        <v>245648</v>
      </c>
      <c r="J287">
        <v>51686</v>
      </c>
      <c r="L287" s="2">
        <f t="shared" si="43"/>
        <v>0.17383144880841075</v>
      </c>
      <c r="N287">
        <v>180440</v>
      </c>
      <c r="O287">
        <v>72241</v>
      </c>
      <c r="Q287" s="2">
        <f t="shared" si="44"/>
        <v>0.28589802953130627</v>
      </c>
      <c r="T287">
        <v>184194</v>
      </c>
      <c r="U287">
        <v>75453</v>
      </c>
      <c r="W287" s="2">
        <f t="shared" si="45"/>
        <v>0.29059838935169674</v>
      </c>
      <c r="Z287">
        <f t="shared" si="40"/>
        <v>405664</v>
      </c>
      <c r="AA287">
        <f t="shared" si="41"/>
        <v>125350</v>
      </c>
      <c r="AC287" s="2">
        <f t="shared" si="46"/>
        <v>0.23605780638551901</v>
      </c>
      <c r="AD287" s="2"/>
      <c r="AE287">
        <f t="shared" si="47"/>
        <v>429842</v>
      </c>
      <c r="AF287">
        <f t="shared" si="48"/>
        <v>127139</v>
      </c>
      <c r="AH287" s="2">
        <f t="shared" si="49"/>
        <v>0.228264518897413</v>
      </c>
      <c r="AI287" s="2"/>
      <c r="AJ287" s="2"/>
    </row>
    <row r="288" spans="2:36" x14ac:dyDescent="0.25">
      <c r="B288" s="1">
        <v>41401</v>
      </c>
      <c r="C288">
        <v>224475</v>
      </c>
      <c r="D288">
        <v>37085</v>
      </c>
      <c r="F288" s="2">
        <f t="shared" si="42"/>
        <v>0.14178391191313658</v>
      </c>
      <c r="I288">
        <v>245307</v>
      </c>
      <c r="J288">
        <v>40773</v>
      </c>
      <c r="L288" s="2">
        <f t="shared" si="43"/>
        <v>0.14252307046979865</v>
      </c>
      <c r="N288">
        <v>180308</v>
      </c>
      <c r="O288">
        <v>57854</v>
      </c>
      <c r="Q288" s="2">
        <f t="shared" si="44"/>
        <v>0.2429186856005576</v>
      </c>
      <c r="T288">
        <v>183960</v>
      </c>
      <c r="U288">
        <v>59925</v>
      </c>
      <c r="W288" s="2">
        <f t="shared" si="45"/>
        <v>0.24571006826988129</v>
      </c>
      <c r="Z288">
        <f t="shared" si="40"/>
        <v>404783</v>
      </c>
      <c r="AA288">
        <f t="shared" si="41"/>
        <v>94939</v>
      </c>
      <c r="AC288" s="2">
        <f t="shared" si="46"/>
        <v>0.18998363089877973</v>
      </c>
      <c r="AD288" s="2"/>
      <c r="AE288">
        <f t="shared" si="47"/>
        <v>429267</v>
      </c>
      <c r="AF288">
        <f t="shared" si="48"/>
        <v>100698</v>
      </c>
      <c r="AH288" s="2">
        <f t="shared" si="49"/>
        <v>0.1900087741643316</v>
      </c>
      <c r="AI288" s="2"/>
      <c r="AJ288" s="2"/>
    </row>
    <row r="289" spans="2:36" x14ac:dyDescent="0.25">
      <c r="B289" s="1">
        <v>41408</v>
      </c>
      <c r="C289">
        <v>227380</v>
      </c>
      <c r="D289">
        <v>32300</v>
      </c>
      <c r="F289" s="2">
        <f t="shared" si="42"/>
        <v>0.12438385705483672</v>
      </c>
      <c r="I289">
        <v>243971</v>
      </c>
      <c r="J289">
        <v>38831</v>
      </c>
      <c r="L289" s="2">
        <f t="shared" si="43"/>
        <v>0.13730808127240968</v>
      </c>
      <c r="N289">
        <v>179960</v>
      </c>
      <c r="O289">
        <v>52364</v>
      </c>
      <c r="Q289" s="2">
        <f t="shared" si="44"/>
        <v>0.22539212479123982</v>
      </c>
      <c r="T289">
        <v>184095</v>
      </c>
      <c r="U289">
        <v>53876</v>
      </c>
      <c r="W289" s="2">
        <f t="shared" si="45"/>
        <v>0.2263973341289485</v>
      </c>
      <c r="Z289">
        <f t="shared" si="40"/>
        <v>407340</v>
      </c>
      <c r="AA289">
        <f t="shared" si="41"/>
        <v>84664</v>
      </c>
      <c r="AC289" s="2">
        <f t="shared" si="46"/>
        <v>0.17207990178941635</v>
      </c>
      <c r="AD289" s="2"/>
      <c r="AE289">
        <f t="shared" si="47"/>
        <v>428066</v>
      </c>
      <c r="AF289">
        <f t="shared" si="48"/>
        <v>92707</v>
      </c>
      <c r="AH289" s="2">
        <f t="shared" si="49"/>
        <v>0.17801806161225717</v>
      </c>
      <c r="AI289" s="2"/>
      <c r="AJ289" s="2"/>
    </row>
    <row r="290" spans="2:36" x14ac:dyDescent="0.25">
      <c r="B290" s="1">
        <v>41415</v>
      </c>
      <c r="C290">
        <v>247573</v>
      </c>
      <c r="D290">
        <v>33824</v>
      </c>
      <c r="F290" s="2">
        <f t="shared" si="42"/>
        <v>0.12020028642807137</v>
      </c>
      <c r="I290">
        <v>267180</v>
      </c>
      <c r="J290">
        <v>35386</v>
      </c>
      <c r="L290" s="2">
        <f t="shared" si="43"/>
        <v>0.1169529953795205</v>
      </c>
      <c r="N290">
        <v>194614</v>
      </c>
      <c r="O290">
        <v>51449</v>
      </c>
      <c r="Q290" s="2">
        <f t="shared" si="44"/>
        <v>0.20908872930916067</v>
      </c>
      <c r="T290">
        <v>198802</v>
      </c>
      <c r="U290">
        <v>52123</v>
      </c>
      <c r="W290" s="2">
        <f t="shared" si="45"/>
        <v>0.20772342333366545</v>
      </c>
      <c r="Z290">
        <f t="shared" si="40"/>
        <v>442187</v>
      </c>
      <c r="AA290">
        <f t="shared" si="41"/>
        <v>85273</v>
      </c>
      <c r="AC290" s="2">
        <f t="shared" si="46"/>
        <v>0.1616672354301748</v>
      </c>
      <c r="AD290" s="2"/>
      <c r="AE290">
        <f t="shared" si="47"/>
        <v>465982</v>
      </c>
      <c r="AF290">
        <f t="shared" si="48"/>
        <v>87509</v>
      </c>
      <c r="AH290" s="2">
        <f t="shared" si="49"/>
        <v>0.15810374513768066</v>
      </c>
      <c r="AI290" s="2"/>
      <c r="AJ290" s="2"/>
    </row>
    <row r="291" spans="2:36" x14ac:dyDescent="0.25">
      <c r="B291" s="1">
        <v>41422</v>
      </c>
      <c r="C291">
        <v>238439</v>
      </c>
      <c r="D291">
        <v>35643</v>
      </c>
      <c r="F291" s="2">
        <f t="shared" si="42"/>
        <v>0.13004502302230719</v>
      </c>
      <c r="I291">
        <v>256161</v>
      </c>
      <c r="J291">
        <v>38630</v>
      </c>
      <c r="L291" s="2">
        <f t="shared" si="43"/>
        <v>0.13104199246245646</v>
      </c>
      <c r="N291">
        <v>209961</v>
      </c>
      <c r="O291">
        <v>50351</v>
      </c>
      <c r="Q291" s="2">
        <f t="shared" si="44"/>
        <v>0.19342558160976059</v>
      </c>
      <c r="T291">
        <v>212725</v>
      </c>
      <c r="U291">
        <v>51175</v>
      </c>
      <c r="W291" s="2">
        <f t="shared" si="45"/>
        <v>0.19391815081470254</v>
      </c>
      <c r="Z291">
        <f t="shared" si="40"/>
        <v>448400</v>
      </c>
      <c r="AA291">
        <f t="shared" si="41"/>
        <v>85994</v>
      </c>
      <c r="AC291" s="2">
        <f t="shared" si="46"/>
        <v>0.16091872288985282</v>
      </c>
      <c r="AD291" s="2"/>
      <c r="AE291">
        <f t="shared" si="47"/>
        <v>468886</v>
      </c>
      <c r="AF291">
        <f t="shared" si="48"/>
        <v>89805</v>
      </c>
      <c r="AH291" s="2">
        <f t="shared" si="49"/>
        <v>0.16074180539869087</v>
      </c>
      <c r="AI291" s="2"/>
      <c r="AJ291" s="2"/>
    </row>
    <row r="292" spans="2:36" x14ac:dyDescent="0.25">
      <c r="B292" s="1">
        <v>41429</v>
      </c>
      <c r="C292">
        <v>238624</v>
      </c>
      <c r="D292">
        <v>38889</v>
      </c>
      <c r="F292" s="2">
        <f t="shared" si="42"/>
        <v>0.14013397570564262</v>
      </c>
      <c r="I292">
        <v>253589</v>
      </c>
      <c r="J292">
        <v>41462</v>
      </c>
      <c r="L292" s="2">
        <f t="shared" si="43"/>
        <v>0.14052485841430803</v>
      </c>
      <c r="N292">
        <v>215234</v>
      </c>
      <c r="O292">
        <v>49516</v>
      </c>
      <c r="Q292" s="2">
        <f t="shared" si="44"/>
        <v>0.18702927289896129</v>
      </c>
      <c r="T292">
        <v>215097</v>
      </c>
      <c r="U292">
        <v>50193</v>
      </c>
      <c r="W292" s="2">
        <f t="shared" si="45"/>
        <v>0.18920049756869842</v>
      </c>
      <c r="Z292">
        <f t="shared" si="40"/>
        <v>453858</v>
      </c>
      <c r="AA292">
        <f t="shared" si="41"/>
        <v>88405</v>
      </c>
      <c r="AC292" s="2">
        <f t="shared" si="46"/>
        <v>0.16302974755791932</v>
      </c>
      <c r="AD292" s="2"/>
      <c r="AE292">
        <f t="shared" si="47"/>
        <v>468686</v>
      </c>
      <c r="AF292">
        <f t="shared" si="48"/>
        <v>91655</v>
      </c>
      <c r="AH292" s="2">
        <f t="shared" si="49"/>
        <v>0.16357004038612202</v>
      </c>
      <c r="AI292" s="2"/>
      <c r="AJ292" s="2"/>
    </row>
    <row r="293" spans="2:36" x14ac:dyDescent="0.25">
      <c r="B293" s="1">
        <v>41436</v>
      </c>
      <c r="C293">
        <v>248569</v>
      </c>
      <c r="D293">
        <v>32612</v>
      </c>
      <c r="F293" s="2">
        <f t="shared" si="42"/>
        <v>0.11598223208538272</v>
      </c>
      <c r="I293">
        <v>264879</v>
      </c>
      <c r="J293">
        <v>32606</v>
      </c>
      <c r="L293" s="2">
        <f t="shared" si="43"/>
        <v>0.10960552632905861</v>
      </c>
      <c r="N293">
        <v>210860</v>
      </c>
      <c r="O293">
        <v>54553</v>
      </c>
      <c r="Q293" s="2">
        <f t="shared" si="44"/>
        <v>0.20554004513720125</v>
      </c>
      <c r="T293">
        <v>215040</v>
      </c>
      <c r="U293">
        <v>55007</v>
      </c>
      <c r="W293" s="2">
        <f t="shared" si="45"/>
        <v>0.20369417175528703</v>
      </c>
      <c r="Z293">
        <f t="shared" si="40"/>
        <v>459429</v>
      </c>
      <c r="AA293">
        <f t="shared" si="41"/>
        <v>87165</v>
      </c>
      <c r="AC293" s="2">
        <f t="shared" si="46"/>
        <v>0.15946936848922599</v>
      </c>
      <c r="AD293" s="2"/>
      <c r="AE293">
        <f t="shared" si="47"/>
        <v>479919</v>
      </c>
      <c r="AF293">
        <f t="shared" si="48"/>
        <v>87613</v>
      </c>
      <c r="AH293" s="2">
        <f t="shared" si="49"/>
        <v>0.15437543609875742</v>
      </c>
      <c r="AI293" s="2"/>
      <c r="AJ293" s="2"/>
    </row>
    <row r="294" spans="2:36" x14ac:dyDescent="0.25">
      <c r="B294" s="1">
        <v>41443</v>
      </c>
      <c r="C294">
        <v>268324</v>
      </c>
      <c r="D294">
        <v>26870</v>
      </c>
      <c r="F294" s="2">
        <f t="shared" si="42"/>
        <v>9.1024885329647628E-2</v>
      </c>
      <c r="I294">
        <v>288746</v>
      </c>
      <c r="J294">
        <v>26507</v>
      </c>
      <c r="L294" s="2">
        <f t="shared" si="43"/>
        <v>8.4081674083989685E-2</v>
      </c>
      <c r="N294">
        <v>231769</v>
      </c>
      <c r="O294">
        <v>49834</v>
      </c>
      <c r="Q294" s="2">
        <f t="shared" si="44"/>
        <v>0.17696544426018188</v>
      </c>
      <c r="T294">
        <v>237292</v>
      </c>
      <c r="U294">
        <v>51639</v>
      </c>
      <c r="W294" s="2">
        <f t="shared" si="45"/>
        <v>0.17872433210697364</v>
      </c>
      <c r="Z294">
        <f t="shared" si="40"/>
        <v>500093</v>
      </c>
      <c r="AA294">
        <f t="shared" si="41"/>
        <v>76704</v>
      </c>
      <c r="AC294" s="2">
        <f t="shared" si="46"/>
        <v>0.13298266114421539</v>
      </c>
      <c r="AD294" s="2"/>
      <c r="AE294">
        <f t="shared" si="47"/>
        <v>526038</v>
      </c>
      <c r="AF294">
        <f t="shared" si="48"/>
        <v>78146</v>
      </c>
      <c r="AH294" s="2">
        <f t="shared" si="49"/>
        <v>0.12934139268832012</v>
      </c>
      <c r="AI294" s="2"/>
      <c r="AJ294" s="2"/>
    </row>
    <row r="295" spans="2:36" x14ac:dyDescent="0.25">
      <c r="B295" s="1">
        <v>41450</v>
      </c>
      <c r="C295">
        <v>246278</v>
      </c>
      <c r="D295">
        <v>25189</v>
      </c>
      <c r="F295" s="2">
        <f t="shared" si="42"/>
        <v>9.2788442057413975E-2</v>
      </c>
      <c r="I295">
        <v>260243</v>
      </c>
      <c r="J295">
        <v>28049</v>
      </c>
      <c r="L295" s="2">
        <f t="shared" si="43"/>
        <v>9.72937160934053E-2</v>
      </c>
      <c r="N295">
        <v>192244</v>
      </c>
      <c r="O295">
        <v>54688</v>
      </c>
      <c r="Q295" s="2">
        <f t="shared" si="44"/>
        <v>0.22146987834707532</v>
      </c>
      <c r="T295">
        <v>193893</v>
      </c>
      <c r="U295">
        <v>57084</v>
      </c>
      <c r="W295" s="2">
        <f t="shared" si="45"/>
        <v>0.22744713659020549</v>
      </c>
      <c r="Z295">
        <f t="shared" si="40"/>
        <v>438522</v>
      </c>
      <c r="AA295">
        <f t="shared" si="41"/>
        <v>79877</v>
      </c>
      <c r="AC295" s="2">
        <f t="shared" si="46"/>
        <v>0.15408401636577232</v>
      </c>
      <c r="AD295" s="2"/>
      <c r="AE295">
        <f t="shared" si="47"/>
        <v>454136</v>
      </c>
      <c r="AF295">
        <f t="shared" si="48"/>
        <v>85133</v>
      </c>
      <c r="AH295" s="2">
        <f t="shared" si="49"/>
        <v>0.15786740940050328</v>
      </c>
      <c r="AI295" s="2"/>
      <c r="AJ295" s="2"/>
    </row>
    <row r="296" spans="2:36" x14ac:dyDescent="0.25">
      <c r="B296" s="1">
        <v>41457</v>
      </c>
      <c r="C296">
        <v>272728</v>
      </c>
      <c r="D296">
        <v>28849</v>
      </c>
      <c r="F296" s="2">
        <f t="shared" si="42"/>
        <v>9.5660478086856751E-2</v>
      </c>
      <c r="I296">
        <v>291656</v>
      </c>
      <c r="J296">
        <v>28013</v>
      </c>
      <c r="L296" s="2">
        <f t="shared" si="43"/>
        <v>8.7631268593451356E-2</v>
      </c>
      <c r="N296">
        <v>196157</v>
      </c>
      <c r="O296">
        <v>52011</v>
      </c>
      <c r="Q296" s="2">
        <f t="shared" si="44"/>
        <v>0.2095798007801167</v>
      </c>
      <c r="T296">
        <v>200671</v>
      </c>
      <c r="U296">
        <v>52141</v>
      </c>
      <c r="W296" s="2">
        <f t="shared" si="45"/>
        <v>0.20624416562504944</v>
      </c>
      <c r="Z296">
        <f t="shared" si="40"/>
        <v>468885</v>
      </c>
      <c r="AA296">
        <f t="shared" si="41"/>
        <v>80860</v>
      </c>
      <c r="AC296" s="2">
        <f t="shared" si="46"/>
        <v>0.1470863764108814</v>
      </c>
      <c r="AD296" s="2"/>
      <c r="AE296">
        <f t="shared" si="47"/>
        <v>492327</v>
      </c>
      <c r="AF296">
        <f t="shared" si="48"/>
        <v>80154</v>
      </c>
      <c r="AH296" s="2">
        <f t="shared" si="49"/>
        <v>0.14001163357386534</v>
      </c>
      <c r="AI296" s="2"/>
      <c r="AJ296" s="2"/>
    </row>
    <row r="297" spans="2:36" x14ac:dyDescent="0.25">
      <c r="B297" s="1">
        <v>41464</v>
      </c>
      <c r="C297">
        <v>287615</v>
      </c>
      <c r="D297">
        <v>30791</v>
      </c>
      <c r="F297" s="2">
        <f t="shared" si="42"/>
        <v>9.6703579706412565E-2</v>
      </c>
      <c r="I297">
        <v>310552</v>
      </c>
      <c r="J297">
        <v>28634</v>
      </c>
      <c r="L297" s="2">
        <f t="shared" si="43"/>
        <v>8.4419757890950686E-2</v>
      </c>
      <c r="N297">
        <v>217685</v>
      </c>
      <c r="O297">
        <v>49146</v>
      </c>
      <c r="Q297" s="2">
        <f t="shared" si="44"/>
        <v>0.18418399661208781</v>
      </c>
      <c r="T297">
        <v>225406</v>
      </c>
      <c r="U297">
        <v>48418</v>
      </c>
      <c r="W297" s="2">
        <f t="shared" si="45"/>
        <v>0.176821608040201</v>
      </c>
      <c r="Z297">
        <f t="shared" si="40"/>
        <v>505300</v>
      </c>
      <c r="AA297">
        <f t="shared" si="41"/>
        <v>79937</v>
      </c>
      <c r="AC297" s="2">
        <f t="shared" si="46"/>
        <v>0.13658910834414092</v>
      </c>
      <c r="AD297" s="2"/>
      <c r="AE297">
        <f t="shared" si="47"/>
        <v>535958</v>
      </c>
      <c r="AF297">
        <f t="shared" si="48"/>
        <v>77052</v>
      </c>
      <c r="AH297" s="2">
        <f t="shared" si="49"/>
        <v>0.12569452374349521</v>
      </c>
      <c r="AI297" s="2"/>
      <c r="AJ297" s="2"/>
    </row>
    <row r="298" spans="2:36" x14ac:dyDescent="0.25">
      <c r="B298" s="1">
        <v>41471</v>
      </c>
      <c r="C298">
        <v>303124</v>
      </c>
      <c r="D298">
        <v>27302</v>
      </c>
      <c r="F298" s="2">
        <f t="shared" si="42"/>
        <v>8.2626669814118744E-2</v>
      </c>
      <c r="I298">
        <v>330978</v>
      </c>
      <c r="J298">
        <v>26595</v>
      </c>
      <c r="L298" s="2">
        <f t="shared" si="43"/>
        <v>7.4376421038501228E-2</v>
      </c>
      <c r="N298">
        <v>225965</v>
      </c>
      <c r="O298">
        <v>48090</v>
      </c>
      <c r="Q298" s="2">
        <f t="shared" si="44"/>
        <v>0.1754757256755031</v>
      </c>
      <c r="T298">
        <v>230586</v>
      </c>
      <c r="U298">
        <v>49186</v>
      </c>
      <c r="W298" s="2">
        <f t="shared" si="45"/>
        <v>0.17580744320375163</v>
      </c>
      <c r="Z298">
        <f t="shared" si="40"/>
        <v>529089</v>
      </c>
      <c r="AA298">
        <f t="shared" si="41"/>
        <v>75392</v>
      </c>
      <c r="AC298" s="2">
        <f t="shared" si="46"/>
        <v>0.12472186884285859</v>
      </c>
      <c r="AD298" s="2"/>
      <c r="AE298">
        <f t="shared" si="47"/>
        <v>561564</v>
      </c>
      <c r="AF298">
        <f t="shared" si="48"/>
        <v>75781</v>
      </c>
      <c r="AH298" s="2">
        <f t="shared" si="49"/>
        <v>0.11890106614157167</v>
      </c>
      <c r="AI298" s="2"/>
      <c r="AJ298" s="2"/>
    </row>
    <row r="299" spans="2:36" x14ac:dyDescent="0.25">
      <c r="B299" s="1">
        <v>41478</v>
      </c>
      <c r="C299">
        <v>335934</v>
      </c>
      <c r="D299">
        <v>30090</v>
      </c>
      <c r="F299" s="2">
        <f t="shared" si="42"/>
        <v>8.2207724083666639E-2</v>
      </c>
      <c r="I299">
        <v>359959</v>
      </c>
      <c r="J299">
        <v>25865</v>
      </c>
      <c r="L299" s="2">
        <f t="shared" si="43"/>
        <v>6.7038338724392466E-2</v>
      </c>
      <c r="N299">
        <v>237401</v>
      </c>
      <c r="O299">
        <v>45356</v>
      </c>
      <c r="Q299" s="2">
        <f t="shared" si="44"/>
        <v>0.16040628525553743</v>
      </c>
      <c r="T299">
        <v>240342</v>
      </c>
      <c r="U299">
        <v>48909</v>
      </c>
      <c r="W299" s="2">
        <f t="shared" si="45"/>
        <v>0.16908843876079943</v>
      </c>
      <c r="Z299">
        <f t="shared" si="40"/>
        <v>573335</v>
      </c>
      <c r="AA299">
        <f t="shared" si="41"/>
        <v>75446</v>
      </c>
      <c r="AC299" s="2">
        <f t="shared" si="46"/>
        <v>0.11628885556142982</v>
      </c>
      <c r="AD299" s="2"/>
      <c r="AE299">
        <f t="shared" si="47"/>
        <v>600301</v>
      </c>
      <c r="AF299">
        <f t="shared" si="48"/>
        <v>74774</v>
      </c>
      <c r="AH299" s="2">
        <f t="shared" si="49"/>
        <v>0.11076398918638669</v>
      </c>
      <c r="AI299" s="2"/>
      <c r="AJ299" s="2"/>
    </row>
    <row r="300" spans="2:36" x14ac:dyDescent="0.25">
      <c r="B300" s="1">
        <v>41485</v>
      </c>
      <c r="C300">
        <v>332291</v>
      </c>
      <c r="D300">
        <v>31298</v>
      </c>
      <c r="F300" s="2">
        <f t="shared" si="42"/>
        <v>8.608071201273966E-2</v>
      </c>
      <c r="I300">
        <v>348164</v>
      </c>
      <c r="J300">
        <v>29345</v>
      </c>
      <c r="L300" s="2">
        <f t="shared" si="43"/>
        <v>7.7733246094795094E-2</v>
      </c>
      <c r="N300">
        <v>236058</v>
      </c>
      <c r="O300">
        <v>51341</v>
      </c>
      <c r="Q300" s="2">
        <f t="shared" si="44"/>
        <v>0.17864014836516481</v>
      </c>
      <c r="T300">
        <v>236610</v>
      </c>
      <c r="U300">
        <v>55275</v>
      </c>
      <c r="W300" s="2">
        <f t="shared" si="45"/>
        <v>0.18937252685132844</v>
      </c>
      <c r="Z300">
        <f t="shared" si="40"/>
        <v>568349</v>
      </c>
      <c r="AA300">
        <f t="shared" si="41"/>
        <v>82639</v>
      </c>
      <c r="AC300" s="2">
        <f t="shared" si="46"/>
        <v>0.12694396824519039</v>
      </c>
      <c r="AD300" s="2"/>
      <c r="AE300">
        <f t="shared" si="47"/>
        <v>584774</v>
      </c>
      <c r="AF300">
        <f t="shared" si="48"/>
        <v>84620</v>
      </c>
      <c r="AH300" s="2">
        <f t="shared" si="49"/>
        <v>0.12641284505089678</v>
      </c>
      <c r="AI300" s="2"/>
      <c r="AJ300" s="2"/>
    </row>
    <row r="301" spans="2:36" x14ac:dyDescent="0.25">
      <c r="B301" s="1">
        <v>41492</v>
      </c>
      <c r="C301">
        <v>326132</v>
      </c>
      <c r="D301">
        <v>39841</v>
      </c>
      <c r="F301" s="2">
        <f t="shared" si="42"/>
        <v>0.10886322215026792</v>
      </c>
      <c r="I301">
        <v>343774</v>
      </c>
      <c r="J301">
        <v>32947</v>
      </c>
      <c r="L301" s="2">
        <f t="shared" si="43"/>
        <v>8.7457295982968822E-2</v>
      </c>
      <c r="N301">
        <v>239274</v>
      </c>
      <c r="O301">
        <v>46262</v>
      </c>
      <c r="Q301" s="2">
        <f t="shared" si="44"/>
        <v>0.16201809929395944</v>
      </c>
      <c r="T301">
        <v>239194</v>
      </c>
      <c r="U301">
        <v>50405</v>
      </c>
      <c r="W301" s="2">
        <f t="shared" si="45"/>
        <v>0.17405101536952822</v>
      </c>
      <c r="Z301">
        <f t="shared" si="40"/>
        <v>565406</v>
      </c>
      <c r="AA301">
        <f t="shared" si="41"/>
        <v>86103</v>
      </c>
      <c r="AC301" s="2">
        <f t="shared" si="46"/>
        <v>0.13215934085331132</v>
      </c>
      <c r="AD301" s="2"/>
      <c r="AE301">
        <f t="shared" si="47"/>
        <v>582968</v>
      </c>
      <c r="AF301">
        <f t="shared" si="48"/>
        <v>83352</v>
      </c>
      <c r="AH301" s="2">
        <f t="shared" si="49"/>
        <v>0.12509304838516028</v>
      </c>
      <c r="AI301" s="2"/>
      <c r="AJ301" s="2"/>
    </row>
    <row r="302" spans="2:36" x14ac:dyDescent="0.25">
      <c r="B302" s="1">
        <v>41499</v>
      </c>
      <c r="C302">
        <v>317888</v>
      </c>
      <c r="D302">
        <v>42829</v>
      </c>
      <c r="F302" s="2">
        <f t="shared" si="42"/>
        <v>0.11873296794994415</v>
      </c>
      <c r="I302">
        <v>344720</v>
      </c>
      <c r="J302">
        <v>35934</v>
      </c>
      <c r="L302" s="2">
        <f t="shared" si="43"/>
        <v>9.44006893399255E-2</v>
      </c>
      <c r="N302">
        <v>239335</v>
      </c>
      <c r="O302">
        <v>48622</v>
      </c>
      <c r="Q302" s="2">
        <f t="shared" si="44"/>
        <v>0.16885159937073937</v>
      </c>
      <c r="T302">
        <v>246319</v>
      </c>
      <c r="U302">
        <v>52792</v>
      </c>
      <c r="W302" s="2">
        <f t="shared" si="45"/>
        <v>0.17649635085302781</v>
      </c>
      <c r="Z302">
        <f t="shared" si="40"/>
        <v>557223</v>
      </c>
      <c r="AA302">
        <f t="shared" si="41"/>
        <v>91451</v>
      </c>
      <c r="AC302" s="2">
        <f t="shared" si="46"/>
        <v>0.14098144830839529</v>
      </c>
      <c r="AD302" s="2"/>
      <c r="AE302">
        <f t="shared" si="47"/>
        <v>591039</v>
      </c>
      <c r="AF302">
        <f t="shared" si="48"/>
        <v>88726</v>
      </c>
      <c r="AH302" s="2">
        <f t="shared" si="49"/>
        <v>0.13052451950306357</v>
      </c>
      <c r="AI302" s="2"/>
      <c r="AJ302" s="2"/>
    </row>
    <row r="303" spans="2:36" x14ac:dyDescent="0.25">
      <c r="B303" s="1">
        <v>41506</v>
      </c>
      <c r="C303">
        <v>319573</v>
      </c>
      <c r="D303">
        <v>50251</v>
      </c>
      <c r="F303" s="2">
        <f t="shared" si="42"/>
        <v>0.13587814744310808</v>
      </c>
      <c r="I303">
        <v>339265</v>
      </c>
      <c r="J303">
        <v>36503</v>
      </c>
      <c r="L303" s="2">
        <f t="shared" si="43"/>
        <v>9.7142385727363695E-2</v>
      </c>
      <c r="N303">
        <v>252001</v>
      </c>
      <c r="O303">
        <v>48206</v>
      </c>
      <c r="Q303" s="2">
        <f t="shared" si="44"/>
        <v>0.16057586931683804</v>
      </c>
      <c r="T303">
        <v>259763</v>
      </c>
      <c r="U303">
        <v>51450</v>
      </c>
      <c r="W303" s="2">
        <f t="shared" si="45"/>
        <v>0.16532085741919522</v>
      </c>
      <c r="Z303">
        <f t="shared" si="40"/>
        <v>571574</v>
      </c>
      <c r="AA303">
        <f t="shared" si="41"/>
        <v>98457</v>
      </c>
      <c r="AC303" s="2">
        <f t="shared" si="46"/>
        <v>0.14694394736959931</v>
      </c>
      <c r="AD303" s="2"/>
      <c r="AE303">
        <f t="shared" si="47"/>
        <v>599028</v>
      </c>
      <c r="AF303">
        <f t="shared" si="48"/>
        <v>87953</v>
      </c>
      <c r="AH303" s="2">
        <f t="shared" si="49"/>
        <v>0.12802828608069219</v>
      </c>
      <c r="AI303" s="2"/>
      <c r="AJ303" s="2"/>
    </row>
    <row r="304" spans="2:36" x14ac:dyDescent="0.25">
      <c r="B304" s="1">
        <v>41513</v>
      </c>
      <c r="C304">
        <v>324636</v>
      </c>
      <c r="D304">
        <v>50749</v>
      </c>
      <c r="F304" s="2">
        <f t="shared" si="42"/>
        <v>0.1351918696804614</v>
      </c>
      <c r="I304">
        <v>352663</v>
      </c>
      <c r="J304">
        <v>35140</v>
      </c>
      <c r="L304" s="2">
        <f t="shared" si="43"/>
        <v>9.0613017434109586E-2</v>
      </c>
      <c r="N304">
        <v>268226</v>
      </c>
      <c r="O304">
        <v>43884</v>
      </c>
      <c r="Q304" s="2">
        <f t="shared" si="44"/>
        <v>0.14060427413411938</v>
      </c>
      <c r="T304">
        <v>278462</v>
      </c>
      <c r="U304">
        <v>46500</v>
      </c>
      <c r="W304" s="2">
        <f t="shared" si="45"/>
        <v>0.14309365402724011</v>
      </c>
      <c r="Z304">
        <f t="shared" si="40"/>
        <v>592862</v>
      </c>
      <c r="AA304">
        <f t="shared" si="41"/>
        <v>94633</v>
      </c>
      <c r="AC304" s="2">
        <f t="shared" si="46"/>
        <v>0.13764900108364425</v>
      </c>
      <c r="AD304" s="2"/>
      <c r="AE304">
        <f t="shared" si="47"/>
        <v>631125</v>
      </c>
      <c r="AF304">
        <f t="shared" si="48"/>
        <v>81640</v>
      </c>
      <c r="AH304" s="2">
        <f t="shared" si="49"/>
        <v>0.1145398553520445</v>
      </c>
      <c r="AI304" s="2"/>
      <c r="AJ304" s="2"/>
    </row>
    <row r="305" spans="2:36" x14ac:dyDescent="0.25">
      <c r="B305" s="1">
        <v>41520</v>
      </c>
      <c r="C305">
        <v>313572</v>
      </c>
      <c r="D305">
        <v>51554</v>
      </c>
      <c r="F305" s="2">
        <f t="shared" si="42"/>
        <v>0.14119509429621555</v>
      </c>
      <c r="I305">
        <v>339135</v>
      </c>
      <c r="J305">
        <v>33164</v>
      </c>
      <c r="L305" s="2">
        <f t="shared" si="43"/>
        <v>8.9078939239697119E-2</v>
      </c>
      <c r="N305">
        <v>260811</v>
      </c>
      <c r="O305">
        <v>46575</v>
      </c>
      <c r="Q305" s="2">
        <f t="shared" si="44"/>
        <v>0.15151958774960472</v>
      </c>
      <c r="T305">
        <v>274208</v>
      </c>
      <c r="U305">
        <v>49303</v>
      </c>
      <c r="W305" s="2">
        <f t="shared" si="45"/>
        <v>0.15239976384110587</v>
      </c>
      <c r="Z305">
        <f t="shared" si="40"/>
        <v>574383</v>
      </c>
      <c r="AA305">
        <f t="shared" si="41"/>
        <v>98129</v>
      </c>
      <c r="AC305" s="2">
        <f t="shared" si="46"/>
        <v>0.14591412495241721</v>
      </c>
      <c r="AD305" s="2"/>
      <c r="AE305">
        <f t="shared" si="47"/>
        <v>613343</v>
      </c>
      <c r="AF305">
        <f t="shared" si="48"/>
        <v>82467</v>
      </c>
      <c r="AH305" s="2">
        <f t="shared" si="49"/>
        <v>0.11851942340581481</v>
      </c>
      <c r="AI305" s="2"/>
      <c r="AJ305" s="2"/>
    </row>
    <row r="306" spans="2:36" x14ac:dyDescent="0.25">
      <c r="B306" s="1">
        <v>41527</v>
      </c>
      <c r="C306">
        <v>303451</v>
      </c>
      <c r="D306">
        <v>55667</v>
      </c>
      <c r="F306" s="2">
        <f t="shared" si="42"/>
        <v>0.15501033086617769</v>
      </c>
      <c r="I306">
        <v>328435</v>
      </c>
      <c r="J306">
        <v>38377</v>
      </c>
      <c r="L306" s="2">
        <f t="shared" si="43"/>
        <v>0.10462307667142842</v>
      </c>
      <c r="N306">
        <v>253438</v>
      </c>
      <c r="O306">
        <v>50850</v>
      </c>
      <c r="Q306" s="2">
        <f t="shared" si="44"/>
        <v>0.16711142075928068</v>
      </c>
      <c r="T306">
        <v>256527</v>
      </c>
      <c r="U306">
        <v>53376</v>
      </c>
      <c r="W306" s="2">
        <f t="shared" si="45"/>
        <v>0.1722345379037957</v>
      </c>
      <c r="Z306">
        <f t="shared" si="40"/>
        <v>556889</v>
      </c>
      <c r="AA306">
        <f t="shared" si="41"/>
        <v>106517</v>
      </c>
      <c r="AC306" s="2">
        <f t="shared" si="46"/>
        <v>0.16056080288691993</v>
      </c>
      <c r="AD306" s="2"/>
      <c r="AE306">
        <f t="shared" si="47"/>
        <v>584962</v>
      </c>
      <c r="AF306">
        <f t="shared" si="48"/>
        <v>91753</v>
      </c>
      <c r="AH306" s="2">
        <f t="shared" si="49"/>
        <v>0.13558588179662043</v>
      </c>
      <c r="AI306" s="2"/>
      <c r="AJ306" s="2"/>
    </row>
    <row r="307" spans="2:36" x14ac:dyDescent="0.25">
      <c r="B307" s="1">
        <v>41534</v>
      </c>
      <c r="C307">
        <v>297439</v>
      </c>
      <c r="D307">
        <v>52030</v>
      </c>
      <c r="F307" s="2">
        <f t="shared" si="42"/>
        <v>0.14888301966698048</v>
      </c>
      <c r="I307">
        <v>316094</v>
      </c>
      <c r="J307">
        <v>35135</v>
      </c>
      <c r="L307" s="2">
        <f t="shared" si="43"/>
        <v>0.10003445045824803</v>
      </c>
      <c r="N307">
        <v>242952</v>
      </c>
      <c r="O307">
        <v>57072</v>
      </c>
      <c r="Q307" s="2">
        <f t="shared" si="44"/>
        <v>0.19022478201743862</v>
      </c>
      <c r="T307">
        <v>245018</v>
      </c>
      <c r="U307">
        <v>57885</v>
      </c>
      <c r="W307" s="2">
        <f t="shared" si="45"/>
        <v>0.19110078143828221</v>
      </c>
      <c r="Z307">
        <f t="shared" si="40"/>
        <v>540391</v>
      </c>
      <c r="AA307">
        <f t="shared" si="41"/>
        <v>109102</v>
      </c>
      <c r="AC307" s="2">
        <f t="shared" si="46"/>
        <v>0.16798025536841812</v>
      </c>
      <c r="AD307" s="2"/>
      <c r="AE307">
        <f t="shared" si="47"/>
        <v>561112</v>
      </c>
      <c r="AF307">
        <f t="shared" si="48"/>
        <v>93020</v>
      </c>
      <c r="AH307" s="2">
        <f t="shared" si="49"/>
        <v>0.14220371423504735</v>
      </c>
      <c r="AI307" s="2"/>
      <c r="AJ307" s="2"/>
    </row>
    <row r="308" spans="2:36" x14ac:dyDescent="0.25">
      <c r="B308" s="1">
        <v>41541</v>
      </c>
      <c r="C308">
        <v>285293</v>
      </c>
      <c r="D308">
        <v>41582</v>
      </c>
      <c r="F308" s="2">
        <f t="shared" si="42"/>
        <v>0.12721070745697896</v>
      </c>
      <c r="I308">
        <v>302446</v>
      </c>
      <c r="J308">
        <v>27348</v>
      </c>
      <c r="L308" s="2">
        <f t="shared" si="43"/>
        <v>8.2924492258803981E-2</v>
      </c>
      <c r="N308">
        <v>225345</v>
      </c>
      <c r="O308">
        <v>57474</v>
      </c>
      <c r="Q308" s="2">
        <f t="shared" si="44"/>
        <v>0.20321831277247993</v>
      </c>
      <c r="T308">
        <v>226757</v>
      </c>
      <c r="U308">
        <v>59012</v>
      </c>
      <c r="W308" s="2">
        <f t="shared" si="45"/>
        <v>0.20650245477990964</v>
      </c>
      <c r="Z308">
        <f t="shared" si="40"/>
        <v>510638</v>
      </c>
      <c r="AA308">
        <f t="shared" si="41"/>
        <v>99056</v>
      </c>
      <c r="AC308" s="2">
        <f t="shared" si="46"/>
        <v>0.16246838578040787</v>
      </c>
      <c r="AD308" s="2"/>
      <c r="AE308">
        <f t="shared" si="47"/>
        <v>529203</v>
      </c>
      <c r="AF308">
        <f t="shared" si="48"/>
        <v>86360</v>
      </c>
      <c r="AH308" s="2">
        <f t="shared" si="49"/>
        <v>0.1402943321804592</v>
      </c>
      <c r="AI308" s="2"/>
      <c r="AJ308" s="2"/>
    </row>
    <row r="309" spans="2:36" x14ac:dyDescent="0.25">
      <c r="B309" s="1">
        <v>41548</v>
      </c>
      <c r="C309">
        <v>267757</v>
      </c>
      <c r="D309">
        <v>42623</v>
      </c>
      <c r="F309" s="2">
        <f t="shared" si="42"/>
        <v>0.13732521425349573</v>
      </c>
      <c r="I309">
        <v>283878</v>
      </c>
      <c r="J309">
        <v>29476</v>
      </c>
      <c r="L309" s="2">
        <f t="shared" si="43"/>
        <v>9.4066136063366029E-2</v>
      </c>
      <c r="N309">
        <v>219837</v>
      </c>
      <c r="O309">
        <v>59183</v>
      </c>
      <c r="Q309" s="2">
        <f t="shared" si="44"/>
        <v>0.21211024299333381</v>
      </c>
      <c r="T309">
        <v>221166</v>
      </c>
      <c r="U309">
        <v>59826</v>
      </c>
      <c r="W309" s="2">
        <f t="shared" si="45"/>
        <v>0.21290997608472839</v>
      </c>
      <c r="Z309">
        <f t="shared" si="40"/>
        <v>487594</v>
      </c>
      <c r="AA309">
        <f t="shared" si="41"/>
        <v>101806</v>
      </c>
      <c r="AC309" s="2">
        <f t="shared" si="46"/>
        <v>0.17272819816762811</v>
      </c>
      <c r="AD309" s="2"/>
      <c r="AE309">
        <f t="shared" si="47"/>
        <v>505044</v>
      </c>
      <c r="AF309">
        <f t="shared" si="48"/>
        <v>89302</v>
      </c>
      <c r="AH309" s="2">
        <f t="shared" si="49"/>
        <v>0.1502525464964852</v>
      </c>
      <c r="AI309" s="2"/>
      <c r="AJ309" s="2"/>
    </row>
    <row r="310" spans="2:36" x14ac:dyDescent="0.25">
      <c r="B310" s="1">
        <v>41555</v>
      </c>
      <c r="C310">
        <v>264481</v>
      </c>
      <c r="D310">
        <v>42058</v>
      </c>
      <c r="F310" s="2">
        <f t="shared" si="42"/>
        <v>0.13720277028371594</v>
      </c>
      <c r="I310">
        <v>283670</v>
      </c>
      <c r="J310">
        <v>29833</v>
      </c>
      <c r="L310" s="2">
        <f t="shared" si="43"/>
        <v>9.5160173905831841E-2</v>
      </c>
      <c r="N310">
        <v>230408</v>
      </c>
      <c r="O310">
        <v>65222</v>
      </c>
      <c r="Q310" s="2">
        <f t="shared" si="44"/>
        <v>0.22062037005716606</v>
      </c>
      <c r="T310">
        <v>230788</v>
      </c>
      <c r="U310">
        <v>65794</v>
      </c>
      <c r="W310" s="2">
        <f t="shared" si="45"/>
        <v>0.22184083997005888</v>
      </c>
      <c r="Z310">
        <f t="shared" si="40"/>
        <v>494889</v>
      </c>
      <c r="AA310">
        <f t="shared" si="41"/>
        <v>107280</v>
      </c>
      <c r="AC310" s="2">
        <f t="shared" si="46"/>
        <v>0.17815596618225116</v>
      </c>
      <c r="AD310" s="2"/>
      <c r="AE310">
        <f t="shared" si="47"/>
        <v>514458</v>
      </c>
      <c r="AF310">
        <f t="shared" si="48"/>
        <v>95627</v>
      </c>
      <c r="AH310" s="2">
        <f t="shared" si="49"/>
        <v>0.15674373243072687</v>
      </c>
      <c r="AI310" s="2"/>
      <c r="AJ310" s="2"/>
    </row>
    <row r="311" spans="2:36" x14ac:dyDescent="0.25">
      <c r="B311" s="1">
        <v>41562</v>
      </c>
      <c r="C311">
        <v>261855</v>
      </c>
      <c r="D311">
        <v>43338</v>
      </c>
      <c r="F311" s="2">
        <f t="shared" si="42"/>
        <v>0.14200194630938456</v>
      </c>
      <c r="I311">
        <v>276331</v>
      </c>
      <c r="J311">
        <v>30019</v>
      </c>
      <c r="L311" s="2">
        <f t="shared" si="43"/>
        <v>9.7989228007181323E-2</v>
      </c>
      <c r="N311">
        <v>226666</v>
      </c>
      <c r="O311">
        <v>63694</v>
      </c>
      <c r="Q311" s="2">
        <f t="shared" si="44"/>
        <v>0.21936217109794737</v>
      </c>
      <c r="T311">
        <v>226425</v>
      </c>
      <c r="U311">
        <v>64413</v>
      </c>
      <c r="W311" s="2">
        <f t="shared" si="45"/>
        <v>0.22147381016235843</v>
      </c>
      <c r="Z311">
        <f t="shared" si="40"/>
        <v>488521</v>
      </c>
      <c r="AA311">
        <f t="shared" si="41"/>
        <v>107032</v>
      </c>
      <c r="AC311" s="2">
        <f t="shared" si="46"/>
        <v>0.17971868162867116</v>
      </c>
      <c r="AD311" s="2"/>
      <c r="AE311">
        <f t="shared" si="47"/>
        <v>502756</v>
      </c>
      <c r="AF311">
        <f t="shared" si="48"/>
        <v>94432</v>
      </c>
      <c r="AH311" s="2">
        <f t="shared" si="49"/>
        <v>0.15812775876273469</v>
      </c>
      <c r="AI311" s="2"/>
      <c r="AJ311" s="2"/>
    </row>
    <row r="312" spans="2:36" x14ac:dyDescent="0.25">
      <c r="B312" s="1">
        <v>41569</v>
      </c>
      <c r="C312">
        <v>273597</v>
      </c>
      <c r="D312">
        <v>44340</v>
      </c>
      <c r="F312" s="2">
        <f t="shared" si="42"/>
        <v>0.13946159144736223</v>
      </c>
      <c r="I312">
        <v>282909</v>
      </c>
      <c r="J312">
        <v>31188</v>
      </c>
      <c r="L312" s="2">
        <f t="shared" si="43"/>
        <v>9.9294167088510868E-2</v>
      </c>
      <c r="N312">
        <v>234744</v>
      </c>
      <c r="O312">
        <v>81564</v>
      </c>
      <c r="Q312" s="2">
        <f t="shared" si="44"/>
        <v>0.2578625896278311</v>
      </c>
      <c r="T312">
        <v>233627</v>
      </c>
      <c r="U312">
        <v>83466</v>
      </c>
      <c r="W312" s="2">
        <f t="shared" si="45"/>
        <v>0.26322246154913542</v>
      </c>
      <c r="Z312">
        <f t="shared" si="40"/>
        <v>508341</v>
      </c>
      <c r="AA312">
        <f t="shared" si="41"/>
        <v>125904</v>
      </c>
      <c r="AC312" s="2">
        <f t="shared" si="46"/>
        <v>0.19851003949577845</v>
      </c>
      <c r="AD312" s="2"/>
      <c r="AE312">
        <f t="shared" si="47"/>
        <v>516536</v>
      </c>
      <c r="AF312">
        <f t="shared" si="48"/>
        <v>114654</v>
      </c>
      <c r="AH312" s="2">
        <f t="shared" si="49"/>
        <v>0.18164736450197247</v>
      </c>
      <c r="AI312" s="2"/>
      <c r="AJ312" s="2"/>
    </row>
    <row r="313" spans="2:36" x14ac:dyDescent="0.25">
      <c r="B313" s="1">
        <v>41576</v>
      </c>
      <c r="C313">
        <v>269361</v>
      </c>
      <c r="D313">
        <v>46362</v>
      </c>
      <c r="F313" s="2">
        <f t="shared" si="42"/>
        <v>0.14684391064319038</v>
      </c>
      <c r="I313">
        <v>277966</v>
      </c>
      <c r="J313">
        <v>34010</v>
      </c>
      <c r="L313" s="2">
        <f t="shared" si="43"/>
        <v>0.10901479600994948</v>
      </c>
      <c r="N313">
        <v>219283</v>
      </c>
      <c r="O313">
        <v>94641</v>
      </c>
      <c r="Q313" s="2">
        <f t="shared" si="44"/>
        <v>0.30147742765764962</v>
      </c>
      <c r="T313">
        <v>215453</v>
      </c>
      <c r="U313">
        <v>96002</v>
      </c>
      <c r="W313" s="2">
        <f t="shared" si="45"/>
        <v>0.30823714501292321</v>
      </c>
      <c r="Z313">
        <f t="shared" si="40"/>
        <v>488644</v>
      </c>
      <c r="AA313">
        <f t="shared" si="41"/>
        <v>141003</v>
      </c>
      <c r="AC313" s="2">
        <f t="shared" si="46"/>
        <v>0.2239397630735952</v>
      </c>
      <c r="AD313" s="2"/>
      <c r="AE313">
        <f t="shared" si="47"/>
        <v>493419</v>
      </c>
      <c r="AF313">
        <f t="shared" si="48"/>
        <v>130012</v>
      </c>
      <c r="AH313" s="2">
        <f t="shared" si="49"/>
        <v>0.20854272565849308</v>
      </c>
      <c r="AI313" s="2"/>
      <c r="AJ313" s="2"/>
    </row>
    <row r="314" spans="2:36" x14ac:dyDescent="0.25">
      <c r="B314" s="1">
        <v>41583</v>
      </c>
      <c r="C314">
        <v>274452</v>
      </c>
      <c r="D314">
        <v>56911</v>
      </c>
      <c r="F314" s="2">
        <f t="shared" si="42"/>
        <v>0.17174820363166679</v>
      </c>
      <c r="I314">
        <v>275266</v>
      </c>
      <c r="J314">
        <v>41416</v>
      </c>
      <c r="L314" s="2">
        <f t="shared" si="43"/>
        <v>0.13078103586563178</v>
      </c>
      <c r="N314">
        <v>211223</v>
      </c>
      <c r="O314">
        <v>101018</v>
      </c>
      <c r="Q314" s="2">
        <f t="shared" si="44"/>
        <v>0.32352573813176361</v>
      </c>
      <c r="T314">
        <v>204432</v>
      </c>
      <c r="U314">
        <v>101888</v>
      </c>
      <c r="W314" s="2">
        <f t="shared" si="45"/>
        <v>0.33261948289370591</v>
      </c>
      <c r="Z314">
        <f t="shared" si="40"/>
        <v>485675</v>
      </c>
      <c r="AA314">
        <f t="shared" si="41"/>
        <v>157929</v>
      </c>
      <c r="AC314" s="2">
        <f t="shared" si="46"/>
        <v>0.24538225368394229</v>
      </c>
      <c r="AD314" s="2"/>
      <c r="AE314">
        <f t="shared" si="47"/>
        <v>479698</v>
      </c>
      <c r="AF314">
        <f t="shared" si="48"/>
        <v>143304</v>
      </c>
      <c r="AH314" s="2">
        <f t="shared" si="49"/>
        <v>0.23002173347758112</v>
      </c>
      <c r="AI314" s="2"/>
      <c r="AJ314" s="2"/>
    </row>
    <row r="315" spans="2:36" x14ac:dyDescent="0.25">
      <c r="B315" s="1">
        <v>41590</v>
      </c>
      <c r="C315">
        <v>275451</v>
      </c>
      <c r="D315">
        <v>65198</v>
      </c>
      <c r="F315" s="2">
        <f t="shared" si="42"/>
        <v>0.19139348713778698</v>
      </c>
      <c r="I315">
        <v>274090</v>
      </c>
      <c r="J315">
        <v>50357</v>
      </c>
      <c r="L315" s="2">
        <f t="shared" si="43"/>
        <v>0.15520870897249783</v>
      </c>
      <c r="N315">
        <v>192739</v>
      </c>
      <c r="O315">
        <v>103483</v>
      </c>
      <c r="Q315" s="2">
        <f t="shared" si="44"/>
        <v>0.34934272268771394</v>
      </c>
      <c r="T315">
        <v>192633</v>
      </c>
      <c r="U315">
        <v>103545</v>
      </c>
      <c r="W315" s="2">
        <f t="shared" si="45"/>
        <v>0.34960395437878572</v>
      </c>
      <c r="Z315">
        <f t="shared" si="40"/>
        <v>468190</v>
      </c>
      <c r="AA315">
        <f t="shared" si="41"/>
        <v>168681</v>
      </c>
      <c r="AC315" s="2">
        <f t="shared" si="46"/>
        <v>0.26485897458040952</v>
      </c>
      <c r="AD315" s="2"/>
      <c r="AE315">
        <f t="shared" si="47"/>
        <v>466723</v>
      </c>
      <c r="AF315">
        <f t="shared" si="48"/>
        <v>153902</v>
      </c>
      <c r="AH315" s="2">
        <f t="shared" si="49"/>
        <v>0.24797905337361531</v>
      </c>
      <c r="AI315" s="2"/>
      <c r="AJ315" s="2"/>
    </row>
    <row r="316" spans="2:36" x14ac:dyDescent="0.25">
      <c r="B316" s="1">
        <v>41597</v>
      </c>
      <c r="C316">
        <v>269600</v>
      </c>
      <c r="D316">
        <v>45424</v>
      </c>
      <c r="F316" s="2">
        <f t="shared" si="42"/>
        <v>0.14419218853166743</v>
      </c>
      <c r="I316">
        <v>275597</v>
      </c>
      <c r="J316">
        <v>38887</v>
      </c>
      <c r="L316" s="2">
        <f t="shared" si="43"/>
        <v>0.12365334961397083</v>
      </c>
      <c r="N316">
        <v>205283</v>
      </c>
      <c r="O316">
        <v>97990</v>
      </c>
      <c r="Q316" s="2">
        <f t="shared" si="44"/>
        <v>0.32310822262450006</v>
      </c>
      <c r="T316">
        <v>205304</v>
      </c>
      <c r="U316">
        <v>97923</v>
      </c>
      <c r="W316" s="2">
        <f t="shared" si="45"/>
        <v>0.32293628205931529</v>
      </c>
      <c r="Z316">
        <f t="shared" si="40"/>
        <v>474883</v>
      </c>
      <c r="AA316">
        <f t="shared" si="41"/>
        <v>143414</v>
      </c>
      <c r="AC316" s="2">
        <f t="shared" si="46"/>
        <v>0.23195001754820094</v>
      </c>
      <c r="AD316" s="2"/>
      <c r="AE316">
        <f t="shared" si="47"/>
        <v>480901</v>
      </c>
      <c r="AF316">
        <f t="shared" si="48"/>
        <v>136810</v>
      </c>
      <c r="AH316" s="2">
        <f t="shared" si="49"/>
        <v>0.2214789764145369</v>
      </c>
      <c r="AI316" s="2"/>
      <c r="AJ316" s="2"/>
    </row>
    <row r="317" spans="2:36" x14ac:dyDescent="0.25">
      <c r="B317" s="1">
        <v>41604</v>
      </c>
      <c r="C317">
        <v>268474</v>
      </c>
      <c r="D317">
        <v>50780</v>
      </c>
      <c r="F317" s="2">
        <f t="shared" si="42"/>
        <v>0.15905830467276838</v>
      </c>
      <c r="I317">
        <v>273257</v>
      </c>
      <c r="J317">
        <v>44438</v>
      </c>
      <c r="L317" s="2">
        <f t="shared" si="43"/>
        <v>0.13987629644785093</v>
      </c>
      <c r="N317">
        <v>223234</v>
      </c>
      <c r="O317">
        <v>95266</v>
      </c>
      <c r="Q317" s="2">
        <f t="shared" si="44"/>
        <v>0.2991083202511774</v>
      </c>
      <c r="T317">
        <v>225114</v>
      </c>
      <c r="U317">
        <v>95353</v>
      </c>
      <c r="W317" s="2">
        <f t="shared" si="45"/>
        <v>0.29754389687549732</v>
      </c>
      <c r="Z317">
        <f t="shared" si="40"/>
        <v>491708</v>
      </c>
      <c r="AA317">
        <f t="shared" si="41"/>
        <v>146046</v>
      </c>
      <c r="AC317" s="2">
        <f t="shared" si="46"/>
        <v>0.22900052371290497</v>
      </c>
      <c r="AD317" s="2"/>
      <c r="AE317">
        <f t="shared" si="47"/>
        <v>498371</v>
      </c>
      <c r="AF317">
        <f t="shared" si="48"/>
        <v>139791</v>
      </c>
      <c r="AH317" s="2">
        <f t="shared" si="49"/>
        <v>0.21905252898166924</v>
      </c>
      <c r="AI317" s="2"/>
      <c r="AJ317" s="2"/>
    </row>
    <row r="318" spans="2:36" x14ac:dyDescent="0.25">
      <c r="B318" s="1">
        <v>41611</v>
      </c>
      <c r="C318">
        <v>283646</v>
      </c>
      <c r="D318">
        <v>49575</v>
      </c>
      <c r="F318" s="2">
        <f t="shared" si="42"/>
        <v>0.14877513722124355</v>
      </c>
      <c r="I318">
        <v>287518</v>
      </c>
      <c r="J318">
        <v>40857</v>
      </c>
      <c r="L318" s="2">
        <f t="shared" si="43"/>
        <v>0.12442177388656261</v>
      </c>
      <c r="N318">
        <v>224355</v>
      </c>
      <c r="O318">
        <v>94280</v>
      </c>
      <c r="Q318" s="2">
        <f t="shared" si="44"/>
        <v>0.29588714359690554</v>
      </c>
      <c r="T318">
        <v>227153</v>
      </c>
      <c r="U318">
        <v>95737</v>
      </c>
      <c r="W318" s="2">
        <f t="shared" si="45"/>
        <v>0.29650035615844406</v>
      </c>
      <c r="Z318">
        <f t="shared" si="40"/>
        <v>508001</v>
      </c>
      <c r="AA318">
        <f t="shared" si="41"/>
        <v>143855</v>
      </c>
      <c r="AC318" s="2">
        <f t="shared" si="46"/>
        <v>0.22068524336663312</v>
      </c>
      <c r="AD318" s="2"/>
      <c r="AE318">
        <f t="shared" si="47"/>
        <v>514671</v>
      </c>
      <c r="AF318">
        <f t="shared" si="48"/>
        <v>136594</v>
      </c>
      <c r="AH318" s="2">
        <f t="shared" si="49"/>
        <v>0.20973643601299011</v>
      </c>
      <c r="AI318" s="2"/>
      <c r="AJ318" s="2"/>
    </row>
    <row r="319" spans="2:36" x14ac:dyDescent="0.25">
      <c r="B319" s="1">
        <v>41618</v>
      </c>
      <c r="C319">
        <v>280202</v>
      </c>
      <c r="D319">
        <v>39374</v>
      </c>
      <c r="F319" s="2">
        <f t="shared" si="42"/>
        <v>0.1232069992740381</v>
      </c>
      <c r="I319">
        <v>282534</v>
      </c>
      <c r="J319">
        <v>30335</v>
      </c>
      <c r="L319" s="2">
        <f t="shared" si="43"/>
        <v>9.6957512569158341E-2</v>
      </c>
      <c r="N319">
        <v>221138</v>
      </c>
      <c r="O319">
        <v>104863</v>
      </c>
      <c r="Q319" s="2">
        <f t="shared" si="44"/>
        <v>0.32166465747037587</v>
      </c>
      <c r="T319">
        <v>221328</v>
      </c>
      <c r="U319">
        <v>104183</v>
      </c>
      <c r="W319" s="2">
        <f t="shared" si="45"/>
        <v>0.32005984436777868</v>
      </c>
      <c r="Z319">
        <f t="shared" si="40"/>
        <v>501340</v>
      </c>
      <c r="AA319">
        <f t="shared" si="41"/>
        <v>144237</v>
      </c>
      <c r="AC319" s="2">
        <f t="shared" si="46"/>
        <v>0.22342338714049603</v>
      </c>
      <c r="AD319" s="2"/>
      <c r="AE319">
        <f t="shared" si="47"/>
        <v>503862</v>
      </c>
      <c r="AF319">
        <f t="shared" si="48"/>
        <v>134518</v>
      </c>
      <c r="AH319" s="2">
        <f t="shared" si="49"/>
        <v>0.21071775431561138</v>
      </c>
      <c r="AI319" s="2"/>
      <c r="AJ319" s="2"/>
    </row>
    <row r="320" spans="2:36" x14ac:dyDescent="0.25">
      <c r="B320" s="1">
        <v>41625</v>
      </c>
      <c r="C320">
        <v>284764</v>
      </c>
      <c r="D320">
        <v>41859</v>
      </c>
      <c r="F320" s="2">
        <f t="shared" si="42"/>
        <v>0.12815692709943879</v>
      </c>
      <c r="I320">
        <v>289218</v>
      </c>
      <c r="J320">
        <v>36308</v>
      </c>
      <c r="L320" s="2">
        <f t="shared" si="43"/>
        <v>0.11153640569416882</v>
      </c>
      <c r="N320">
        <v>198952</v>
      </c>
      <c r="O320">
        <v>110504</v>
      </c>
      <c r="Q320" s="2">
        <f t="shared" si="44"/>
        <v>0.35709115350809162</v>
      </c>
      <c r="T320">
        <v>200642</v>
      </c>
      <c r="U320">
        <v>109271</v>
      </c>
      <c r="W320" s="2">
        <f t="shared" si="45"/>
        <v>0.35258604834259938</v>
      </c>
      <c r="Z320">
        <f t="shared" si="40"/>
        <v>483716</v>
      </c>
      <c r="AA320">
        <f t="shared" si="41"/>
        <v>152363</v>
      </c>
      <c r="AC320" s="2">
        <f t="shared" si="46"/>
        <v>0.23953471188327236</v>
      </c>
      <c r="AD320" s="2"/>
      <c r="AE320">
        <f t="shared" si="47"/>
        <v>489860</v>
      </c>
      <c r="AF320">
        <f t="shared" si="48"/>
        <v>145579</v>
      </c>
      <c r="AH320" s="2">
        <f t="shared" si="49"/>
        <v>0.22909988212873306</v>
      </c>
      <c r="AI320" s="2"/>
      <c r="AJ320" s="2"/>
    </row>
    <row r="321" spans="2:36" x14ac:dyDescent="0.25">
      <c r="B321" s="1">
        <v>41632</v>
      </c>
      <c r="C321">
        <v>290616</v>
      </c>
      <c r="D321">
        <v>35028</v>
      </c>
      <c r="F321" s="2">
        <f t="shared" si="42"/>
        <v>0.10756531672624092</v>
      </c>
      <c r="I321">
        <v>293096</v>
      </c>
      <c r="J321">
        <v>29131</v>
      </c>
      <c r="L321" s="2">
        <f t="shared" si="43"/>
        <v>9.0405211233074823E-2</v>
      </c>
      <c r="N321">
        <v>212344</v>
      </c>
      <c r="O321">
        <v>88605</v>
      </c>
      <c r="Q321" s="2">
        <f t="shared" si="44"/>
        <v>0.29441865565261888</v>
      </c>
      <c r="T321">
        <v>216252</v>
      </c>
      <c r="U321">
        <v>87311</v>
      </c>
      <c r="W321" s="2">
        <f t="shared" si="45"/>
        <v>0.28762069158626052</v>
      </c>
      <c r="Z321">
        <f t="shared" si="40"/>
        <v>502960</v>
      </c>
      <c r="AA321">
        <f t="shared" si="41"/>
        <v>123633</v>
      </c>
      <c r="AC321" s="2">
        <f t="shared" si="46"/>
        <v>0.19730989653570979</v>
      </c>
      <c r="AD321" s="2"/>
      <c r="AE321">
        <f t="shared" si="47"/>
        <v>509348</v>
      </c>
      <c r="AF321">
        <f t="shared" si="48"/>
        <v>116442</v>
      </c>
      <c r="AH321" s="2">
        <f t="shared" si="49"/>
        <v>0.18607200498569806</v>
      </c>
      <c r="AI321" s="2"/>
      <c r="AJ321" s="2"/>
    </row>
    <row r="322" spans="2:36" x14ac:dyDescent="0.25">
      <c r="B322" s="1">
        <v>41639</v>
      </c>
      <c r="C322">
        <v>296918</v>
      </c>
      <c r="D322">
        <v>34559</v>
      </c>
      <c r="F322" s="2">
        <f t="shared" si="42"/>
        <v>0.10425761063361862</v>
      </c>
      <c r="I322">
        <v>299360</v>
      </c>
      <c r="J322">
        <v>28974</v>
      </c>
      <c r="L322" s="2">
        <f t="shared" si="43"/>
        <v>8.8245506100495225E-2</v>
      </c>
      <c r="N322">
        <v>218558</v>
      </c>
      <c r="O322">
        <v>87842</v>
      </c>
      <c r="Q322" s="2">
        <f t="shared" si="44"/>
        <v>0.2866906005221932</v>
      </c>
      <c r="T322">
        <v>222382</v>
      </c>
      <c r="U322">
        <v>85771</v>
      </c>
      <c r="W322" s="2">
        <f t="shared" si="45"/>
        <v>0.27833900692188618</v>
      </c>
      <c r="Z322">
        <f t="shared" si="40"/>
        <v>515476</v>
      </c>
      <c r="AA322">
        <f t="shared" si="41"/>
        <v>122401</v>
      </c>
      <c r="AC322" s="2">
        <f t="shared" si="46"/>
        <v>0.19188809127778553</v>
      </c>
      <c r="AD322" s="2"/>
      <c r="AE322">
        <f t="shared" si="47"/>
        <v>521742</v>
      </c>
      <c r="AF322">
        <f t="shared" si="48"/>
        <v>114745</v>
      </c>
      <c r="AH322" s="2">
        <f t="shared" si="49"/>
        <v>0.18027862312977327</v>
      </c>
      <c r="AI322" s="2"/>
      <c r="AJ322" s="2"/>
    </row>
    <row r="323" spans="2:36" x14ac:dyDescent="0.25">
      <c r="B323" s="1">
        <v>41646</v>
      </c>
      <c r="C323">
        <v>293342</v>
      </c>
      <c r="D323">
        <v>52674</v>
      </c>
      <c r="F323" s="2">
        <f t="shared" si="42"/>
        <v>0.15222995468417647</v>
      </c>
      <c r="I323">
        <v>291373</v>
      </c>
      <c r="J323">
        <v>44196</v>
      </c>
      <c r="L323" s="2">
        <f t="shared" si="43"/>
        <v>0.13170465686639707</v>
      </c>
      <c r="N323">
        <v>196336</v>
      </c>
      <c r="O323">
        <v>102998</v>
      </c>
      <c r="Q323" s="2">
        <f t="shared" si="44"/>
        <v>0.34409054768252184</v>
      </c>
      <c r="T323">
        <v>197415</v>
      </c>
      <c r="U323">
        <v>97319</v>
      </c>
      <c r="W323" s="2">
        <f t="shared" si="45"/>
        <v>0.33019264828625133</v>
      </c>
      <c r="Z323">
        <f t="shared" si="40"/>
        <v>489678</v>
      </c>
      <c r="AA323">
        <f t="shared" si="41"/>
        <v>155672</v>
      </c>
      <c r="AC323" s="2">
        <f t="shared" si="46"/>
        <v>0.24122104284496784</v>
      </c>
      <c r="AD323" s="2"/>
      <c r="AE323">
        <f t="shared" si="47"/>
        <v>488788</v>
      </c>
      <c r="AF323">
        <f t="shared" si="48"/>
        <v>141515</v>
      </c>
      <c r="AH323" s="2">
        <f t="shared" si="49"/>
        <v>0.22451900117879814</v>
      </c>
      <c r="AI323" s="2"/>
      <c r="AJ323" s="2"/>
    </row>
    <row r="324" spans="2:36" x14ac:dyDescent="0.25">
      <c r="B324" s="1">
        <v>41653</v>
      </c>
      <c r="C324">
        <v>287413</v>
      </c>
      <c r="D324">
        <v>66038</v>
      </c>
      <c r="F324" s="2">
        <f t="shared" si="42"/>
        <v>0.18683777949418731</v>
      </c>
      <c r="I324">
        <v>284307</v>
      </c>
      <c r="J324">
        <v>54585</v>
      </c>
      <c r="L324" s="2">
        <f t="shared" si="43"/>
        <v>0.16106901313692859</v>
      </c>
      <c r="N324">
        <v>186211</v>
      </c>
      <c r="O324">
        <v>103044</v>
      </c>
      <c r="Q324" s="2">
        <f t="shared" si="44"/>
        <v>0.35623930441997548</v>
      </c>
      <c r="T324">
        <v>185276</v>
      </c>
      <c r="U324">
        <v>99618</v>
      </c>
      <c r="W324" s="2">
        <f t="shared" si="45"/>
        <v>0.34966689365167397</v>
      </c>
      <c r="Z324">
        <f t="shared" si="40"/>
        <v>473624</v>
      </c>
      <c r="AA324">
        <f t="shared" si="41"/>
        <v>169082</v>
      </c>
      <c r="AC324" s="2">
        <f t="shared" si="46"/>
        <v>0.26307829707517899</v>
      </c>
      <c r="AD324" s="2"/>
      <c r="AE324">
        <f t="shared" si="47"/>
        <v>469583</v>
      </c>
      <c r="AF324">
        <f t="shared" si="48"/>
        <v>154203</v>
      </c>
      <c r="AH324" s="2">
        <f t="shared" si="49"/>
        <v>0.24720497093554519</v>
      </c>
      <c r="AI324" s="2"/>
      <c r="AJ324" s="2"/>
    </row>
    <row r="325" spans="2:36" x14ac:dyDescent="0.25">
      <c r="B325" s="1">
        <v>41660</v>
      </c>
      <c r="C325">
        <v>291125</v>
      </c>
      <c r="D325">
        <v>69195</v>
      </c>
      <c r="F325" s="2">
        <f t="shared" si="42"/>
        <v>0.19203763321492007</v>
      </c>
      <c r="I325">
        <v>294921</v>
      </c>
      <c r="J325">
        <v>64418</v>
      </c>
      <c r="L325" s="2">
        <f t="shared" si="43"/>
        <v>0.17926804493806683</v>
      </c>
      <c r="N325">
        <v>193591</v>
      </c>
      <c r="O325">
        <v>104069</v>
      </c>
      <c r="Q325" s="2">
        <f t="shared" si="44"/>
        <v>0.34962373177450784</v>
      </c>
      <c r="T325">
        <v>192169</v>
      </c>
      <c r="U325">
        <v>101854</v>
      </c>
      <c r="W325" s="2">
        <f t="shared" si="45"/>
        <v>0.34641507637157637</v>
      </c>
      <c r="Z325">
        <f t="shared" si="40"/>
        <v>484716</v>
      </c>
      <c r="AA325">
        <f t="shared" si="41"/>
        <v>173264</v>
      </c>
      <c r="AC325" s="2">
        <f t="shared" si="46"/>
        <v>0.263327152800997</v>
      </c>
      <c r="AD325" s="2"/>
      <c r="AE325">
        <f t="shared" si="47"/>
        <v>487090</v>
      </c>
      <c r="AF325">
        <f t="shared" si="48"/>
        <v>166272</v>
      </c>
      <c r="AH325" s="2">
        <f t="shared" si="49"/>
        <v>0.25448679292643284</v>
      </c>
      <c r="AI325" s="2"/>
      <c r="AJ325" s="2"/>
    </row>
    <row r="326" spans="2:36" x14ac:dyDescent="0.25">
      <c r="B326" s="1">
        <v>41667</v>
      </c>
      <c r="C326">
        <v>302094</v>
      </c>
      <c r="D326">
        <v>51791</v>
      </c>
      <c r="F326" s="2">
        <f t="shared" si="42"/>
        <v>0.1463498029020727</v>
      </c>
      <c r="I326">
        <v>306886</v>
      </c>
      <c r="J326">
        <v>46604</v>
      </c>
      <c r="L326" s="2">
        <f t="shared" si="43"/>
        <v>0.1318396560015842</v>
      </c>
      <c r="N326">
        <v>207109</v>
      </c>
      <c r="O326">
        <v>108766</v>
      </c>
      <c r="Q326" s="2">
        <f t="shared" si="44"/>
        <v>0.34433240997229919</v>
      </c>
      <c r="T326">
        <v>206902</v>
      </c>
      <c r="U326">
        <v>108631</v>
      </c>
      <c r="W326" s="2">
        <f t="shared" si="45"/>
        <v>0.34427777760170886</v>
      </c>
      <c r="Z326">
        <f t="shared" si="40"/>
        <v>509203</v>
      </c>
      <c r="AA326">
        <f t="shared" si="41"/>
        <v>160557</v>
      </c>
      <c r="AC326" s="2">
        <f t="shared" si="46"/>
        <v>0.23972318442427137</v>
      </c>
      <c r="AD326" s="2"/>
      <c r="AE326">
        <f t="shared" si="47"/>
        <v>513788</v>
      </c>
      <c r="AF326">
        <f t="shared" si="48"/>
        <v>155235</v>
      </c>
      <c r="AH326" s="2">
        <f t="shared" si="49"/>
        <v>0.23203238154742065</v>
      </c>
      <c r="AI326" s="2"/>
      <c r="AJ326" s="2"/>
    </row>
    <row r="327" spans="2:36" x14ac:dyDescent="0.25">
      <c r="B327" s="1">
        <v>41674</v>
      </c>
      <c r="C327">
        <v>310000</v>
      </c>
      <c r="D327">
        <v>40288</v>
      </c>
      <c r="F327" s="2">
        <f t="shared" si="42"/>
        <v>0.11501393139359613</v>
      </c>
      <c r="I327">
        <v>311829</v>
      </c>
      <c r="J327">
        <v>35898</v>
      </c>
      <c r="L327" s="2">
        <f t="shared" si="43"/>
        <v>0.10323615940090933</v>
      </c>
      <c r="N327">
        <v>203114</v>
      </c>
      <c r="O327">
        <v>116691</v>
      </c>
      <c r="Q327" s="2">
        <f t="shared" si="44"/>
        <v>0.36488172480105063</v>
      </c>
      <c r="T327">
        <v>199966</v>
      </c>
      <c r="U327">
        <v>115690</v>
      </c>
      <c r="W327" s="2">
        <f t="shared" si="45"/>
        <v>0.3665065767797856</v>
      </c>
      <c r="Z327">
        <f t="shared" si="40"/>
        <v>513114</v>
      </c>
      <c r="AA327">
        <f t="shared" si="41"/>
        <v>156979</v>
      </c>
      <c r="AC327" s="2">
        <f t="shared" si="46"/>
        <v>0.23426449761451024</v>
      </c>
      <c r="AD327" s="2"/>
      <c r="AE327">
        <f t="shared" si="47"/>
        <v>511795</v>
      </c>
      <c r="AF327">
        <f t="shared" si="48"/>
        <v>151588</v>
      </c>
      <c r="AH327" s="2">
        <f t="shared" si="49"/>
        <v>0.22850751375902006</v>
      </c>
      <c r="AI327" s="2"/>
      <c r="AJ327" s="2"/>
    </row>
    <row r="328" spans="2:36" x14ac:dyDescent="0.25">
      <c r="B328" s="1">
        <v>41681</v>
      </c>
      <c r="C328">
        <v>322701</v>
      </c>
      <c r="D328">
        <v>30643</v>
      </c>
      <c r="F328" s="2">
        <f t="shared" si="42"/>
        <v>8.6722853649701143E-2</v>
      </c>
      <c r="I328">
        <v>329612</v>
      </c>
      <c r="J328">
        <v>23591</v>
      </c>
      <c r="L328" s="2">
        <f t="shared" si="43"/>
        <v>6.6791618417737106E-2</v>
      </c>
      <c r="N328">
        <v>222129</v>
      </c>
      <c r="O328">
        <v>109321</v>
      </c>
      <c r="Q328" s="2">
        <f t="shared" si="44"/>
        <v>0.3298265198370795</v>
      </c>
      <c r="T328">
        <v>220535</v>
      </c>
      <c r="U328">
        <v>111312</v>
      </c>
      <c r="W328" s="2">
        <f t="shared" si="45"/>
        <v>0.33543168990528766</v>
      </c>
      <c r="Z328">
        <f t="shared" si="40"/>
        <v>544830</v>
      </c>
      <c r="AA328">
        <f t="shared" si="41"/>
        <v>139964</v>
      </c>
      <c r="AC328" s="2">
        <f t="shared" si="46"/>
        <v>0.20438847302984547</v>
      </c>
      <c r="AD328" s="2"/>
      <c r="AE328">
        <f t="shared" si="47"/>
        <v>550147</v>
      </c>
      <c r="AF328">
        <f t="shared" si="48"/>
        <v>134903</v>
      </c>
      <c r="AH328" s="2">
        <f t="shared" si="49"/>
        <v>0.19692431209400774</v>
      </c>
      <c r="AI328" s="2"/>
      <c r="AJ328" s="2"/>
    </row>
    <row r="329" spans="2:36" x14ac:dyDescent="0.25">
      <c r="B329" s="1">
        <v>41688</v>
      </c>
      <c r="C329">
        <v>346569</v>
      </c>
      <c r="D329">
        <v>22797</v>
      </c>
      <c r="F329" s="2">
        <f t="shared" si="42"/>
        <v>6.1719270317246305E-2</v>
      </c>
      <c r="I329">
        <v>352401</v>
      </c>
      <c r="J329">
        <v>20544</v>
      </c>
      <c r="L329" s="2">
        <f t="shared" si="43"/>
        <v>5.5085870570727585E-2</v>
      </c>
      <c r="N329">
        <v>232067</v>
      </c>
      <c r="O329">
        <v>105586</v>
      </c>
      <c r="Q329" s="2">
        <f t="shared" si="44"/>
        <v>0.31270564751386781</v>
      </c>
      <c r="T329">
        <v>229858</v>
      </c>
      <c r="U329">
        <v>108151</v>
      </c>
      <c r="W329" s="2">
        <f t="shared" si="45"/>
        <v>0.31996485300687261</v>
      </c>
      <c r="Z329">
        <f t="shared" ref="Z329:Z392" si="50">IFERROR(+C329+N329,C329)</f>
        <v>578636</v>
      </c>
      <c r="AA329">
        <f t="shared" ref="AA329:AA392" si="51">IFERROR(+D329+O329,D329)</f>
        <v>128383</v>
      </c>
      <c r="AC329" s="2">
        <f t="shared" si="46"/>
        <v>0.1815835218006871</v>
      </c>
      <c r="AD329" s="2"/>
      <c r="AE329">
        <f t="shared" si="47"/>
        <v>582259</v>
      </c>
      <c r="AF329">
        <f t="shared" si="48"/>
        <v>128695</v>
      </c>
      <c r="AH329" s="2">
        <f t="shared" si="49"/>
        <v>0.18101733726795263</v>
      </c>
      <c r="AI329" s="2"/>
      <c r="AJ329" s="2"/>
    </row>
    <row r="330" spans="2:36" x14ac:dyDescent="0.25">
      <c r="B330" s="1">
        <v>41695</v>
      </c>
      <c r="C330">
        <v>354507</v>
      </c>
      <c r="D330">
        <v>25378</v>
      </c>
      <c r="F330" s="2">
        <f t="shared" ref="F330:F393" si="52">+D330/SUM(C330:D330)</f>
        <v>6.6804427655737922E-2</v>
      </c>
      <c r="I330">
        <v>360868</v>
      </c>
      <c r="J330">
        <v>21816</v>
      </c>
      <c r="L330" s="2">
        <f t="shared" ref="L330:L393" si="53">+J330/SUM(I330:J330)</f>
        <v>5.7007870723625759E-2</v>
      </c>
      <c r="N330">
        <v>244977</v>
      </c>
      <c r="O330">
        <v>99074</v>
      </c>
      <c r="Q330" s="2">
        <f t="shared" ref="Q330:Q393" si="54">+O330/SUM(N330:O330)</f>
        <v>0.28796312174648525</v>
      </c>
      <c r="T330">
        <v>241801</v>
      </c>
      <c r="U330">
        <v>101880</v>
      </c>
      <c r="W330" s="2">
        <f t="shared" ref="W330:W393" si="55">+U330/SUM(T330:U330)</f>
        <v>0.29643768494621464</v>
      </c>
      <c r="Z330">
        <f t="shared" si="50"/>
        <v>599484</v>
      </c>
      <c r="AA330">
        <f t="shared" si="51"/>
        <v>124452</v>
      </c>
      <c r="AC330" s="2">
        <f t="shared" ref="AC330:AC393" si="56">+AA330/SUM(Z330:AA330)</f>
        <v>0.17191022410820847</v>
      </c>
      <c r="AD330" s="2"/>
      <c r="AE330">
        <f t="shared" ref="AE330:AE393" si="57">IFERROR(+I330+T330,I330)</f>
        <v>602669</v>
      </c>
      <c r="AF330">
        <f t="shared" ref="AF330:AF393" si="58">IFERROR(+J330+U330,J330)</f>
        <v>123696</v>
      </c>
      <c r="AH330" s="2">
        <f t="shared" ref="AH330:AH393" si="59">+AF330/SUM(AE330:AF330)</f>
        <v>0.17029454888382561</v>
      </c>
      <c r="AI330" s="2"/>
      <c r="AJ330" s="2"/>
    </row>
    <row r="331" spans="2:36" x14ac:dyDescent="0.25">
      <c r="B331" s="1">
        <v>41702</v>
      </c>
      <c r="C331">
        <v>363546</v>
      </c>
      <c r="D331">
        <v>24268</v>
      </c>
      <c r="F331" s="2">
        <f t="shared" si="52"/>
        <v>6.2576389712594188E-2</v>
      </c>
      <c r="I331">
        <v>368360</v>
      </c>
      <c r="J331">
        <v>21891</v>
      </c>
      <c r="L331" s="2">
        <f t="shared" si="53"/>
        <v>5.6094667278238877E-2</v>
      </c>
      <c r="N331">
        <v>246239</v>
      </c>
      <c r="O331">
        <v>93352</v>
      </c>
      <c r="Q331" s="2">
        <f t="shared" si="54"/>
        <v>0.27489538886484033</v>
      </c>
      <c r="T331">
        <v>242616</v>
      </c>
      <c r="U331">
        <v>95831</v>
      </c>
      <c r="W331" s="2">
        <f t="shared" si="55"/>
        <v>0.28314920800007093</v>
      </c>
      <c r="Z331">
        <f t="shared" si="50"/>
        <v>609785</v>
      </c>
      <c r="AA331">
        <f t="shared" si="51"/>
        <v>117620</v>
      </c>
      <c r="AC331" s="2">
        <f t="shared" si="56"/>
        <v>0.16169809115967035</v>
      </c>
      <c r="AD331" s="2"/>
      <c r="AE331">
        <f t="shared" si="57"/>
        <v>610976</v>
      </c>
      <c r="AF331">
        <f t="shared" si="58"/>
        <v>117722</v>
      </c>
      <c r="AH331" s="2">
        <f t="shared" si="59"/>
        <v>0.16155115013352583</v>
      </c>
      <c r="AI331" s="2"/>
      <c r="AJ331" s="2"/>
    </row>
    <row r="332" spans="2:36" x14ac:dyDescent="0.25">
      <c r="B332" s="1">
        <v>41709</v>
      </c>
      <c r="C332">
        <v>355002</v>
      </c>
      <c r="D332">
        <v>28413</v>
      </c>
      <c r="F332" s="2">
        <f t="shared" si="52"/>
        <v>7.4105081960799651E-2</v>
      </c>
      <c r="I332">
        <v>357628</v>
      </c>
      <c r="J332">
        <v>29533</v>
      </c>
      <c r="L332" s="2">
        <f t="shared" si="53"/>
        <v>7.6280927056185929E-2</v>
      </c>
      <c r="N332">
        <v>229970</v>
      </c>
      <c r="O332">
        <v>89806</v>
      </c>
      <c r="Q332" s="2">
        <f t="shared" si="54"/>
        <v>0.28084033823676574</v>
      </c>
      <c r="T332">
        <v>227403</v>
      </c>
      <c r="U332">
        <v>90927</v>
      </c>
      <c r="W332" s="2">
        <f t="shared" si="55"/>
        <v>0.28563754594288948</v>
      </c>
      <c r="Z332">
        <f t="shared" si="50"/>
        <v>584972</v>
      </c>
      <c r="AA332">
        <f t="shared" si="51"/>
        <v>118219</v>
      </c>
      <c r="AC332" s="2">
        <f t="shared" si="56"/>
        <v>0.16811790822123718</v>
      </c>
      <c r="AD332" s="2"/>
      <c r="AE332">
        <f t="shared" si="57"/>
        <v>585031</v>
      </c>
      <c r="AF332">
        <f t="shared" si="58"/>
        <v>120460</v>
      </c>
      <c r="AH332" s="2">
        <f t="shared" si="59"/>
        <v>0.17074633127849964</v>
      </c>
      <c r="AI332" s="2"/>
      <c r="AJ332" s="2"/>
    </row>
    <row r="333" spans="2:36" x14ac:dyDescent="0.25">
      <c r="B333" s="1">
        <v>41716</v>
      </c>
      <c r="C333">
        <v>330474</v>
      </c>
      <c r="D333">
        <v>40253</v>
      </c>
      <c r="F333" s="2">
        <f t="shared" si="52"/>
        <v>0.10857854971447993</v>
      </c>
      <c r="I333">
        <v>334104</v>
      </c>
      <c r="J333">
        <v>31784</v>
      </c>
      <c r="L333" s="2">
        <f t="shared" si="53"/>
        <v>8.6868112646492912E-2</v>
      </c>
      <c r="N333">
        <v>218125</v>
      </c>
      <c r="O333">
        <v>77208</v>
      </c>
      <c r="Q333" s="2">
        <f t="shared" si="54"/>
        <v>0.26142693163310571</v>
      </c>
      <c r="T333">
        <v>212713</v>
      </c>
      <c r="U333">
        <v>77511</v>
      </c>
      <c r="W333" s="2">
        <f t="shared" si="55"/>
        <v>0.26707301946083023</v>
      </c>
      <c r="Z333">
        <f t="shared" si="50"/>
        <v>548599</v>
      </c>
      <c r="AA333">
        <f t="shared" si="51"/>
        <v>117461</v>
      </c>
      <c r="AC333" s="2">
        <f t="shared" si="56"/>
        <v>0.17635198030207488</v>
      </c>
      <c r="AD333" s="2"/>
      <c r="AE333">
        <f t="shared" si="57"/>
        <v>546817</v>
      </c>
      <c r="AF333">
        <f t="shared" si="58"/>
        <v>109295</v>
      </c>
      <c r="AH333" s="2">
        <f t="shared" si="59"/>
        <v>0.16657979125515157</v>
      </c>
      <c r="AI333" s="2"/>
      <c r="AJ333" s="2"/>
    </row>
    <row r="334" spans="2:36" x14ac:dyDescent="0.25">
      <c r="B334" s="1">
        <v>41723</v>
      </c>
      <c r="C334">
        <v>328802</v>
      </c>
      <c r="D334">
        <v>46166</v>
      </c>
      <c r="F334" s="2">
        <f t="shared" si="52"/>
        <v>0.12311983955964242</v>
      </c>
      <c r="I334">
        <v>331998</v>
      </c>
      <c r="J334">
        <v>38595</v>
      </c>
      <c r="L334" s="2">
        <f t="shared" si="53"/>
        <v>0.10414389910224964</v>
      </c>
      <c r="N334">
        <v>218640</v>
      </c>
      <c r="O334">
        <v>82655</v>
      </c>
      <c r="Q334" s="2">
        <f t="shared" si="54"/>
        <v>0.27433246486002089</v>
      </c>
      <c r="T334">
        <v>213034</v>
      </c>
      <c r="U334">
        <v>82962</v>
      </c>
      <c r="W334" s="2">
        <f t="shared" si="55"/>
        <v>0.28028081460560278</v>
      </c>
      <c r="Z334">
        <f t="shared" si="50"/>
        <v>547442</v>
      </c>
      <c r="AA334">
        <f t="shared" si="51"/>
        <v>128821</v>
      </c>
      <c r="AC334" s="2">
        <f t="shared" si="56"/>
        <v>0.19048949890796923</v>
      </c>
      <c r="AD334" s="2"/>
      <c r="AE334">
        <f t="shared" si="57"/>
        <v>545032</v>
      </c>
      <c r="AF334">
        <f t="shared" si="58"/>
        <v>121557</v>
      </c>
      <c r="AH334" s="2">
        <f t="shared" si="59"/>
        <v>0.18235674456074133</v>
      </c>
      <c r="AI334" s="2"/>
      <c r="AJ334" s="2"/>
    </row>
    <row r="335" spans="2:36" x14ac:dyDescent="0.25">
      <c r="B335" s="1">
        <v>41730</v>
      </c>
      <c r="C335">
        <v>338867</v>
      </c>
      <c r="D335">
        <v>45102</v>
      </c>
      <c r="F335" s="2">
        <f t="shared" si="52"/>
        <v>0.11746260765843076</v>
      </c>
      <c r="I335">
        <v>338659</v>
      </c>
      <c r="J335">
        <v>37738</v>
      </c>
      <c r="L335" s="2">
        <f t="shared" si="53"/>
        <v>0.10026116042370158</v>
      </c>
      <c r="N335">
        <v>219151</v>
      </c>
      <c r="O335">
        <v>85565</v>
      </c>
      <c r="Q335" s="2">
        <f t="shared" si="54"/>
        <v>0.28080245211935045</v>
      </c>
      <c r="T335">
        <v>212864</v>
      </c>
      <c r="U335">
        <v>85195</v>
      </c>
      <c r="W335" s="2">
        <f t="shared" si="55"/>
        <v>0.28583267071284546</v>
      </c>
      <c r="Z335">
        <f t="shared" si="50"/>
        <v>558018</v>
      </c>
      <c r="AA335">
        <f t="shared" si="51"/>
        <v>130667</v>
      </c>
      <c r="AC335" s="2">
        <f t="shared" si="56"/>
        <v>0.1897340583866354</v>
      </c>
      <c r="AD335" s="2"/>
      <c r="AE335">
        <f t="shared" si="57"/>
        <v>551523</v>
      </c>
      <c r="AF335">
        <f t="shared" si="58"/>
        <v>122933</v>
      </c>
      <c r="AH335" s="2">
        <f t="shared" si="59"/>
        <v>0.18226985896782</v>
      </c>
      <c r="AI335" s="2"/>
      <c r="AJ335" s="2"/>
    </row>
    <row r="336" spans="2:36" x14ac:dyDescent="0.25">
      <c r="B336" s="1">
        <v>41737</v>
      </c>
      <c r="C336">
        <v>350767</v>
      </c>
      <c r="D336">
        <v>30872</v>
      </c>
      <c r="F336" s="2">
        <f t="shared" si="52"/>
        <v>8.0893200118436537E-2</v>
      </c>
      <c r="I336">
        <v>354743</v>
      </c>
      <c r="J336">
        <v>23687</v>
      </c>
      <c r="L336" s="2">
        <f t="shared" si="53"/>
        <v>6.2592817694157435E-2</v>
      </c>
      <c r="N336">
        <v>220815</v>
      </c>
      <c r="O336">
        <v>80291</v>
      </c>
      <c r="Q336" s="2">
        <f t="shared" si="54"/>
        <v>0.26665360371430658</v>
      </c>
      <c r="T336">
        <v>216957</v>
      </c>
      <c r="U336">
        <v>83928</v>
      </c>
      <c r="W336" s="2">
        <f t="shared" si="55"/>
        <v>0.27893713545042126</v>
      </c>
      <c r="Z336">
        <f t="shared" si="50"/>
        <v>571582</v>
      </c>
      <c r="AA336">
        <f t="shared" si="51"/>
        <v>111163</v>
      </c>
      <c r="AC336" s="2">
        <f t="shared" si="56"/>
        <v>0.16281774308123823</v>
      </c>
      <c r="AD336" s="2"/>
      <c r="AE336">
        <f t="shared" si="57"/>
        <v>571700</v>
      </c>
      <c r="AF336">
        <f t="shared" si="58"/>
        <v>107615</v>
      </c>
      <c r="AH336" s="2">
        <f t="shared" si="59"/>
        <v>0.15841693470628501</v>
      </c>
      <c r="AI336" s="2"/>
      <c r="AJ336" s="2"/>
    </row>
    <row r="337" spans="2:36" x14ac:dyDescent="0.25">
      <c r="B337" s="1">
        <v>41744</v>
      </c>
      <c r="C337">
        <v>363758</v>
      </c>
      <c r="D337">
        <v>32383</v>
      </c>
      <c r="F337" s="2">
        <f t="shared" si="52"/>
        <v>8.1746145942984946E-2</v>
      </c>
      <c r="I337">
        <v>365619</v>
      </c>
      <c r="J337">
        <v>24142</v>
      </c>
      <c r="L337" s="2">
        <f t="shared" si="53"/>
        <v>6.1940522525342455E-2</v>
      </c>
      <c r="N337">
        <v>241255</v>
      </c>
      <c r="O337">
        <v>67590</v>
      </c>
      <c r="Q337" s="2">
        <f t="shared" si="54"/>
        <v>0.21884764202107854</v>
      </c>
      <c r="T337">
        <v>240511</v>
      </c>
      <c r="U337">
        <v>70878</v>
      </c>
      <c r="W337" s="2">
        <f t="shared" si="55"/>
        <v>0.22761883046607298</v>
      </c>
      <c r="Z337">
        <f t="shared" si="50"/>
        <v>605013</v>
      </c>
      <c r="AA337">
        <f t="shared" si="51"/>
        <v>99973</v>
      </c>
      <c r="AC337" s="2">
        <f t="shared" si="56"/>
        <v>0.14180848981398211</v>
      </c>
      <c r="AD337" s="2"/>
      <c r="AE337">
        <f t="shared" si="57"/>
        <v>606130</v>
      </c>
      <c r="AF337">
        <f t="shared" si="58"/>
        <v>95020</v>
      </c>
      <c r="AH337" s="2">
        <f t="shared" si="59"/>
        <v>0.13552021678670756</v>
      </c>
      <c r="AI337" s="2"/>
      <c r="AJ337" s="2"/>
    </row>
    <row r="338" spans="2:36" x14ac:dyDescent="0.25">
      <c r="B338" s="1">
        <v>41751</v>
      </c>
      <c r="C338">
        <v>355102</v>
      </c>
      <c r="D338">
        <v>32314</v>
      </c>
      <c r="F338" s="2">
        <f t="shared" si="52"/>
        <v>8.3409048671195821E-2</v>
      </c>
      <c r="I338">
        <v>359346</v>
      </c>
      <c r="J338">
        <v>25555</v>
      </c>
      <c r="L338" s="2">
        <f t="shared" si="53"/>
        <v>6.6393696041319714E-2</v>
      </c>
      <c r="N338">
        <v>253996</v>
      </c>
      <c r="O338">
        <v>47425</v>
      </c>
      <c r="Q338" s="2">
        <f t="shared" si="54"/>
        <v>0.15733807531658378</v>
      </c>
      <c r="T338">
        <v>254752</v>
      </c>
      <c r="U338">
        <v>50839</v>
      </c>
      <c r="W338" s="2">
        <f t="shared" si="55"/>
        <v>0.16636288372366986</v>
      </c>
      <c r="Z338">
        <f t="shared" si="50"/>
        <v>609098</v>
      </c>
      <c r="AA338">
        <f t="shared" si="51"/>
        <v>79739</v>
      </c>
      <c r="AC338" s="2">
        <f t="shared" si="56"/>
        <v>0.11575888054793805</v>
      </c>
      <c r="AD338" s="2"/>
      <c r="AE338">
        <f t="shared" si="57"/>
        <v>614098</v>
      </c>
      <c r="AF338">
        <f t="shared" si="58"/>
        <v>76394</v>
      </c>
      <c r="AH338" s="2">
        <f t="shared" si="59"/>
        <v>0.11063705299988993</v>
      </c>
      <c r="AI338" s="2"/>
      <c r="AJ338" s="2"/>
    </row>
    <row r="339" spans="2:36" x14ac:dyDescent="0.25">
      <c r="B339" s="1">
        <v>41758</v>
      </c>
      <c r="C339">
        <v>354435</v>
      </c>
      <c r="D339">
        <v>34130</v>
      </c>
      <c r="F339" s="2">
        <f t="shared" si="52"/>
        <v>8.7836011992845464E-2</v>
      </c>
      <c r="I339">
        <v>361183</v>
      </c>
      <c r="J339">
        <v>30472</v>
      </c>
      <c r="L339" s="2">
        <f t="shared" si="53"/>
        <v>7.7803168605022274E-2</v>
      </c>
      <c r="N339">
        <v>254383</v>
      </c>
      <c r="O339">
        <v>47490</v>
      </c>
      <c r="Q339" s="2">
        <f t="shared" si="54"/>
        <v>0.15731781245755666</v>
      </c>
      <c r="T339">
        <v>252288</v>
      </c>
      <c r="U339">
        <v>47800</v>
      </c>
      <c r="W339" s="2">
        <f t="shared" si="55"/>
        <v>0.15928660926128335</v>
      </c>
      <c r="Z339">
        <f t="shared" si="50"/>
        <v>608818</v>
      </c>
      <c r="AA339">
        <f t="shared" si="51"/>
        <v>81620</v>
      </c>
      <c r="AC339" s="2">
        <f t="shared" si="56"/>
        <v>0.11821481436421517</v>
      </c>
      <c r="AD339" s="2"/>
      <c r="AE339">
        <f t="shared" si="57"/>
        <v>613471</v>
      </c>
      <c r="AF339">
        <f t="shared" si="58"/>
        <v>78272</v>
      </c>
      <c r="AH339" s="2">
        <f t="shared" si="59"/>
        <v>0.1131518497476664</v>
      </c>
      <c r="AI339" s="2"/>
      <c r="AJ339" s="2"/>
    </row>
    <row r="340" spans="2:36" x14ac:dyDescent="0.25">
      <c r="B340" s="1">
        <v>41765</v>
      </c>
      <c r="C340">
        <v>323525</v>
      </c>
      <c r="D340">
        <v>30871</v>
      </c>
      <c r="F340" s="2">
        <f t="shared" si="52"/>
        <v>8.7108770979356431E-2</v>
      </c>
      <c r="I340">
        <v>326808</v>
      </c>
      <c r="J340">
        <v>27265</v>
      </c>
      <c r="L340" s="2">
        <f t="shared" si="53"/>
        <v>7.7003894677086362E-2</v>
      </c>
      <c r="N340">
        <v>232827</v>
      </c>
      <c r="O340">
        <v>60497</v>
      </c>
      <c r="Q340" s="2">
        <f t="shared" si="54"/>
        <v>0.20624633511066262</v>
      </c>
      <c r="T340">
        <v>228830</v>
      </c>
      <c r="U340">
        <v>61140</v>
      </c>
      <c r="W340" s="2">
        <f t="shared" si="55"/>
        <v>0.21084939821360829</v>
      </c>
      <c r="Z340">
        <f t="shared" si="50"/>
        <v>556352</v>
      </c>
      <c r="AA340">
        <f t="shared" si="51"/>
        <v>91368</v>
      </c>
      <c r="AC340" s="2">
        <f t="shared" si="56"/>
        <v>0.14106095226332366</v>
      </c>
      <c r="AD340" s="2"/>
      <c r="AE340">
        <f t="shared" si="57"/>
        <v>555638</v>
      </c>
      <c r="AF340">
        <f t="shared" si="58"/>
        <v>88405</v>
      </c>
      <c r="AH340" s="2">
        <f t="shared" si="59"/>
        <v>0.13726567946550153</v>
      </c>
      <c r="AI340" s="2"/>
      <c r="AJ340" s="2"/>
    </row>
    <row r="341" spans="2:36" x14ac:dyDescent="0.25">
      <c r="B341" s="1">
        <v>41772</v>
      </c>
      <c r="C341">
        <v>325314</v>
      </c>
      <c r="D341">
        <v>28687</v>
      </c>
      <c r="F341" s="2">
        <f t="shared" si="52"/>
        <v>8.1036494247191393E-2</v>
      </c>
      <c r="I341">
        <v>334563</v>
      </c>
      <c r="J341">
        <v>23368</v>
      </c>
      <c r="L341" s="2">
        <f t="shared" si="53"/>
        <v>6.5286326135484213E-2</v>
      </c>
      <c r="N341">
        <v>240156</v>
      </c>
      <c r="O341">
        <v>59850</v>
      </c>
      <c r="Q341" s="2">
        <f t="shared" si="54"/>
        <v>0.19949601007979839</v>
      </c>
      <c r="T341">
        <v>236385</v>
      </c>
      <c r="U341">
        <v>61170</v>
      </c>
      <c r="W341" s="2">
        <f t="shared" si="55"/>
        <v>0.20557543983465243</v>
      </c>
      <c r="Z341">
        <f t="shared" si="50"/>
        <v>565470</v>
      </c>
      <c r="AA341">
        <f t="shared" si="51"/>
        <v>88537</v>
      </c>
      <c r="AC341" s="2">
        <f t="shared" si="56"/>
        <v>0.13537622685995715</v>
      </c>
      <c r="AD341" s="2"/>
      <c r="AE341">
        <f t="shared" si="57"/>
        <v>570948</v>
      </c>
      <c r="AF341">
        <f t="shared" si="58"/>
        <v>84538</v>
      </c>
      <c r="AH341" s="2">
        <f t="shared" si="59"/>
        <v>0.12896995511727177</v>
      </c>
      <c r="AI341" s="2"/>
      <c r="AJ341" s="2"/>
    </row>
    <row r="342" spans="2:36" x14ac:dyDescent="0.25">
      <c r="B342" s="1">
        <v>41779</v>
      </c>
      <c r="C342">
        <v>345335</v>
      </c>
      <c r="D342">
        <v>33443</v>
      </c>
      <c r="F342" s="2">
        <f t="shared" si="52"/>
        <v>8.8291822650734736E-2</v>
      </c>
      <c r="I342">
        <v>347673</v>
      </c>
      <c r="J342">
        <v>23680</v>
      </c>
      <c r="L342" s="2">
        <f t="shared" si="53"/>
        <v>6.3766820249196859E-2</v>
      </c>
      <c r="N342">
        <v>254356</v>
      </c>
      <c r="O342">
        <v>49700</v>
      </c>
      <c r="Q342" s="2">
        <f t="shared" si="54"/>
        <v>0.16345673165469518</v>
      </c>
      <c r="T342">
        <v>250768</v>
      </c>
      <c r="U342">
        <v>49892</v>
      </c>
      <c r="W342" s="2">
        <f t="shared" si="55"/>
        <v>0.16594159515732057</v>
      </c>
      <c r="Z342">
        <f t="shared" si="50"/>
        <v>599691</v>
      </c>
      <c r="AA342">
        <f t="shared" si="51"/>
        <v>83143</v>
      </c>
      <c r="AC342" s="2">
        <f t="shared" si="56"/>
        <v>0.12176165803108809</v>
      </c>
      <c r="AD342" s="2"/>
      <c r="AE342">
        <f t="shared" si="57"/>
        <v>598441</v>
      </c>
      <c r="AF342">
        <f t="shared" si="58"/>
        <v>73572</v>
      </c>
      <c r="AH342" s="2">
        <f t="shared" si="59"/>
        <v>0.10948002493999372</v>
      </c>
      <c r="AI342" s="2"/>
      <c r="AJ342" s="2"/>
    </row>
    <row r="343" spans="2:36" x14ac:dyDescent="0.25">
      <c r="B343" s="1">
        <v>41786</v>
      </c>
      <c r="C343">
        <v>365589</v>
      </c>
      <c r="D343">
        <v>30063</v>
      </c>
      <c r="F343" s="2">
        <f t="shared" si="52"/>
        <v>7.5983439992720878E-2</v>
      </c>
      <c r="I343">
        <v>368660</v>
      </c>
      <c r="J343">
        <v>20591</v>
      </c>
      <c r="L343" s="2">
        <f t="shared" si="53"/>
        <v>5.2899029161132531E-2</v>
      </c>
      <c r="N343">
        <v>258520</v>
      </c>
      <c r="O343">
        <v>42495</v>
      </c>
      <c r="Q343" s="2">
        <f t="shared" si="54"/>
        <v>0.14117236682557346</v>
      </c>
      <c r="T343">
        <v>255460</v>
      </c>
      <c r="U343">
        <v>42096</v>
      </c>
      <c r="W343" s="2">
        <f t="shared" si="55"/>
        <v>0.14147252954065789</v>
      </c>
      <c r="Z343">
        <f t="shared" si="50"/>
        <v>624109</v>
      </c>
      <c r="AA343">
        <f t="shared" si="51"/>
        <v>72558</v>
      </c>
      <c r="AC343" s="2">
        <f t="shared" si="56"/>
        <v>0.10415018940182326</v>
      </c>
      <c r="AD343" s="2"/>
      <c r="AE343">
        <f t="shared" si="57"/>
        <v>624120</v>
      </c>
      <c r="AF343">
        <f t="shared" si="58"/>
        <v>62687</v>
      </c>
      <c r="AH343" s="2">
        <f t="shared" si="59"/>
        <v>9.127309418803245E-2</v>
      </c>
      <c r="AI343" s="2"/>
      <c r="AJ343" s="2"/>
    </row>
    <row r="344" spans="2:36" x14ac:dyDescent="0.25">
      <c r="B344" s="1">
        <v>41793</v>
      </c>
      <c r="C344">
        <v>362982</v>
      </c>
      <c r="D344">
        <v>26818</v>
      </c>
      <c r="F344" s="2">
        <f t="shared" si="52"/>
        <v>6.8799384299640845E-2</v>
      </c>
      <c r="I344">
        <v>364685</v>
      </c>
      <c r="J344">
        <v>21680</v>
      </c>
      <c r="L344" s="2">
        <f t="shared" si="53"/>
        <v>5.6112743131494829E-2</v>
      </c>
      <c r="N344">
        <v>253764</v>
      </c>
      <c r="O344">
        <v>50215</v>
      </c>
      <c r="Q344" s="2">
        <f t="shared" si="54"/>
        <v>0.1651923323650647</v>
      </c>
      <c r="T344">
        <v>244582</v>
      </c>
      <c r="U344">
        <v>47638</v>
      </c>
      <c r="W344" s="2">
        <f t="shared" si="55"/>
        <v>0.16302101156662788</v>
      </c>
      <c r="Z344">
        <f t="shared" si="50"/>
        <v>616746</v>
      </c>
      <c r="AA344">
        <f t="shared" si="51"/>
        <v>77033</v>
      </c>
      <c r="AC344" s="2">
        <f t="shared" si="56"/>
        <v>0.11103391714076097</v>
      </c>
      <c r="AD344" s="2"/>
      <c r="AE344">
        <f t="shared" si="57"/>
        <v>609267</v>
      </c>
      <c r="AF344">
        <f t="shared" si="58"/>
        <v>69318</v>
      </c>
      <c r="AH344" s="2">
        <f t="shared" si="59"/>
        <v>0.10215079908928137</v>
      </c>
      <c r="AI344" s="2"/>
      <c r="AJ344" s="2"/>
    </row>
    <row r="345" spans="2:36" x14ac:dyDescent="0.25">
      <c r="B345" s="1">
        <v>41800</v>
      </c>
      <c r="C345">
        <v>356487</v>
      </c>
      <c r="D345">
        <v>27091</v>
      </c>
      <c r="F345" s="2">
        <f t="shared" si="52"/>
        <v>7.0627095401717507E-2</v>
      </c>
      <c r="I345">
        <v>361774</v>
      </c>
      <c r="J345">
        <v>20094</v>
      </c>
      <c r="L345" s="2">
        <f t="shared" si="53"/>
        <v>5.2620277163836715E-2</v>
      </c>
      <c r="N345">
        <v>257453</v>
      </c>
      <c r="O345">
        <v>53919</v>
      </c>
      <c r="Q345" s="2">
        <f t="shared" si="54"/>
        <v>0.17316585948640212</v>
      </c>
      <c r="T345">
        <v>247515</v>
      </c>
      <c r="U345">
        <v>52555</v>
      </c>
      <c r="W345" s="2">
        <f t="shared" si="55"/>
        <v>0.17514246675775652</v>
      </c>
      <c r="Z345">
        <f t="shared" si="50"/>
        <v>613940</v>
      </c>
      <c r="AA345">
        <f t="shared" si="51"/>
        <v>81010</v>
      </c>
      <c r="AC345" s="2">
        <f t="shared" si="56"/>
        <v>0.1165695373767897</v>
      </c>
      <c r="AD345" s="2"/>
      <c r="AE345">
        <f t="shared" si="57"/>
        <v>609289</v>
      </c>
      <c r="AF345">
        <f t="shared" si="58"/>
        <v>72649</v>
      </c>
      <c r="AH345" s="2">
        <f t="shared" si="59"/>
        <v>0.10653314524194282</v>
      </c>
      <c r="AI345" s="2"/>
      <c r="AJ345" s="2"/>
    </row>
    <row r="346" spans="2:36" x14ac:dyDescent="0.25">
      <c r="B346" s="1">
        <v>41807</v>
      </c>
      <c r="C346">
        <v>367081</v>
      </c>
      <c r="D346">
        <v>34799</v>
      </c>
      <c r="F346" s="2">
        <f t="shared" si="52"/>
        <v>8.6590524534686977E-2</v>
      </c>
      <c r="I346">
        <v>378701</v>
      </c>
      <c r="J346">
        <v>22365</v>
      </c>
      <c r="L346" s="2">
        <f t="shared" si="53"/>
        <v>5.576388923518822E-2</v>
      </c>
      <c r="N346">
        <v>273015</v>
      </c>
      <c r="O346">
        <v>50059</v>
      </c>
      <c r="Q346" s="2">
        <f t="shared" si="54"/>
        <v>0.15494592570123253</v>
      </c>
      <c r="T346">
        <v>269389</v>
      </c>
      <c r="U346">
        <v>45639</v>
      </c>
      <c r="W346" s="2">
        <f t="shared" si="55"/>
        <v>0.14487283670022982</v>
      </c>
      <c r="Z346">
        <f t="shared" si="50"/>
        <v>640096</v>
      </c>
      <c r="AA346">
        <f t="shared" si="51"/>
        <v>84858</v>
      </c>
      <c r="AC346" s="2">
        <f t="shared" si="56"/>
        <v>0.11705294404886379</v>
      </c>
      <c r="AD346" s="2"/>
      <c r="AE346">
        <f t="shared" si="57"/>
        <v>648090</v>
      </c>
      <c r="AF346">
        <f t="shared" si="58"/>
        <v>68004</v>
      </c>
      <c r="AH346" s="2">
        <f t="shared" si="59"/>
        <v>9.4965186134781193E-2</v>
      </c>
      <c r="AI346" s="2"/>
      <c r="AJ346" s="2"/>
    </row>
    <row r="347" spans="2:36" x14ac:dyDescent="0.25">
      <c r="B347" s="1">
        <v>41814</v>
      </c>
      <c r="C347">
        <v>360883</v>
      </c>
      <c r="D347">
        <v>37895</v>
      </c>
      <c r="F347" s="2">
        <f t="shared" si="52"/>
        <v>9.5027809959426043E-2</v>
      </c>
      <c r="I347">
        <v>367505</v>
      </c>
      <c r="J347">
        <v>22222</v>
      </c>
      <c r="L347" s="2">
        <f t="shared" si="53"/>
        <v>5.7019400760019191E-2</v>
      </c>
      <c r="N347">
        <v>289479</v>
      </c>
      <c r="O347">
        <v>49038</v>
      </c>
      <c r="Q347" s="2">
        <f t="shared" si="54"/>
        <v>0.1448612625067574</v>
      </c>
      <c r="T347">
        <v>287277</v>
      </c>
      <c r="U347">
        <v>45076</v>
      </c>
      <c r="W347" s="2">
        <f t="shared" si="55"/>
        <v>0.13562687865010997</v>
      </c>
      <c r="Z347">
        <f t="shared" si="50"/>
        <v>650362</v>
      </c>
      <c r="AA347">
        <f t="shared" si="51"/>
        <v>86933</v>
      </c>
      <c r="AC347" s="2">
        <f t="shared" si="56"/>
        <v>0.11790802867237672</v>
      </c>
      <c r="AD347" s="2"/>
      <c r="AE347">
        <f t="shared" si="57"/>
        <v>654782</v>
      </c>
      <c r="AF347">
        <f t="shared" si="58"/>
        <v>67298</v>
      </c>
      <c r="AH347" s="2">
        <f t="shared" si="59"/>
        <v>9.3200199423886548E-2</v>
      </c>
      <c r="AI347" s="2"/>
      <c r="AJ347" s="2"/>
    </row>
    <row r="348" spans="2:36" x14ac:dyDescent="0.25">
      <c r="B348" s="1">
        <v>41821</v>
      </c>
      <c r="C348">
        <v>348787</v>
      </c>
      <c r="D348">
        <v>37392</v>
      </c>
      <c r="F348" s="2">
        <f t="shared" si="52"/>
        <v>9.6825565346639775E-2</v>
      </c>
      <c r="I348">
        <v>355572</v>
      </c>
      <c r="J348">
        <v>25424</v>
      </c>
      <c r="L348" s="2">
        <f t="shared" si="53"/>
        <v>6.6730359373851689E-2</v>
      </c>
      <c r="N348">
        <v>290992</v>
      </c>
      <c r="O348">
        <v>50900</v>
      </c>
      <c r="Q348" s="2">
        <f t="shared" si="54"/>
        <v>0.14887742327986617</v>
      </c>
      <c r="T348">
        <v>288150</v>
      </c>
      <c r="U348">
        <v>52363</v>
      </c>
      <c r="W348" s="2">
        <f t="shared" si="55"/>
        <v>0.15377680147307152</v>
      </c>
      <c r="Z348">
        <f t="shared" si="50"/>
        <v>639779</v>
      </c>
      <c r="AA348">
        <f t="shared" si="51"/>
        <v>88292</v>
      </c>
      <c r="AC348" s="2">
        <f t="shared" si="56"/>
        <v>0.12126839278037445</v>
      </c>
      <c r="AD348" s="2"/>
      <c r="AE348">
        <f t="shared" si="57"/>
        <v>643722</v>
      </c>
      <c r="AF348">
        <f t="shared" si="58"/>
        <v>77787</v>
      </c>
      <c r="AH348" s="2">
        <f t="shared" si="59"/>
        <v>0.107811544970333</v>
      </c>
      <c r="AI348" s="2"/>
      <c r="AJ348" s="2"/>
    </row>
    <row r="349" spans="2:36" x14ac:dyDescent="0.25">
      <c r="B349" s="1">
        <v>41828</v>
      </c>
      <c r="C349">
        <v>334110</v>
      </c>
      <c r="D349">
        <v>38802</v>
      </c>
      <c r="F349" s="2">
        <f t="shared" si="52"/>
        <v>0.10405135796112756</v>
      </c>
      <c r="I349">
        <v>337027</v>
      </c>
      <c r="J349">
        <v>32661</v>
      </c>
      <c r="L349" s="2">
        <f t="shared" si="53"/>
        <v>8.8347471381272857E-2</v>
      </c>
      <c r="N349">
        <v>271986</v>
      </c>
      <c r="O349">
        <v>60025</v>
      </c>
      <c r="Q349" s="2">
        <f t="shared" si="54"/>
        <v>0.1807922026679839</v>
      </c>
      <c r="T349">
        <v>263063</v>
      </c>
      <c r="U349">
        <v>61495</v>
      </c>
      <c r="W349" s="2">
        <f t="shared" si="55"/>
        <v>0.18947306798784808</v>
      </c>
      <c r="Z349">
        <f t="shared" si="50"/>
        <v>606096</v>
      </c>
      <c r="AA349">
        <f t="shared" si="51"/>
        <v>98827</v>
      </c>
      <c r="AC349" s="2">
        <f t="shared" si="56"/>
        <v>0.14019545397156852</v>
      </c>
      <c r="AD349" s="2"/>
      <c r="AE349">
        <f t="shared" si="57"/>
        <v>600090</v>
      </c>
      <c r="AF349">
        <f t="shared" si="58"/>
        <v>94156</v>
      </c>
      <c r="AH349" s="2">
        <f t="shared" si="59"/>
        <v>0.13562339574156712</v>
      </c>
      <c r="AI349" s="2"/>
      <c r="AJ349" s="2"/>
    </row>
    <row r="350" spans="2:36" x14ac:dyDescent="0.25">
      <c r="B350" s="1">
        <v>41835</v>
      </c>
      <c r="C350">
        <v>304847</v>
      </c>
      <c r="D350">
        <v>40906</v>
      </c>
      <c r="F350" s="2">
        <f t="shared" si="52"/>
        <v>0.11830989174352789</v>
      </c>
      <c r="I350">
        <v>304462</v>
      </c>
      <c r="J350">
        <v>45203</v>
      </c>
      <c r="L350" s="2">
        <f t="shared" si="53"/>
        <v>0.12927516337065478</v>
      </c>
      <c r="N350">
        <v>237134</v>
      </c>
      <c r="O350">
        <v>73387</v>
      </c>
      <c r="Q350" s="2">
        <f t="shared" si="54"/>
        <v>0.2363350626849714</v>
      </c>
      <c r="T350">
        <v>226768</v>
      </c>
      <c r="U350">
        <v>74787</v>
      </c>
      <c r="W350" s="2">
        <f t="shared" si="55"/>
        <v>0.24800450995672432</v>
      </c>
      <c r="Z350">
        <f t="shared" si="50"/>
        <v>541981</v>
      </c>
      <c r="AA350">
        <f t="shared" si="51"/>
        <v>114293</v>
      </c>
      <c r="AC350" s="2">
        <f t="shared" si="56"/>
        <v>0.17415439282982412</v>
      </c>
      <c r="AD350" s="2"/>
      <c r="AE350">
        <f t="shared" si="57"/>
        <v>531230</v>
      </c>
      <c r="AF350">
        <f t="shared" si="58"/>
        <v>119990</v>
      </c>
      <c r="AH350" s="2">
        <f t="shared" si="59"/>
        <v>0.18425416909800069</v>
      </c>
      <c r="AI350" s="2"/>
      <c r="AJ350" s="2"/>
    </row>
    <row r="351" spans="2:36" x14ac:dyDescent="0.25">
      <c r="B351" s="1">
        <v>41842</v>
      </c>
      <c r="C351">
        <v>297492</v>
      </c>
      <c r="D351">
        <v>36222</v>
      </c>
      <c r="F351" s="2">
        <f t="shared" si="52"/>
        <v>0.10854204498462755</v>
      </c>
      <c r="I351">
        <v>307739</v>
      </c>
      <c r="J351">
        <v>29623</v>
      </c>
      <c r="L351" s="2">
        <f t="shared" si="53"/>
        <v>8.7807755467420756E-2</v>
      </c>
      <c r="N351">
        <v>211590</v>
      </c>
      <c r="O351">
        <v>82971</v>
      </c>
      <c r="Q351" s="2">
        <f t="shared" si="54"/>
        <v>0.28167680039109044</v>
      </c>
      <c r="T351">
        <v>202119</v>
      </c>
      <c r="U351">
        <v>84924</v>
      </c>
      <c r="W351" s="2">
        <f t="shared" si="55"/>
        <v>0.29585811185083766</v>
      </c>
      <c r="Z351">
        <f t="shared" si="50"/>
        <v>509082</v>
      </c>
      <c r="AA351">
        <f t="shared" si="51"/>
        <v>119193</v>
      </c>
      <c r="AC351" s="2">
        <f t="shared" si="56"/>
        <v>0.18971469499820939</v>
      </c>
      <c r="AD351" s="2"/>
      <c r="AE351">
        <f t="shared" si="57"/>
        <v>509858</v>
      </c>
      <c r="AF351">
        <f t="shared" si="58"/>
        <v>114547</v>
      </c>
      <c r="AH351" s="2">
        <f t="shared" si="59"/>
        <v>0.18344984425172764</v>
      </c>
      <c r="AI351" s="2"/>
      <c r="AJ351" s="2"/>
    </row>
    <row r="352" spans="2:36" x14ac:dyDescent="0.25">
      <c r="B352" s="1">
        <v>41849</v>
      </c>
      <c r="C352">
        <v>302682</v>
      </c>
      <c r="D352">
        <v>37182</v>
      </c>
      <c r="F352" s="2">
        <f t="shared" si="52"/>
        <v>0.10940258456323707</v>
      </c>
      <c r="I352">
        <v>308557</v>
      </c>
      <c r="J352">
        <v>31816</v>
      </c>
      <c r="L352" s="2">
        <f t="shared" si="53"/>
        <v>9.3473924194927324E-2</v>
      </c>
      <c r="N352">
        <v>210223</v>
      </c>
      <c r="O352">
        <v>80008</v>
      </c>
      <c r="Q352" s="2">
        <f t="shared" si="54"/>
        <v>0.27567006970309854</v>
      </c>
      <c r="T352">
        <v>201259</v>
      </c>
      <c r="U352">
        <v>80564</v>
      </c>
      <c r="W352" s="2">
        <f t="shared" si="55"/>
        <v>0.28586737065463075</v>
      </c>
      <c r="Z352">
        <f t="shared" si="50"/>
        <v>512905</v>
      </c>
      <c r="AA352">
        <f t="shared" si="51"/>
        <v>117190</v>
      </c>
      <c r="AC352" s="2">
        <f t="shared" si="56"/>
        <v>0.18598782723240145</v>
      </c>
      <c r="AD352" s="2"/>
      <c r="AE352">
        <f t="shared" si="57"/>
        <v>509816</v>
      </c>
      <c r="AF352">
        <f t="shared" si="58"/>
        <v>112380</v>
      </c>
      <c r="AH352" s="2">
        <f t="shared" si="59"/>
        <v>0.18061832605802672</v>
      </c>
      <c r="AI352" s="2"/>
      <c r="AJ352" s="2"/>
    </row>
    <row r="353" spans="2:36" x14ac:dyDescent="0.25">
      <c r="B353" s="1">
        <v>41856</v>
      </c>
      <c r="C353">
        <v>283767</v>
      </c>
      <c r="D353">
        <v>46673</v>
      </c>
      <c r="F353" s="2">
        <f t="shared" si="52"/>
        <v>0.14124500665778961</v>
      </c>
      <c r="I353">
        <v>286065</v>
      </c>
      <c r="J353">
        <v>49684</v>
      </c>
      <c r="L353" s="2">
        <f t="shared" si="53"/>
        <v>0.14797959189751869</v>
      </c>
      <c r="N353">
        <v>207054</v>
      </c>
      <c r="O353">
        <v>100578</v>
      </c>
      <c r="Q353" s="2">
        <f t="shared" si="54"/>
        <v>0.32694258074582616</v>
      </c>
      <c r="T353">
        <v>194245</v>
      </c>
      <c r="U353">
        <v>96894</v>
      </c>
      <c r="W353" s="2">
        <f t="shared" si="55"/>
        <v>0.33281010101703995</v>
      </c>
      <c r="Z353">
        <f t="shared" si="50"/>
        <v>490821</v>
      </c>
      <c r="AA353">
        <f t="shared" si="51"/>
        <v>147251</v>
      </c>
      <c r="AC353" s="2">
        <f t="shared" si="56"/>
        <v>0.2307748968768415</v>
      </c>
      <c r="AD353" s="2"/>
      <c r="AE353">
        <f t="shared" si="57"/>
        <v>480310</v>
      </c>
      <c r="AF353">
        <f t="shared" si="58"/>
        <v>146578</v>
      </c>
      <c r="AH353" s="2">
        <f t="shared" si="59"/>
        <v>0.23381848113219586</v>
      </c>
      <c r="AI353" s="2"/>
      <c r="AJ353" s="2"/>
    </row>
    <row r="354" spans="2:36" x14ac:dyDescent="0.25">
      <c r="B354" s="1">
        <v>41863</v>
      </c>
      <c r="C354">
        <v>267654</v>
      </c>
      <c r="D354">
        <v>49179</v>
      </c>
      <c r="F354" s="2">
        <f t="shared" si="52"/>
        <v>0.1552205736144909</v>
      </c>
      <c r="I354">
        <v>269658</v>
      </c>
      <c r="J354">
        <v>50844</v>
      </c>
      <c r="L354" s="2">
        <f t="shared" si="53"/>
        <v>0.15863863564033923</v>
      </c>
      <c r="N354">
        <v>199980</v>
      </c>
      <c r="O354">
        <v>121470</v>
      </c>
      <c r="Q354" s="2">
        <f t="shared" si="54"/>
        <v>0.37788147456836213</v>
      </c>
      <c r="T354">
        <v>191278</v>
      </c>
      <c r="U354">
        <v>119199</v>
      </c>
      <c r="W354" s="2">
        <f t="shared" si="55"/>
        <v>0.38392215848516958</v>
      </c>
      <c r="Z354">
        <f t="shared" si="50"/>
        <v>467634</v>
      </c>
      <c r="AA354">
        <f t="shared" si="51"/>
        <v>170649</v>
      </c>
      <c r="AC354" s="2">
        <f t="shared" si="56"/>
        <v>0.26735632940247506</v>
      </c>
      <c r="AD354" s="2"/>
      <c r="AE354">
        <f t="shared" si="57"/>
        <v>460936</v>
      </c>
      <c r="AF354">
        <f t="shared" si="58"/>
        <v>170043</v>
      </c>
      <c r="AH354" s="2">
        <f t="shared" si="59"/>
        <v>0.26949074374899956</v>
      </c>
      <c r="AI354" s="2"/>
      <c r="AJ354" s="2"/>
    </row>
    <row r="355" spans="2:36" x14ac:dyDescent="0.25">
      <c r="B355" s="1">
        <v>41870</v>
      </c>
      <c r="C355">
        <v>260743</v>
      </c>
      <c r="D355">
        <v>64050</v>
      </c>
      <c r="F355" s="2">
        <f t="shared" si="52"/>
        <v>0.19720252591650683</v>
      </c>
      <c r="I355">
        <v>258246</v>
      </c>
      <c r="J355">
        <v>69657</v>
      </c>
      <c r="L355" s="2">
        <f t="shared" si="53"/>
        <v>0.21243172523581669</v>
      </c>
      <c r="N355">
        <v>194773</v>
      </c>
      <c r="O355">
        <v>127442</v>
      </c>
      <c r="Q355" s="2">
        <f t="shared" si="54"/>
        <v>0.39551852024269507</v>
      </c>
      <c r="T355">
        <v>186694</v>
      </c>
      <c r="U355">
        <v>123615</v>
      </c>
      <c r="W355" s="2">
        <f t="shared" si="55"/>
        <v>0.398360988563013</v>
      </c>
      <c r="Z355">
        <f t="shared" si="50"/>
        <v>455516</v>
      </c>
      <c r="AA355">
        <f t="shared" si="51"/>
        <v>191492</v>
      </c>
      <c r="AC355" s="2">
        <f t="shared" si="56"/>
        <v>0.29596542855729757</v>
      </c>
      <c r="AD355" s="2"/>
      <c r="AE355">
        <f t="shared" si="57"/>
        <v>444940</v>
      </c>
      <c r="AF355">
        <f t="shared" si="58"/>
        <v>193272</v>
      </c>
      <c r="AH355" s="2">
        <f t="shared" si="59"/>
        <v>0.30283354120574357</v>
      </c>
      <c r="AI355" s="2"/>
      <c r="AJ355" s="2"/>
    </row>
    <row r="356" spans="2:36" x14ac:dyDescent="0.25">
      <c r="B356" s="1">
        <v>41877</v>
      </c>
      <c r="C356">
        <v>260843</v>
      </c>
      <c r="D356">
        <v>65101</v>
      </c>
      <c r="F356" s="2">
        <f t="shared" si="52"/>
        <v>0.1997306285742336</v>
      </c>
      <c r="I356">
        <v>255015</v>
      </c>
      <c r="J356">
        <v>65262</v>
      </c>
      <c r="L356" s="2">
        <f t="shared" si="53"/>
        <v>0.20376736387564515</v>
      </c>
      <c r="N356">
        <v>198043</v>
      </c>
      <c r="O356">
        <v>129625</v>
      </c>
      <c r="Q356" s="2">
        <f t="shared" si="54"/>
        <v>0.3955985936984997</v>
      </c>
      <c r="T356">
        <v>190454</v>
      </c>
      <c r="U356">
        <v>125456</v>
      </c>
      <c r="W356" s="2">
        <f t="shared" si="55"/>
        <v>0.39712576366686714</v>
      </c>
      <c r="Z356">
        <f t="shared" si="50"/>
        <v>458886</v>
      </c>
      <c r="AA356">
        <f t="shared" si="51"/>
        <v>194726</v>
      </c>
      <c r="AC356" s="2">
        <f t="shared" si="56"/>
        <v>0.29792292675165083</v>
      </c>
      <c r="AD356" s="2"/>
      <c r="AE356">
        <f t="shared" si="57"/>
        <v>445469</v>
      </c>
      <c r="AF356">
        <f t="shared" si="58"/>
        <v>190718</v>
      </c>
      <c r="AH356" s="2">
        <f t="shared" si="59"/>
        <v>0.29978292546059571</v>
      </c>
      <c r="AI356" s="2"/>
      <c r="AJ356" s="2"/>
    </row>
    <row r="357" spans="2:36" x14ac:dyDescent="0.25">
      <c r="B357" s="1">
        <v>41884</v>
      </c>
      <c r="C357">
        <v>258396</v>
      </c>
      <c r="D357">
        <v>76190</v>
      </c>
      <c r="F357" s="2">
        <f t="shared" si="52"/>
        <v>0.22771424984906721</v>
      </c>
      <c r="I357">
        <v>252909</v>
      </c>
      <c r="J357">
        <v>80552</v>
      </c>
      <c r="L357" s="2">
        <f t="shared" si="53"/>
        <v>0.24156348118670548</v>
      </c>
      <c r="N357">
        <v>206560</v>
      </c>
      <c r="O357">
        <v>140619</v>
      </c>
      <c r="Q357" s="2">
        <f t="shared" si="54"/>
        <v>0.4050331385250836</v>
      </c>
      <c r="T357">
        <v>197509</v>
      </c>
      <c r="U357">
        <v>134523</v>
      </c>
      <c r="W357" s="2">
        <f t="shared" si="55"/>
        <v>0.40515070836545874</v>
      </c>
      <c r="Z357">
        <f t="shared" si="50"/>
        <v>464956</v>
      </c>
      <c r="AA357">
        <f t="shared" si="51"/>
        <v>216809</v>
      </c>
      <c r="AC357" s="2">
        <f t="shared" si="56"/>
        <v>0.31801133821771432</v>
      </c>
      <c r="AD357" s="2"/>
      <c r="AE357">
        <f t="shared" si="57"/>
        <v>450418</v>
      </c>
      <c r="AF357">
        <f t="shared" si="58"/>
        <v>215075</v>
      </c>
      <c r="AH357" s="2">
        <f t="shared" si="59"/>
        <v>0.32318146096202366</v>
      </c>
      <c r="AI357" s="2"/>
      <c r="AJ357" s="2"/>
    </row>
    <row r="358" spans="2:36" x14ac:dyDescent="0.25">
      <c r="B358" s="1">
        <v>41891</v>
      </c>
      <c r="C358">
        <v>270286</v>
      </c>
      <c r="D358">
        <v>72124</v>
      </c>
      <c r="F358" s="2">
        <f t="shared" si="52"/>
        <v>0.2106363716012967</v>
      </c>
      <c r="I358">
        <v>260764</v>
      </c>
      <c r="J358">
        <v>74152</v>
      </c>
      <c r="L358" s="2">
        <f t="shared" si="53"/>
        <v>0.22140477015132151</v>
      </c>
      <c r="N358">
        <v>201762</v>
      </c>
      <c r="O358">
        <v>130589</v>
      </c>
      <c r="Q358" s="2">
        <f t="shared" si="54"/>
        <v>0.3929249498271406</v>
      </c>
      <c r="T358">
        <v>191767</v>
      </c>
      <c r="U358">
        <v>122656</v>
      </c>
      <c r="W358" s="2">
        <f t="shared" si="55"/>
        <v>0.39009868870915931</v>
      </c>
      <c r="Z358">
        <f t="shared" si="50"/>
        <v>472048</v>
      </c>
      <c r="AA358">
        <f t="shared" si="51"/>
        <v>202713</v>
      </c>
      <c r="AC358" s="2">
        <f t="shared" si="56"/>
        <v>0.30042192717125027</v>
      </c>
      <c r="AD358" s="2"/>
      <c r="AE358">
        <f t="shared" si="57"/>
        <v>452531</v>
      </c>
      <c r="AF358">
        <f t="shared" si="58"/>
        <v>196808</v>
      </c>
      <c r="AH358" s="2">
        <f t="shared" si="59"/>
        <v>0.3030897574302483</v>
      </c>
      <c r="AI358" s="2"/>
      <c r="AJ358" s="2"/>
    </row>
    <row r="359" spans="2:36" x14ac:dyDescent="0.25">
      <c r="B359" s="1">
        <v>41898</v>
      </c>
      <c r="C359">
        <v>277164</v>
      </c>
      <c r="D359">
        <v>68414</v>
      </c>
      <c r="F359" s="2">
        <f t="shared" si="52"/>
        <v>0.19796977816874917</v>
      </c>
      <c r="I359">
        <v>270924</v>
      </c>
      <c r="J359">
        <v>67276</v>
      </c>
      <c r="L359" s="2">
        <f t="shared" si="53"/>
        <v>0.19892371377882909</v>
      </c>
      <c r="N359">
        <v>201789</v>
      </c>
      <c r="O359">
        <v>132753</v>
      </c>
      <c r="Q359" s="2">
        <f t="shared" si="54"/>
        <v>0.39682013020786627</v>
      </c>
      <c r="T359">
        <v>194171</v>
      </c>
      <c r="U359">
        <v>128499</v>
      </c>
      <c r="W359" s="2">
        <f t="shared" si="55"/>
        <v>0.39823658846499521</v>
      </c>
      <c r="Z359">
        <f t="shared" si="50"/>
        <v>478953</v>
      </c>
      <c r="AA359">
        <f t="shared" si="51"/>
        <v>201167</v>
      </c>
      <c r="AC359" s="2">
        <f t="shared" si="56"/>
        <v>0.29578162677174619</v>
      </c>
      <c r="AD359" s="2"/>
      <c r="AE359">
        <f t="shared" si="57"/>
        <v>465095</v>
      </c>
      <c r="AF359">
        <f t="shared" si="58"/>
        <v>195775</v>
      </c>
      <c r="AH359" s="2">
        <f t="shared" si="59"/>
        <v>0.29623829194849216</v>
      </c>
      <c r="AI359" s="2"/>
      <c r="AJ359" s="2"/>
    </row>
    <row r="360" spans="2:36" x14ac:dyDescent="0.25">
      <c r="B360" s="1">
        <v>41905</v>
      </c>
      <c r="C360">
        <v>264713</v>
      </c>
      <c r="D360">
        <v>70644</v>
      </c>
      <c r="F360" s="2">
        <f t="shared" si="52"/>
        <v>0.21065312487886043</v>
      </c>
      <c r="I360">
        <v>263281</v>
      </c>
      <c r="J360">
        <v>69316</v>
      </c>
      <c r="L360" s="2">
        <f t="shared" si="53"/>
        <v>0.20840837409838334</v>
      </c>
      <c r="N360">
        <v>196330</v>
      </c>
      <c r="O360">
        <v>152612</v>
      </c>
      <c r="Q360" s="2">
        <f t="shared" si="54"/>
        <v>0.43735635148534713</v>
      </c>
      <c r="T360">
        <v>190338</v>
      </c>
      <c r="U360">
        <v>146779</v>
      </c>
      <c r="W360" s="2">
        <f t="shared" si="55"/>
        <v>0.43539483324780415</v>
      </c>
      <c r="Z360">
        <f t="shared" si="50"/>
        <v>461043</v>
      </c>
      <c r="AA360">
        <f t="shared" si="51"/>
        <v>223256</v>
      </c>
      <c r="AC360" s="2">
        <f t="shared" si="56"/>
        <v>0.32625504348245432</v>
      </c>
      <c r="AD360" s="2"/>
      <c r="AE360">
        <f t="shared" si="57"/>
        <v>453619</v>
      </c>
      <c r="AF360">
        <f t="shared" si="58"/>
        <v>216095</v>
      </c>
      <c r="AH360" s="2">
        <f t="shared" si="59"/>
        <v>0.32266758646228089</v>
      </c>
      <c r="AI360" s="2"/>
      <c r="AJ360" s="2"/>
    </row>
    <row r="361" spans="2:36" x14ac:dyDescent="0.25">
      <c r="B361" s="1">
        <v>41912</v>
      </c>
      <c r="C361">
        <v>272403</v>
      </c>
      <c r="D361">
        <v>64449</v>
      </c>
      <c r="F361" s="2">
        <f t="shared" si="52"/>
        <v>0.19132734850913755</v>
      </c>
      <c r="I361">
        <v>270441</v>
      </c>
      <c r="J361">
        <v>68578</v>
      </c>
      <c r="L361" s="2">
        <f t="shared" si="53"/>
        <v>0.20228364781914879</v>
      </c>
      <c r="N361">
        <v>201307</v>
      </c>
      <c r="O361">
        <v>163923</v>
      </c>
      <c r="Q361" s="2">
        <f t="shared" si="54"/>
        <v>0.4488212906935356</v>
      </c>
      <c r="T361">
        <v>194099</v>
      </c>
      <c r="U361">
        <v>157395</v>
      </c>
      <c r="W361" s="2">
        <f t="shared" si="55"/>
        <v>0.44778858245090952</v>
      </c>
      <c r="Z361">
        <f t="shared" si="50"/>
        <v>473710</v>
      </c>
      <c r="AA361">
        <f t="shared" si="51"/>
        <v>228372</v>
      </c>
      <c r="AC361" s="2">
        <f t="shared" si="56"/>
        <v>0.32527824385185777</v>
      </c>
      <c r="AD361" s="2"/>
      <c r="AE361">
        <f t="shared" si="57"/>
        <v>464540</v>
      </c>
      <c r="AF361">
        <f t="shared" si="58"/>
        <v>225973</v>
      </c>
      <c r="AH361" s="2">
        <f t="shared" si="59"/>
        <v>0.32725379536663324</v>
      </c>
      <c r="AI361" s="2"/>
      <c r="AJ361" s="2"/>
    </row>
    <row r="362" spans="2:36" x14ac:dyDescent="0.25">
      <c r="B362" s="1">
        <v>41919</v>
      </c>
      <c r="C362">
        <v>273096</v>
      </c>
      <c r="D362">
        <v>73126</v>
      </c>
      <c r="F362" s="2">
        <f t="shared" si="52"/>
        <v>0.21121130372997671</v>
      </c>
      <c r="I362">
        <v>266241</v>
      </c>
      <c r="J362">
        <v>74033</v>
      </c>
      <c r="L362" s="2">
        <f t="shared" si="53"/>
        <v>0.21756878280444583</v>
      </c>
      <c r="N362">
        <v>204007</v>
      </c>
      <c r="O362">
        <v>160058</v>
      </c>
      <c r="Q362" s="2">
        <f t="shared" si="54"/>
        <v>0.43964127284962851</v>
      </c>
      <c r="T362">
        <v>196121</v>
      </c>
      <c r="U362">
        <v>149923</v>
      </c>
      <c r="W362" s="2">
        <f t="shared" si="55"/>
        <v>0.43324837303926667</v>
      </c>
      <c r="Z362">
        <f t="shared" si="50"/>
        <v>477103</v>
      </c>
      <c r="AA362">
        <f t="shared" si="51"/>
        <v>233184</v>
      </c>
      <c r="AC362" s="2">
        <f t="shared" si="56"/>
        <v>0.32829546366468765</v>
      </c>
      <c r="AD362" s="2"/>
      <c r="AE362">
        <f t="shared" si="57"/>
        <v>462362</v>
      </c>
      <c r="AF362">
        <f t="shared" si="58"/>
        <v>223956</v>
      </c>
      <c r="AH362" s="2">
        <f t="shared" si="59"/>
        <v>0.32631520665347552</v>
      </c>
      <c r="AI362" s="2"/>
      <c r="AJ362" s="2"/>
    </row>
    <row r="363" spans="2:36" x14ac:dyDescent="0.25">
      <c r="B363" s="1">
        <v>41926</v>
      </c>
      <c r="C363">
        <v>283237</v>
      </c>
      <c r="D363">
        <v>81051</v>
      </c>
      <c r="F363" s="2">
        <f t="shared" si="52"/>
        <v>0.22249154515108924</v>
      </c>
      <c r="I363">
        <v>263321</v>
      </c>
      <c r="J363">
        <v>86650</v>
      </c>
      <c r="L363" s="2">
        <f t="shared" si="53"/>
        <v>0.24759194333244755</v>
      </c>
      <c r="N363">
        <v>200040</v>
      </c>
      <c r="O363">
        <v>150027</v>
      </c>
      <c r="Q363" s="2">
        <f t="shared" si="54"/>
        <v>0.42856653154967478</v>
      </c>
      <c r="T363">
        <v>196582</v>
      </c>
      <c r="U363">
        <v>136720</v>
      </c>
      <c r="W363" s="2">
        <f t="shared" si="55"/>
        <v>0.41019855866451449</v>
      </c>
      <c r="Z363">
        <f t="shared" si="50"/>
        <v>483277</v>
      </c>
      <c r="AA363">
        <f t="shared" si="51"/>
        <v>231078</v>
      </c>
      <c r="AC363" s="2">
        <f t="shared" si="56"/>
        <v>0.32347782265120284</v>
      </c>
      <c r="AD363" s="2"/>
      <c r="AE363">
        <f t="shared" si="57"/>
        <v>459903</v>
      </c>
      <c r="AF363">
        <f t="shared" si="58"/>
        <v>223370</v>
      </c>
      <c r="AH363" s="2">
        <f t="shared" si="59"/>
        <v>0.32691179074835386</v>
      </c>
      <c r="AI363" s="2"/>
      <c r="AJ363" s="2"/>
    </row>
    <row r="364" spans="2:36" x14ac:dyDescent="0.25">
      <c r="B364" s="1">
        <v>41933</v>
      </c>
      <c r="C364">
        <v>277256</v>
      </c>
      <c r="D364">
        <v>65899</v>
      </c>
      <c r="F364" s="2">
        <f t="shared" si="52"/>
        <v>0.19203858314755723</v>
      </c>
      <c r="I364">
        <v>255835</v>
      </c>
      <c r="J364">
        <v>69061</v>
      </c>
      <c r="L364" s="2">
        <f t="shared" si="53"/>
        <v>0.21256340490495421</v>
      </c>
      <c r="N364">
        <v>199194</v>
      </c>
      <c r="O364">
        <v>160723</v>
      </c>
      <c r="Q364" s="2">
        <f t="shared" si="54"/>
        <v>0.44655573368304358</v>
      </c>
      <c r="T364">
        <v>193509</v>
      </c>
      <c r="U364">
        <v>140774</v>
      </c>
      <c r="W364" s="2">
        <f t="shared" si="55"/>
        <v>0.42112222278727907</v>
      </c>
      <c r="Z364">
        <f t="shared" si="50"/>
        <v>476450</v>
      </c>
      <c r="AA364">
        <f t="shared" si="51"/>
        <v>226622</v>
      </c>
      <c r="AC364" s="2">
        <f t="shared" si="56"/>
        <v>0.32233114104956534</v>
      </c>
      <c r="AD364" s="2"/>
      <c r="AE364">
        <f t="shared" si="57"/>
        <v>449344</v>
      </c>
      <c r="AF364">
        <f t="shared" si="58"/>
        <v>209835</v>
      </c>
      <c r="AH364" s="2">
        <f t="shared" si="59"/>
        <v>0.31832779867077077</v>
      </c>
      <c r="AI364" s="2"/>
      <c r="AJ364" s="2"/>
    </row>
    <row r="365" spans="2:36" x14ac:dyDescent="0.25">
      <c r="B365" s="1">
        <v>41940</v>
      </c>
      <c r="C365">
        <v>271486</v>
      </c>
      <c r="D365">
        <v>65752</v>
      </c>
      <c r="F365" s="2">
        <f t="shared" si="52"/>
        <v>0.19497209685741226</v>
      </c>
      <c r="I365">
        <v>249841</v>
      </c>
      <c r="J365">
        <v>67355</v>
      </c>
      <c r="L365" s="2">
        <f t="shared" si="53"/>
        <v>0.2123450484873706</v>
      </c>
      <c r="N365">
        <v>201987</v>
      </c>
      <c r="O365">
        <v>160534</v>
      </c>
      <c r="Q365" s="2">
        <f t="shared" si="54"/>
        <v>0.44282676038077795</v>
      </c>
      <c r="T365">
        <v>196711</v>
      </c>
      <c r="U365">
        <v>141996</v>
      </c>
      <c r="W365" s="2">
        <f t="shared" si="55"/>
        <v>0.41922959962445416</v>
      </c>
      <c r="Z365">
        <f t="shared" si="50"/>
        <v>473473</v>
      </c>
      <c r="AA365">
        <f t="shared" si="51"/>
        <v>226286</v>
      </c>
      <c r="AC365" s="2">
        <f t="shared" si="56"/>
        <v>0.32337704838380071</v>
      </c>
      <c r="AD365" s="2"/>
      <c r="AE365">
        <f t="shared" si="57"/>
        <v>446552</v>
      </c>
      <c r="AF365">
        <f t="shared" si="58"/>
        <v>209351</v>
      </c>
      <c r="AH365" s="2">
        <f t="shared" si="59"/>
        <v>0.31917981774744131</v>
      </c>
      <c r="AI365" s="2"/>
      <c r="AJ365" s="2"/>
    </row>
    <row r="366" spans="2:36" x14ac:dyDescent="0.25">
      <c r="B366" s="1">
        <v>41947</v>
      </c>
      <c r="C366">
        <v>268471</v>
      </c>
      <c r="D366">
        <v>75800</v>
      </c>
      <c r="F366" s="2">
        <f t="shared" si="52"/>
        <v>0.22017538508907228</v>
      </c>
      <c r="I366">
        <v>248995</v>
      </c>
      <c r="J366">
        <v>81089</v>
      </c>
      <c r="L366" s="2">
        <f t="shared" si="53"/>
        <v>0.24566171035251633</v>
      </c>
      <c r="N366">
        <v>204499</v>
      </c>
      <c r="O366">
        <v>160305</v>
      </c>
      <c r="Q366" s="2">
        <f t="shared" si="54"/>
        <v>0.43942774750276858</v>
      </c>
      <c r="T366">
        <v>196565</v>
      </c>
      <c r="U366">
        <v>139712</v>
      </c>
      <c r="W366" s="2">
        <f t="shared" si="55"/>
        <v>0.41546701082738335</v>
      </c>
      <c r="Z366">
        <f t="shared" si="50"/>
        <v>472970</v>
      </c>
      <c r="AA366">
        <f t="shared" si="51"/>
        <v>236105</v>
      </c>
      <c r="AC366" s="2">
        <f t="shared" si="56"/>
        <v>0.33297606036032862</v>
      </c>
      <c r="AD366" s="2"/>
      <c r="AE366">
        <f t="shared" si="57"/>
        <v>445560</v>
      </c>
      <c r="AF366">
        <f t="shared" si="58"/>
        <v>220801</v>
      </c>
      <c r="AH366" s="2">
        <f t="shared" si="59"/>
        <v>0.33135342554561265</v>
      </c>
      <c r="AI366" s="2"/>
      <c r="AJ366" s="2"/>
    </row>
    <row r="367" spans="2:36" x14ac:dyDescent="0.25">
      <c r="B367" s="1">
        <v>41954</v>
      </c>
      <c r="C367">
        <v>271818</v>
      </c>
      <c r="D367">
        <v>68554</v>
      </c>
      <c r="F367" s="2">
        <f t="shared" si="52"/>
        <v>0.20140904657257352</v>
      </c>
      <c r="I367">
        <v>251438</v>
      </c>
      <c r="J367">
        <v>68948</v>
      </c>
      <c r="L367" s="2">
        <f t="shared" si="53"/>
        <v>0.21520291148801757</v>
      </c>
      <c r="N367">
        <v>207758</v>
      </c>
      <c r="O367">
        <v>140426</v>
      </c>
      <c r="Q367" s="2">
        <f t="shared" si="54"/>
        <v>0.40330974427314292</v>
      </c>
      <c r="T367">
        <v>199249</v>
      </c>
      <c r="U367">
        <v>132613</v>
      </c>
      <c r="W367" s="2">
        <f t="shared" si="55"/>
        <v>0.39960284696651016</v>
      </c>
      <c r="Z367">
        <f t="shared" si="50"/>
        <v>479576</v>
      </c>
      <c r="AA367">
        <f t="shared" si="51"/>
        <v>208980</v>
      </c>
      <c r="AC367" s="2">
        <f t="shared" si="56"/>
        <v>0.30350472583203109</v>
      </c>
      <c r="AD367" s="2"/>
      <c r="AE367">
        <f t="shared" si="57"/>
        <v>450687</v>
      </c>
      <c r="AF367">
        <f t="shared" si="58"/>
        <v>201561</v>
      </c>
      <c r="AH367" s="2">
        <f t="shared" si="59"/>
        <v>0.30902509474923651</v>
      </c>
      <c r="AI367" s="2"/>
      <c r="AJ367" s="2"/>
    </row>
    <row r="368" spans="2:36" x14ac:dyDescent="0.25">
      <c r="B368" s="1">
        <v>41961</v>
      </c>
      <c r="C368">
        <v>252086</v>
      </c>
      <c r="D368">
        <v>69711</v>
      </c>
      <c r="F368" s="2">
        <f t="shared" si="52"/>
        <v>0.21663036013387321</v>
      </c>
      <c r="I368">
        <v>248217</v>
      </c>
      <c r="J368">
        <v>73166</v>
      </c>
      <c r="L368" s="2">
        <f t="shared" si="53"/>
        <v>0.22765983266071946</v>
      </c>
      <c r="N368">
        <v>206111</v>
      </c>
      <c r="O368">
        <v>146356</v>
      </c>
      <c r="Q368" s="2">
        <f t="shared" si="54"/>
        <v>0.41523319913637308</v>
      </c>
      <c r="T368">
        <v>196942</v>
      </c>
      <c r="U368">
        <v>135773</v>
      </c>
      <c r="W368" s="2">
        <f t="shared" si="55"/>
        <v>0.40807598094465231</v>
      </c>
      <c r="Z368">
        <f t="shared" si="50"/>
        <v>458197</v>
      </c>
      <c r="AA368">
        <f t="shared" si="51"/>
        <v>216067</v>
      </c>
      <c r="AC368" s="2">
        <f t="shared" si="56"/>
        <v>0.32044866699097091</v>
      </c>
      <c r="AD368" s="2"/>
      <c r="AE368">
        <f t="shared" si="57"/>
        <v>445159</v>
      </c>
      <c r="AF368">
        <f t="shared" si="58"/>
        <v>208939</v>
      </c>
      <c r="AH368" s="2">
        <f t="shared" si="59"/>
        <v>0.31943072750566431</v>
      </c>
      <c r="AI368" s="2"/>
      <c r="AJ368" s="2"/>
    </row>
    <row r="369" spans="2:36" x14ac:dyDescent="0.25">
      <c r="B369" s="1">
        <v>41968</v>
      </c>
      <c r="C369">
        <v>245213</v>
      </c>
      <c r="D369">
        <v>76825</v>
      </c>
      <c r="F369" s="2">
        <f t="shared" si="52"/>
        <v>0.23855880361944864</v>
      </c>
      <c r="I369">
        <v>246860</v>
      </c>
      <c r="J369">
        <v>84851</v>
      </c>
      <c r="L369" s="2">
        <f t="shared" si="53"/>
        <v>0.25579796871372973</v>
      </c>
      <c r="N369">
        <v>213486</v>
      </c>
      <c r="O369">
        <v>151141</v>
      </c>
      <c r="Q369" s="2">
        <f t="shared" si="54"/>
        <v>0.41450852515035913</v>
      </c>
      <c r="T369">
        <v>200684</v>
      </c>
      <c r="U369">
        <v>134711</v>
      </c>
      <c r="W369" s="2">
        <f t="shared" si="55"/>
        <v>0.40164880215864873</v>
      </c>
      <c r="Z369">
        <f t="shared" si="50"/>
        <v>458699</v>
      </c>
      <c r="AA369">
        <f t="shared" si="51"/>
        <v>227966</v>
      </c>
      <c r="AC369" s="2">
        <f t="shared" si="56"/>
        <v>0.3319901261896267</v>
      </c>
      <c r="AD369" s="2"/>
      <c r="AE369">
        <f t="shared" si="57"/>
        <v>447544</v>
      </c>
      <c r="AF369">
        <f t="shared" si="58"/>
        <v>219562</v>
      </c>
      <c r="AH369" s="2">
        <f t="shared" si="59"/>
        <v>0.32912610589621438</v>
      </c>
      <c r="AI369" s="2"/>
      <c r="AJ369" s="2"/>
    </row>
    <row r="370" spans="2:36" x14ac:dyDescent="0.25">
      <c r="B370" s="1">
        <v>41975</v>
      </c>
      <c r="C370">
        <v>260916</v>
      </c>
      <c r="D370">
        <v>63273</v>
      </c>
      <c r="F370" s="2">
        <f t="shared" si="52"/>
        <v>0.19517318601186345</v>
      </c>
      <c r="I370">
        <v>256667</v>
      </c>
      <c r="J370">
        <v>72293</v>
      </c>
      <c r="L370" s="2">
        <f t="shared" si="53"/>
        <v>0.21976228112840468</v>
      </c>
      <c r="N370">
        <v>223265</v>
      </c>
      <c r="O370">
        <v>133149</v>
      </c>
      <c r="Q370" s="2">
        <f t="shared" si="54"/>
        <v>0.37357960125023149</v>
      </c>
      <c r="T370">
        <v>212075</v>
      </c>
      <c r="U370">
        <v>114799</v>
      </c>
      <c r="W370" s="2">
        <f t="shared" si="55"/>
        <v>0.35120260406150383</v>
      </c>
      <c r="Z370">
        <f t="shared" si="50"/>
        <v>484181</v>
      </c>
      <c r="AA370">
        <f t="shared" si="51"/>
        <v>196422</v>
      </c>
      <c r="AC370" s="2">
        <f t="shared" si="56"/>
        <v>0.2885999620924386</v>
      </c>
      <c r="AD370" s="2"/>
      <c r="AE370">
        <f t="shared" si="57"/>
        <v>468742</v>
      </c>
      <c r="AF370">
        <f t="shared" si="58"/>
        <v>187092</v>
      </c>
      <c r="AH370" s="2">
        <f t="shared" si="59"/>
        <v>0.28527340760009395</v>
      </c>
      <c r="AI370" s="2"/>
      <c r="AJ370" s="2"/>
    </row>
    <row r="371" spans="2:36" x14ac:dyDescent="0.25">
      <c r="B371" s="1">
        <v>41982</v>
      </c>
      <c r="C371">
        <v>263232</v>
      </c>
      <c r="D371">
        <v>60311</v>
      </c>
      <c r="F371" s="2">
        <f t="shared" si="52"/>
        <v>0.18640798904627823</v>
      </c>
      <c r="I371">
        <v>257392</v>
      </c>
      <c r="J371">
        <v>66124</v>
      </c>
      <c r="L371" s="2">
        <f t="shared" si="53"/>
        <v>0.20439174569418514</v>
      </c>
      <c r="N371">
        <v>230266</v>
      </c>
      <c r="O371">
        <v>134787</v>
      </c>
      <c r="Q371" s="2">
        <f t="shared" si="54"/>
        <v>0.36922583843989776</v>
      </c>
      <c r="T371">
        <v>220097</v>
      </c>
      <c r="U371">
        <v>112810</v>
      </c>
      <c r="W371" s="2">
        <f t="shared" si="55"/>
        <v>0.3388634062966534</v>
      </c>
      <c r="Z371">
        <f t="shared" si="50"/>
        <v>493498</v>
      </c>
      <c r="AA371">
        <f t="shared" si="51"/>
        <v>195098</v>
      </c>
      <c r="AC371" s="2">
        <f t="shared" si="56"/>
        <v>0.28332723396592485</v>
      </c>
      <c r="AD371" s="2"/>
      <c r="AE371">
        <f t="shared" si="57"/>
        <v>477489</v>
      </c>
      <c r="AF371">
        <f t="shared" si="58"/>
        <v>178934</v>
      </c>
      <c r="AH371" s="2">
        <f t="shared" si="59"/>
        <v>0.27258947355592356</v>
      </c>
      <c r="AI371" s="2"/>
      <c r="AJ371" s="2"/>
    </row>
    <row r="372" spans="2:36" x14ac:dyDescent="0.25">
      <c r="B372" s="1">
        <v>41989</v>
      </c>
      <c r="C372">
        <v>276135</v>
      </c>
      <c r="D372">
        <v>60996</v>
      </c>
      <c r="F372" s="2">
        <f t="shared" si="52"/>
        <v>0.1809267020831665</v>
      </c>
      <c r="I372">
        <v>274740</v>
      </c>
      <c r="J372">
        <v>57017</v>
      </c>
      <c r="L372" s="2">
        <f t="shared" si="53"/>
        <v>0.171863743643691</v>
      </c>
      <c r="N372">
        <v>248268</v>
      </c>
      <c r="O372">
        <v>108687</v>
      </c>
      <c r="Q372" s="2">
        <f t="shared" si="54"/>
        <v>0.30448375845694836</v>
      </c>
      <c r="T372">
        <v>237127</v>
      </c>
      <c r="U372">
        <v>104888</v>
      </c>
      <c r="W372" s="2">
        <f t="shared" si="55"/>
        <v>0.30667660775112204</v>
      </c>
      <c r="Z372">
        <f t="shared" si="50"/>
        <v>524403</v>
      </c>
      <c r="AA372">
        <f t="shared" si="51"/>
        <v>169683</v>
      </c>
      <c r="AC372" s="2">
        <f t="shared" si="56"/>
        <v>0.2444697054831822</v>
      </c>
      <c r="AD372" s="2"/>
      <c r="AE372">
        <f t="shared" si="57"/>
        <v>511867</v>
      </c>
      <c r="AF372">
        <f t="shared" si="58"/>
        <v>161905</v>
      </c>
      <c r="AH372" s="2">
        <f t="shared" si="59"/>
        <v>0.24029642074767132</v>
      </c>
      <c r="AI372" s="2"/>
      <c r="AJ372" s="2"/>
    </row>
    <row r="373" spans="2:36" x14ac:dyDescent="0.25">
      <c r="B373" s="1">
        <v>41996</v>
      </c>
      <c r="C373">
        <v>257276</v>
      </c>
      <c r="D373">
        <v>56380</v>
      </c>
      <c r="F373" s="2">
        <f t="shared" si="52"/>
        <v>0.17975106486086667</v>
      </c>
      <c r="I373">
        <v>260774</v>
      </c>
      <c r="J373">
        <v>53835</v>
      </c>
      <c r="L373" s="2">
        <f t="shared" si="53"/>
        <v>0.17111716448035499</v>
      </c>
      <c r="N373">
        <v>233373</v>
      </c>
      <c r="O373">
        <v>115911</v>
      </c>
      <c r="Q373" s="2">
        <f t="shared" si="54"/>
        <v>0.33185316246950908</v>
      </c>
      <c r="T373">
        <v>221640</v>
      </c>
      <c r="U373">
        <v>108754</v>
      </c>
      <c r="W373" s="2">
        <f t="shared" si="55"/>
        <v>0.32916457320653525</v>
      </c>
      <c r="Z373">
        <f t="shared" si="50"/>
        <v>490649</v>
      </c>
      <c r="AA373">
        <f t="shared" si="51"/>
        <v>172291</v>
      </c>
      <c r="AC373" s="2">
        <f t="shared" si="56"/>
        <v>0.25988928108124415</v>
      </c>
      <c r="AD373" s="2"/>
      <c r="AE373">
        <f t="shared" si="57"/>
        <v>482414</v>
      </c>
      <c r="AF373">
        <f t="shared" si="58"/>
        <v>162589</v>
      </c>
      <c r="AH373" s="2">
        <f t="shared" si="59"/>
        <v>0.25207479655133386</v>
      </c>
      <c r="AI373" s="2"/>
      <c r="AJ373" s="2"/>
    </row>
    <row r="374" spans="2:36" x14ac:dyDescent="0.25">
      <c r="B374" s="1">
        <v>42003</v>
      </c>
      <c r="C374">
        <v>259253</v>
      </c>
      <c r="D374">
        <v>64769</v>
      </c>
      <c r="F374" s="2">
        <f t="shared" si="52"/>
        <v>0.19989074815907562</v>
      </c>
      <c r="I374">
        <v>259613</v>
      </c>
      <c r="J374">
        <v>60225</v>
      </c>
      <c r="L374" s="2">
        <f t="shared" si="53"/>
        <v>0.18829845109086474</v>
      </c>
      <c r="N374">
        <v>237816</v>
      </c>
      <c r="O374">
        <v>118796</v>
      </c>
      <c r="Q374" s="2">
        <f t="shared" si="54"/>
        <v>0.333123955447377</v>
      </c>
      <c r="T374">
        <v>227742</v>
      </c>
      <c r="U374">
        <v>112171</v>
      </c>
      <c r="W374" s="2">
        <f t="shared" si="55"/>
        <v>0.32999914684051507</v>
      </c>
      <c r="Z374">
        <f t="shared" si="50"/>
        <v>497069</v>
      </c>
      <c r="AA374">
        <f t="shared" si="51"/>
        <v>183565</v>
      </c>
      <c r="AC374" s="2">
        <f t="shared" si="56"/>
        <v>0.26969707654921737</v>
      </c>
      <c r="AD374" s="2"/>
      <c r="AE374">
        <f t="shared" si="57"/>
        <v>487355</v>
      </c>
      <c r="AF374">
        <f t="shared" si="58"/>
        <v>172396</v>
      </c>
      <c r="AH374" s="2">
        <f t="shared" si="59"/>
        <v>0.26130464372164652</v>
      </c>
      <c r="AI374" s="2"/>
      <c r="AJ374" s="2"/>
    </row>
    <row r="375" spans="2:36" x14ac:dyDescent="0.25">
      <c r="B375" s="1">
        <v>42010</v>
      </c>
      <c r="C375">
        <v>270010</v>
      </c>
      <c r="D375">
        <v>81759</v>
      </c>
      <c r="F375" s="2">
        <f t="shared" si="52"/>
        <v>0.23242241357254334</v>
      </c>
      <c r="I375">
        <v>273404</v>
      </c>
      <c r="J375">
        <v>74009</v>
      </c>
      <c r="L375" s="2">
        <f t="shared" si="53"/>
        <v>0.21302887341579044</v>
      </c>
      <c r="N375">
        <v>259730</v>
      </c>
      <c r="O375">
        <v>117444</v>
      </c>
      <c r="Q375" s="2">
        <f t="shared" si="54"/>
        <v>0.31137883311150821</v>
      </c>
      <c r="T375">
        <v>254232</v>
      </c>
      <c r="U375">
        <v>114063</v>
      </c>
      <c r="W375" s="2">
        <f t="shared" si="55"/>
        <v>0.30970553496517739</v>
      </c>
      <c r="Z375">
        <f t="shared" si="50"/>
        <v>529740</v>
      </c>
      <c r="AA375">
        <f t="shared" si="51"/>
        <v>199203</v>
      </c>
      <c r="AC375" s="2">
        <f t="shared" si="56"/>
        <v>0.2732765113321618</v>
      </c>
      <c r="AD375" s="2"/>
      <c r="AE375">
        <f t="shared" si="57"/>
        <v>527636</v>
      </c>
      <c r="AF375">
        <f t="shared" si="58"/>
        <v>188072</v>
      </c>
      <c r="AH375" s="2">
        <f t="shared" si="59"/>
        <v>0.2627775573278488</v>
      </c>
      <c r="AI375" s="2"/>
      <c r="AJ375" s="2"/>
    </row>
    <row r="376" spans="2:36" x14ac:dyDescent="0.25">
      <c r="B376" s="1">
        <v>42017</v>
      </c>
      <c r="C376">
        <v>305707</v>
      </c>
      <c r="D376">
        <v>100912</v>
      </c>
      <c r="F376" s="2">
        <f t="shared" si="52"/>
        <v>0.24817335146660632</v>
      </c>
      <c r="I376">
        <v>311973</v>
      </c>
      <c r="J376">
        <v>87941</v>
      </c>
      <c r="L376" s="2">
        <f t="shared" si="53"/>
        <v>0.21989977845236727</v>
      </c>
      <c r="N376">
        <v>280499</v>
      </c>
      <c r="O376">
        <v>137748</v>
      </c>
      <c r="Q376" s="2">
        <f t="shared" si="54"/>
        <v>0.32934605627774977</v>
      </c>
      <c r="T376">
        <v>277012</v>
      </c>
      <c r="U376">
        <v>128820</v>
      </c>
      <c r="W376" s="2">
        <f t="shared" si="55"/>
        <v>0.3174219874233673</v>
      </c>
      <c r="Z376">
        <f t="shared" si="50"/>
        <v>586206</v>
      </c>
      <c r="AA376">
        <f t="shared" si="51"/>
        <v>238660</v>
      </c>
      <c r="AC376" s="2">
        <f t="shared" si="56"/>
        <v>0.28933184299025538</v>
      </c>
      <c r="AD376" s="2"/>
      <c r="AE376">
        <f t="shared" si="57"/>
        <v>588985</v>
      </c>
      <c r="AF376">
        <f t="shared" si="58"/>
        <v>216761</v>
      </c>
      <c r="AH376" s="2">
        <f t="shared" si="59"/>
        <v>0.26901902088251134</v>
      </c>
      <c r="AI376" s="2"/>
      <c r="AJ376" s="2"/>
    </row>
    <row r="377" spans="2:36" x14ac:dyDescent="0.25">
      <c r="B377" s="1">
        <v>42024</v>
      </c>
      <c r="C377">
        <v>304529</v>
      </c>
      <c r="D377">
        <v>98823</v>
      </c>
      <c r="F377" s="2">
        <f t="shared" si="52"/>
        <v>0.24500436343441956</v>
      </c>
      <c r="I377">
        <v>310907</v>
      </c>
      <c r="J377">
        <v>94203</v>
      </c>
      <c r="L377" s="2">
        <f t="shared" si="53"/>
        <v>0.2325368418454247</v>
      </c>
      <c r="N377">
        <v>280668</v>
      </c>
      <c r="O377">
        <v>152867</v>
      </c>
      <c r="Q377" s="2">
        <f t="shared" si="54"/>
        <v>0.35260590263761865</v>
      </c>
      <c r="T377">
        <v>277461</v>
      </c>
      <c r="U377">
        <v>135478</v>
      </c>
      <c r="W377" s="2">
        <f t="shared" si="55"/>
        <v>0.3280823559896256</v>
      </c>
      <c r="Z377">
        <f t="shared" si="50"/>
        <v>585197</v>
      </c>
      <c r="AA377">
        <f t="shared" si="51"/>
        <v>251690</v>
      </c>
      <c r="AC377" s="2">
        <f t="shared" si="56"/>
        <v>0.30074550088602164</v>
      </c>
      <c r="AD377" s="2"/>
      <c r="AE377">
        <f t="shared" si="57"/>
        <v>588368</v>
      </c>
      <c r="AF377">
        <f t="shared" si="58"/>
        <v>229681</v>
      </c>
      <c r="AH377" s="2">
        <f t="shared" si="59"/>
        <v>0.28076680003276089</v>
      </c>
      <c r="AI377" s="2"/>
      <c r="AJ377" s="2"/>
    </row>
    <row r="378" spans="2:36" x14ac:dyDescent="0.25">
      <c r="B378" s="1">
        <v>42031</v>
      </c>
      <c r="C378">
        <v>319868</v>
      </c>
      <c r="D378">
        <v>116124</v>
      </c>
      <c r="F378" s="2">
        <f t="shared" si="52"/>
        <v>0.26634433659333201</v>
      </c>
      <c r="I378">
        <v>321088</v>
      </c>
      <c r="J378">
        <v>104763</v>
      </c>
      <c r="L378" s="2">
        <f t="shared" si="53"/>
        <v>0.24600858046593763</v>
      </c>
      <c r="N378">
        <v>282937</v>
      </c>
      <c r="O378">
        <v>153197</v>
      </c>
      <c r="Q378" s="2">
        <f t="shared" si="54"/>
        <v>0.35126130959750901</v>
      </c>
      <c r="T378">
        <v>276156</v>
      </c>
      <c r="U378">
        <v>133117</v>
      </c>
      <c r="W378" s="2">
        <f t="shared" si="55"/>
        <v>0.32525233768169415</v>
      </c>
      <c r="Z378">
        <f t="shared" si="50"/>
        <v>602805</v>
      </c>
      <c r="AA378">
        <f t="shared" si="51"/>
        <v>269321</v>
      </c>
      <c r="AC378" s="2">
        <f t="shared" si="56"/>
        <v>0.30880973620784152</v>
      </c>
      <c r="AD378" s="2"/>
      <c r="AE378">
        <f t="shared" si="57"/>
        <v>597244</v>
      </c>
      <c r="AF378">
        <f t="shared" si="58"/>
        <v>237880</v>
      </c>
      <c r="AH378" s="2">
        <f t="shared" si="59"/>
        <v>0.28484392736886976</v>
      </c>
      <c r="AI378" s="2"/>
      <c r="AJ378" s="2"/>
    </row>
    <row r="379" spans="2:36" x14ac:dyDescent="0.25">
      <c r="B379" s="1">
        <v>42038</v>
      </c>
      <c r="C379">
        <v>310803</v>
      </c>
      <c r="D379">
        <v>117359</v>
      </c>
      <c r="F379" s="2">
        <f t="shared" si="52"/>
        <v>0.27409952307771357</v>
      </c>
      <c r="I379">
        <v>313968</v>
      </c>
      <c r="J379">
        <v>106041</v>
      </c>
      <c r="L379" s="2">
        <f t="shared" si="53"/>
        <v>0.25247316128940095</v>
      </c>
      <c r="N379">
        <v>275747</v>
      </c>
      <c r="O379">
        <v>151248</v>
      </c>
      <c r="Q379" s="2">
        <f t="shared" si="54"/>
        <v>0.35421492054942094</v>
      </c>
      <c r="T379">
        <v>267234</v>
      </c>
      <c r="U379">
        <v>126651</v>
      </c>
      <c r="W379" s="2">
        <f t="shared" si="55"/>
        <v>0.32154308998819453</v>
      </c>
      <c r="Z379">
        <f t="shared" si="50"/>
        <v>586550</v>
      </c>
      <c r="AA379">
        <f t="shared" si="51"/>
        <v>268607</v>
      </c>
      <c r="AC379" s="2">
        <f t="shared" si="56"/>
        <v>0.31410255660656466</v>
      </c>
      <c r="AD379" s="2"/>
      <c r="AE379">
        <f t="shared" si="57"/>
        <v>581202</v>
      </c>
      <c r="AF379">
        <f t="shared" si="58"/>
        <v>232692</v>
      </c>
      <c r="AH379" s="2">
        <f t="shared" si="59"/>
        <v>0.28589963803640278</v>
      </c>
      <c r="AI379" s="2"/>
      <c r="AJ379" s="2"/>
    </row>
    <row r="380" spans="2:36" x14ac:dyDescent="0.25">
      <c r="B380" s="1">
        <v>42045</v>
      </c>
      <c r="C380">
        <v>300286</v>
      </c>
      <c r="D380">
        <v>105240</v>
      </c>
      <c r="F380" s="2">
        <f t="shared" si="52"/>
        <v>0.25951480299660196</v>
      </c>
      <c r="I380">
        <v>301728</v>
      </c>
      <c r="J380">
        <v>98032</v>
      </c>
      <c r="L380" s="2">
        <f t="shared" si="53"/>
        <v>0.24522713628176906</v>
      </c>
      <c r="N380">
        <v>278154</v>
      </c>
      <c r="O380">
        <v>125919</v>
      </c>
      <c r="Q380" s="2">
        <f t="shared" si="54"/>
        <v>0.3116243847027641</v>
      </c>
      <c r="T380">
        <v>265742</v>
      </c>
      <c r="U380">
        <v>106768</v>
      </c>
      <c r="W380" s="2">
        <f t="shared" si="55"/>
        <v>0.28661780891788141</v>
      </c>
      <c r="Z380">
        <f t="shared" si="50"/>
        <v>578440</v>
      </c>
      <c r="AA380">
        <f t="shared" si="51"/>
        <v>231159</v>
      </c>
      <c r="AC380" s="2">
        <f t="shared" si="56"/>
        <v>0.2855228329086375</v>
      </c>
      <c r="AD380" s="2"/>
      <c r="AE380">
        <f t="shared" si="57"/>
        <v>567470</v>
      </c>
      <c r="AF380">
        <f t="shared" si="58"/>
        <v>204800</v>
      </c>
      <c r="AH380" s="2">
        <f t="shared" si="59"/>
        <v>0.2651922255169824</v>
      </c>
      <c r="AI380" s="2"/>
      <c r="AJ380" s="2"/>
    </row>
    <row r="381" spans="2:36" x14ac:dyDescent="0.25">
      <c r="B381" s="1">
        <v>42052</v>
      </c>
      <c r="C381">
        <v>309159</v>
      </c>
      <c r="D381">
        <v>100601</v>
      </c>
      <c r="F381" s="2">
        <f t="shared" si="52"/>
        <v>0.24551200702850448</v>
      </c>
      <c r="I381">
        <v>309624</v>
      </c>
      <c r="J381">
        <v>100466</v>
      </c>
      <c r="L381" s="2">
        <f t="shared" si="53"/>
        <v>0.24498524714087153</v>
      </c>
      <c r="N381">
        <v>276685</v>
      </c>
      <c r="O381">
        <v>112436</v>
      </c>
      <c r="Q381" s="2">
        <f t="shared" si="54"/>
        <v>0.28894868177250776</v>
      </c>
      <c r="T381">
        <v>261466</v>
      </c>
      <c r="U381">
        <v>90054</v>
      </c>
      <c r="W381" s="2">
        <f t="shared" si="55"/>
        <v>0.25618456986800181</v>
      </c>
      <c r="Z381">
        <f t="shared" si="50"/>
        <v>585844</v>
      </c>
      <c r="AA381">
        <f t="shared" si="51"/>
        <v>213037</v>
      </c>
      <c r="AC381" s="2">
        <f t="shared" si="56"/>
        <v>0.26666925361849886</v>
      </c>
      <c r="AD381" s="2"/>
      <c r="AE381">
        <f t="shared" si="57"/>
        <v>571090</v>
      </c>
      <c r="AF381">
        <f t="shared" si="58"/>
        <v>190520</v>
      </c>
      <c r="AH381" s="2">
        <f t="shared" si="59"/>
        <v>0.25015427843647009</v>
      </c>
      <c r="AI381" s="2"/>
      <c r="AJ381" s="2"/>
    </row>
    <row r="382" spans="2:36" x14ac:dyDescent="0.25">
      <c r="B382" s="1">
        <v>42059</v>
      </c>
      <c r="C382">
        <v>317774</v>
      </c>
      <c r="D382">
        <v>119347</v>
      </c>
      <c r="F382" s="2">
        <f t="shared" si="52"/>
        <v>0.27302966455512317</v>
      </c>
      <c r="I382">
        <v>320255</v>
      </c>
      <c r="J382">
        <v>117646</v>
      </c>
      <c r="L382" s="2">
        <f t="shared" si="53"/>
        <v>0.26865889778739943</v>
      </c>
      <c r="N382">
        <v>286279</v>
      </c>
      <c r="O382">
        <v>109339</v>
      </c>
      <c r="Q382" s="2">
        <f t="shared" si="54"/>
        <v>0.27637519020873669</v>
      </c>
      <c r="T382">
        <v>271430</v>
      </c>
      <c r="U382">
        <v>88647</v>
      </c>
      <c r="W382" s="2">
        <f t="shared" si="55"/>
        <v>0.24618900957295245</v>
      </c>
      <c r="Z382">
        <f t="shared" si="50"/>
        <v>604053</v>
      </c>
      <c r="AA382">
        <f t="shared" si="51"/>
        <v>228686</v>
      </c>
      <c r="AC382" s="2">
        <f t="shared" si="56"/>
        <v>0.27461905831238842</v>
      </c>
      <c r="AD382" s="2"/>
      <c r="AE382">
        <f t="shared" si="57"/>
        <v>591685</v>
      </c>
      <c r="AF382">
        <f t="shared" si="58"/>
        <v>206293</v>
      </c>
      <c r="AH382" s="2">
        <f t="shared" si="59"/>
        <v>0.25851965843669877</v>
      </c>
      <c r="AI382" s="2"/>
      <c r="AJ382" s="2"/>
    </row>
    <row r="383" spans="2:36" x14ac:dyDescent="0.25">
      <c r="B383" s="1">
        <v>42066</v>
      </c>
      <c r="C383">
        <v>300081</v>
      </c>
      <c r="D383">
        <v>135887</v>
      </c>
      <c r="F383" s="2">
        <f t="shared" si="52"/>
        <v>0.31169030754550792</v>
      </c>
      <c r="I383">
        <v>302317</v>
      </c>
      <c r="J383">
        <v>138007</v>
      </c>
      <c r="L383" s="2">
        <f t="shared" si="53"/>
        <v>0.31342148054614327</v>
      </c>
      <c r="N383">
        <v>297800</v>
      </c>
      <c r="O383">
        <v>109390</v>
      </c>
      <c r="Q383" s="2">
        <f t="shared" si="54"/>
        <v>0.26864608659348216</v>
      </c>
      <c r="T383">
        <v>278160</v>
      </c>
      <c r="U383">
        <v>85799</v>
      </c>
      <c r="W383" s="2">
        <f t="shared" si="55"/>
        <v>0.2357380913784245</v>
      </c>
      <c r="Z383">
        <f t="shared" si="50"/>
        <v>597881</v>
      </c>
      <c r="AA383">
        <f t="shared" si="51"/>
        <v>245277</v>
      </c>
      <c r="AC383" s="2">
        <f t="shared" si="56"/>
        <v>0.29090277267131426</v>
      </c>
      <c r="AD383" s="2"/>
      <c r="AE383">
        <f t="shared" si="57"/>
        <v>580477</v>
      </c>
      <c r="AF383">
        <f t="shared" si="58"/>
        <v>223806</v>
      </c>
      <c r="AH383" s="2">
        <f t="shared" si="59"/>
        <v>0.27826772417171569</v>
      </c>
      <c r="AI383" s="2"/>
      <c r="AJ383" s="2"/>
    </row>
    <row r="384" spans="2:36" x14ac:dyDescent="0.25">
      <c r="B384" s="1">
        <v>42073</v>
      </c>
      <c r="C384">
        <v>301134</v>
      </c>
      <c r="D384">
        <v>140849</v>
      </c>
      <c r="F384" s="2">
        <f t="shared" si="52"/>
        <v>0.31867515266424273</v>
      </c>
      <c r="I384">
        <v>303048</v>
      </c>
      <c r="J384">
        <v>142770</v>
      </c>
      <c r="L384" s="2">
        <f t="shared" si="53"/>
        <v>0.32024278965856023</v>
      </c>
      <c r="N384">
        <v>302061</v>
      </c>
      <c r="O384">
        <v>118329</v>
      </c>
      <c r="Q384" s="2">
        <f t="shared" si="54"/>
        <v>0.28147434525083853</v>
      </c>
      <c r="T384">
        <v>283735</v>
      </c>
      <c r="U384">
        <v>94364</v>
      </c>
      <c r="W384" s="2">
        <f t="shared" si="55"/>
        <v>0.24957484679938324</v>
      </c>
      <c r="Z384">
        <f t="shared" si="50"/>
        <v>603195</v>
      </c>
      <c r="AA384">
        <f t="shared" si="51"/>
        <v>259178</v>
      </c>
      <c r="AC384" s="2">
        <f t="shared" si="56"/>
        <v>0.3005404853816156</v>
      </c>
      <c r="AD384" s="2"/>
      <c r="AE384">
        <f t="shared" si="57"/>
        <v>586783</v>
      </c>
      <c r="AF384">
        <f t="shared" si="58"/>
        <v>237134</v>
      </c>
      <c r="AH384" s="2">
        <f t="shared" si="59"/>
        <v>0.28781297145222151</v>
      </c>
      <c r="AI384" s="2"/>
      <c r="AJ384" s="2"/>
    </row>
    <row r="385" spans="2:36" x14ac:dyDescent="0.25">
      <c r="B385" s="1">
        <v>42080</v>
      </c>
      <c r="C385">
        <v>314564</v>
      </c>
      <c r="D385">
        <v>170068</v>
      </c>
      <c r="F385" s="2">
        <f t="shared" si="52"/>
        <v>0.35092193664471188</v>
      </c>
      <c r="I385">
        <v>318639</v>
      </c>
      <c r="J385">
        <v>178365</v>
      </c>
      <c r="L385" s="2">
        <f t="shared" si="53"/>
        <v>0.35888041142526017</v>
      </c>
      <c r="N385">
        <v>296102</v>
      </c>
      <c r="O385">
        <v>110304</v>
      </c>
      <c r="Q385" s="2">
        <f t="shared" si="54"/>
        <v>0.27141331574829114</v>
      </c>
      <c r="T385">
        <v>280921</v>
      </c>
      <c r="U385">
        <v>95310</v>
      </c>
      <c r="W385" s="2">
        <f t="shared" si="55"/>
        <v>0.25332840728169664</v>
      </c>
      <c r="Z385">
        <f t="shared" si="50"/>
        <v>610666</v>
      </c>
      <c r="AA385">
        <f t="shared" si="51"/>
        <v>280372</v>
      </c>
      <c r="AC385" s="2">
        <f t="shared" si="56"/>
        <v>0.31465773625816185</v>
      </c>
      <c r="AD385" s="2"/>
      <c r="AE385">
        <f t="shared" si="57"/>
        <v>599560</v>
      </c>
      <c r="AF385">
        <f t="shared" si="58"/>
        <v>273675</v>
      </c>
      <c r="AH385" s="2">
        <f t="shared" si="59"/>
        <v>0.3134036084215589</v>
      </c>
      <c r="AI385" s="2"/>
      <c r="AJ385" s="2"/>
    </row>
    <row r="386" spans="2:36" x14ac:dyDescent="0.25">
      <c r="B386" s="1">
        <v>42087</v>
      </c>
      <c r="C386">
        <v>315174</v>
      </c>
      <c r="D386">
        <v>173210</v>
      </c>
      <c r="F386" s="2">
        <f t="shared" si="52"/>
        <v>0.35465944830297469</v>
      </c>
      <c r="I386">
        <v>313080</v>
      </c>
      <c r="J386">
        <v>178123</v>
      </c>
      <c r="L386" s="2">
        <f t="shared" si="53"/>
        <v>0.36262604259338804</v>
      </c>
      <c r="N386">
        <v>295381</v>
      </c>
      <c r="O386">
        <v>102083</v>
      </c>
      <c r="Q386" s="2">
        <f t="shared" si="54"/>
        <v>0.256835839220659</v>
      </c>
      <c r="T386">
        <v>281832</v>
      </c>
      <c r="U386">
        <v>88636</v>
      </c>
      <c r="W386" s="2">
        <f t="shared" si="55"/>
        <v>0.23925413261064382</v>
      </c>
      <c r="Z386">
        <f t="shared" si="50"/>
        <v>610555</v>
      </c>
      <c r="AA386">
        <f t="shared" si="51"/>
        <v>275293</v>
      </c>
      <c r="AC386" s="2">
        <f t="shared" si="56"/>
        <v>0.31076776151213303</v>
      </c>
      <c r="AD386" s="2"/>
      <c r="AE386">
        <f t="shared" si="57"/>
        <v>594912</v>
      </c>
      <c r="AF386">
        <f t="shared" si="58"/>
        <v>266759</v>
      </c>
      <c r="AH386" s="2">
        <f t="shared" si="59"/>
        <v>0.30958335606049175</v>
      </c>
      <c r="AI386" s="2"/>
      <c r="AJ386" s="2"/>
    </row>
    <row r="387" spans="2:36" x14ac:dyDescent="0.25">
      <c r="B387" s="1">
        <v>42094</v>
      </c>
      <c r="C387">
        <v>324675</v>
      </c>
      <c r="D387">
        <v>149222</v>
      </c>
      <c r="F387" s="2">
        <f t="shared" si="52"/>
        <v>0.31488276988459518</v>
      </c>
      <c r="I387">
        <v>322425</v>
      </c>
      <c r="J387">
        <v>159058</v>
      </c>
      <c r="L387" s="2">
        <f t="shared" si="53"/>
        <v>0.33035018889555812</v>
      </c>
      <c r="N387">
        <v>323949</v>
      </c>
      <c r="O387">
        <v>103723</v>
      </c>
      <c r="Q387" s="2">
        <f t="shared" si="54"/>
        <v>0.24252932153613049</v>
      </c>
      <c r="T387">
        <v>306280</v>
      </c>
      <c r="U387">
        <v>87350</v>
      </c>
      <c r="W387" s="2">
        <f t="shared" si="55"/>
        <v>0.22190889922007978</v>
      </c>
      <c r="Z387">
        <f t="shared" si="50"/>
        <v>648624</v>
      </c>
      <c r="AA387">
        <f t="shared" si="51"/>
        <v>252945</v>
      </c>
      <c r="AC387" s="2">
        <f t="shared" si="56"/>
        <v>0.2805608888504374</v>
      </c>
      <c r="AD387" s="2"/>
      <c r="AE387">
        <f t="shared" si="57"/>
        <v>628705</v>
      </c>
      <c r="AF387">
        <f t="shared" si="58"/>
        <v>246408</v>
      </c>
      <c r="AH387" s="2">
        <f t="shared" si="59"/>
        <v>0.28157277974387307</v>
      </c>
      <c r="AI387" s="2"/>
      <c r="AJ387" s="2"/>
    </row>
    <row r="388" spans="2:36" x14ac:dyDescent="0.25">
      <c r="B388" s="1">
        <v>42101</v>
      </c>
      <c r="C388">
        <v>335452</v>
      </c>
      <c r="D388">
        <v>119031</v>
      </c>
      <c r="F388" s="2">
        <f t="shared" si="52"/>
        <v>0.26190418563510626</v>
      </c>
      <c r="I388">
        <v>338635</v>
      </c>
      <c r="J388">
        <v>126264</v>
      </c>
      <c r="L388" s="2">
        <f t="shared" si="53"/>
        <v>0.27159447535916403</v>
      </c>
      <c r="N388">
        <v>330184</v>
      </c>
      <c r="O388">
        <v>92711</v>
      </c>
      <c r="Q388" s="2">
        <f t="shared" si="54"/>
        <v>0.21922935953369038</v>
      </c>
      <c r="T388">
        <v>314258</v>
      </c>
      <c r="U388">
        <v>80329</v>
      </c>
      <c r="W388" s="2">
        <f t="shared" si="55"/>
        <v>0.20357741131866991</v>
      </c>
      <c r="Z388">
        <f t="shared" si="50"/>
        <v>665636</v>
      </c>
      <c r="AA388">
        <f t="shared" si="51"/>
        <v>211742</v>
      </c>
      <c r="AC388" s="2">
        <f t="shared" si="56"/>
        <v>0.24133497762651901</v>
      </c>
      <c r="AD388" s="2"/>
      <c r="AE388">
        <f t="shared" si="57"/>
        <v>652893</v>
      </c>
      <c r="AF388">
        <f t="shared" si="58"/>
        <v>206593</v>
      </c>
      <c r="AH388" s="2">
        <f t="shared" si="59"/>
        <v>0.24036808045738964</v>
      </c>
      <c r="AI388" s="2"/>
      <c r="AJ388" s="2"/>
    </row>
    <row r="389" spans="2:36" x14ac:dyDescent="0.25">
      <c r="B389" s="1">
        <v>42108</v>
      </c>
      <c r="C389">
        <v>342607</v>
      </c>
      <c r="D389">
        <v>104051</v>
      </c>
      <c r="F389" s="2">
        <f t="shared" si="52"/>
        <v>0.23295452001307487</v>
      </c>
      <c r="I389">
        <v>341529</v>
      </c>
      <c r="J389">
        <v>109973</v>
      </c>
      <c r="L389" s="2">
        <f t="shared" si="53"/>
        <v>0.2435714570478093</v>
      </c>
      <c r="N389">
        <v>342901</v>
      </c>
      <c r="O389">
        <v>77684</v>
      </c>
      <c r="Q389" s="2">
        <f t="shared" si="54"/>
        <v>0.18470463758812131</v>
      </c>
      <c r="T389">
        <v>328469</v>
      </c>
      <c r="U389">
        <v>64891</v>
      </c>
      <c r="W389" s="2">
        <f t="shared" si="55"/>
        <v>0.16496593451291439</v>
      </c>
      <c r="Z389">
        <f t="shared" si="50"/>
        <v>685508</v>
      </c>
      <c r="AA389">
        <f t="shared" si="51"/>
        <v>181735</v>
      </c>
      <c r="AC389" s="2">
        <f t="shared" si="56"/>
        <v>0.20955487677617463</v>
      </c>
      <c r="AD389" s="2"/>
      <c r="AE389">
        <f t="shared" si="57"/>
        <v>669998</v>
      </c>
      <c r="AF389">
        <f t="shared" si="58"/>
        <v>174864</v>
      </c>
      <c r="AH389" s="2">
        <f t="shared" si="59"/>
        <v>0.20697344655103436</v>
      </c>
      <c r="AI389" s="2"/>
      <c r="AJ389" s="2"/>
    </row>
    <row r="390" spans="2:36" x14ac:dyDescent="0.25">
      <c r="B390" s="1">
        <v>42115</v>
      </c>
      <c r="C390">
        <v>340036</v>
      </c>
      <c r="D390">
        <v>80750</v>
      </c>
      <c r="F390" s="2">
        <f t="shared" si="52"/>
        <v>0.19190277243064172</v>
      </c>
      <c r="I390">
        <v>342276</v>
      </c>
      <c r="J390">
        <v>74662</v>
      </c>
      <c r="L390" s="2">
        <f t="shared" si="53"/>
        <v>0.17907218819104997</v>
      </c>
      <c r="N390">
        <v>334882</v>
      </c>
      <c r="O390">
        <v>65288</v>
      </c>
      <c r="Q390" s="2">
        <f t="shared" si="54"/>
        <v>0.16315066096908815</v>
      </c>
      <c r="T390">
        <v>322422</v>
      </c>
      <c r="U390">
        <v>50493</v>
      </c>
      <c r="W390" s="2">
        <f t="shared" si="55"/>
        <v>0.13540082860705524</v>
      </c>
      <c r="Z390">
        <f t="shared" si="50"/>
        <v>674918</v>
      </c>
      <c r="AA390">
        <f t="shared" si="51"/>
        <v>146038</v>
      </c>
      <c r="AC390" s="2">
        <f t="shared" si="56"/>
        <v>0.17788773088935339</v>
      </c>
      <c r="AD390" s="2"/>
      <c r="AE390">
        <f t="shared" si="57"/>
        <v>664698</v>
      </c>
      <c r="AF390">
        <f t="shared" si="58"/>
        <v>125155</v>
      </c>
      <c r="AH390" s="2">
        <f t="shared" si="59"/>
        <v>0.15845353502487172</v>
      </c>
      <c r="AI390" s="2"/>
      <c r="AJ390" s="2"/>
    </row>
    <row r="391" spans="2:36" x14ac:dyDescent="0.25">
      <c r="B391" s="1">
        <v>42122</v>
      </c>
      <c r="C391">
        <v>339140</v>
      </c>
      <c r="D391">
        <v>81787</v>
      </c>
      <c r="F391" s="2">
        <f t="shared" si="52"/>
        <v>0.19430209988905439</v>
      </c>
      <c r="I391">
        <v>336378</v>
      </c>
      <c r="J391">
        <v>78247</v>
      </c>
      <c r="L391" s="2">
        <f t="shared" si="53"/>
        <v>0.18871751582755503</v>
      </c>
      <c r="N391">
        <v>346286</v>
      </c>
      <c r="O391">
        <v>68695</v>
      </c>
      <c r="Q391" s="2">
        <f t="shared" si="54"/>
        <v>0.16553769931635423</v>
      </c>
      <c r="T391">
        <v>331503</v>
      </c>
      <c r="U391">
        <v>54615</v>
      </c>
      <c r="W391" s="2">
        <f t="shared" si="55"/>
        <v>0.14144639721535904</v>
      </c>
      <c r="Z391">
        <f t="shared" si="50"/>
        <v>685426</v>
      </c>
      <c r="AA391">
        <f t="shared" si="51"/>
        <v>150482</v>
      </c>
      <c r="AC391" s="2">
        <f t="shared" si="56"/>
        <v>0.1800222034003742</v>
      </c>
      <c r="AD391" s="2"/>
      <c r="AE391">
        <f t="shared" si="57"/>
        <v>667881</v>
      </c>
      <c r="AF391">
        <f t="shared" si="58"/>
        <v>132862</v>
      </c>
      <c r="AH391" s="2">
        <f t="shared" si="59"/>
        <v>0.16592339864350983</v>
      </c>
      <c r="AI391" s="2"/>
      <c r="AJ391" s="2"/>
    </row>
    <row r="392" spans="2:36" x14ac:dyDescent="0.25">
      <c r="B392" s="1">
        <v>42129</v>
      </c>
      <c r="C392">
        <v>340604</v>
      </c>
      <c r="D392">
        <v>74294</v>
      </c>
      <c r="F392" s="2">
        <f t="shared" si="52"/>
        <v>0.17906569807518957</v>
      </c>
      <c r="I392">
        <v>332044</v>
      </c>
      <c r="J392">
        <v>63881</v>
      </c>
      <c r="L392" s="2">
        <f t="shared" si="53"/>
        <v>0.16134621456083853</v>
      </c>
      <c r="N392">
        <v>345826</v>
      </c>
      <c r="O392">
        <v>54093</v>
      </c>
      <c r="Q392" s="2">
        <f t="shared" si="54"/>
        <v>0.13525989012775086</v>
      </c>
      <c r="T392">
        <v>330064</v>
      </c>
      <c r="U392">
        <v>41337</v>
      </c>
      <c r="W392" s="2">
        <f t="shared" si="55"/>
        <v>0.11130018497526932</v>
      </c>
      <c r="Z392">
        <f t="shared" si="50"/>
        <v>686430</v>
      </c>
      <c r="AA392">
        <f t="shared" si="51"/>
        <v>128387</v>
      </c>
      <c r="AC392" s="2">
        <f t="shared" si="56"/>
        <v>0.15756544107449894</v>
      </c>
      <c r="AD392" s="2"/>
      <c r="AE392">
        <f t="shared" si="57"/>
        <v>662108</v>
      </c>
      <c r="AF392">
        <f t="shared" si="58"/>
        <v>105218</v>
      </c>
      <c r="AH392" s="2">
        <f t="shared" si="59"/>
        <v>0.13712294383352056</v>
      </c>
      <c r="AI392" s="2"/>
      <c r="AJ392" s="2"/>
    </row>
    <row r="393" spans="2:36" x14ac:dyDescent="0.25">
      <c r="B393" s="1">
        <v>42136</v>
      </c>
      <c r="C393">
        <v>325773</v>
      </c>
      <c r="D393">
        <v>62741</v>
      </c>
      <c r="F393" s="2">
        <f t="shared" si="52"/>
        <v>0.16148967604771</v>
      </c>
      <c r="I393">
        <v>315548</v>
      </c>
      <c r="J393">
        <v>52973</v>
      </c>
      <c r="L393" s="2">
        <f t="shared" si="53"/>
        <v>0.14374486121550739</v>
      </c>
      <c r="N393">
        <v>327501</v>
      </c>
      <c r="O393">
        <v>46657</v>
      </c>
      <c r="Q393" s="2">
        <f t="shared" si="54"/>
        <v>0.12469865671721572</v>
      </c>
      <c r="T393">
        <v>318438</v>
      </c>
      <c r="U393">
        <v>39858</v>
      </c>
      <c r="W393" s="2">
        <f t="shared" si="55"/>
        <v>0.11124321789805078</v>
      </c>
      <c r="Z393">
        <f t="shared" ref="Z393:Z456" si="60">IFERROR(+C393+N393,C393)</f>
        <v>653274</v>
      </c>
      <c r="AA393">
        <f t="shared" ref="AA393:AA456" si="61">IFERROR(+D393+O393,D393)</f>
        <v>109398</v>
      </c>
      <c r="AC393" s="2">
        <f t="shared" si="56"/>
        <v>0.1434404304865001</v>
      </c>
      <c r="AD393" s="2"/>
      <c r="AE393">
        <f t="shared" si="57"/>
        <v>633986</v>
      </c>
      <c r="AF393">
        <f t="shared" si="58"/>
        <v>92831</v>
      </c>
      <c r="AH393" s="2">
        <f t="shared" si="59"/>
        <v>0.1277226592113283</v>
      </c>
      <c r="AI393" s="2"/>
      <c r="AJ393" s="2"/>
    </row>
    <row r="394" spans="2:36" x14ac:dyDescent="0.25">
      <c r="B394" s="1">
        <v>42143</v>
      </c>
      <c r="C394">
        <v>318849</v>
      </c>
      <c r="D394">
        <v>68276</v>
      </c>
      <c r="F394" s="2">
        <f t="shared" ref="F394:F457" si="62">+D394/SUM(C394:D394)</f>
        <v>0.1763668065870197</v>
      </c>
      <c r="I394">
        <v>313146</v>
      </c>
      <c r="J394">
        <v>69093</v>
      </c>
      <c r="L394" s="2">
        <f t="shared" ref="L394:L457" si="63">+J394/SUM(I394:J394)</f>
        <v>0.18075863530408984</v>
      </c>
      <c r="N394">
        <v>294397</v>
      </c>
      <c r="O394">
        <v>51339</v>
      </c>
      <c r="Q394" s="2">
        <f t="shared" ref="Q394:Q457" si="64">+O394/SUM(N394:O394)</f>
        <v>0.148491912904644</v>
      </c>
      <c r="T394">
        <v>284144</v>
      </c>
      <c r="U394">
        <v>42903</v>
      </c>
      <c r="W394" s="2">
        <f t="shared" ref="W394:W457" si="65">+U394/SUM(T394:U394)</f>
        <v>0.13118297981635668</v>
      </c>
      <c r="Z394">
        <f t="shared" si="60"/>
        <v>613246</v>
      </c>
      <c r="AA394">
        <f t="shared" si="61"/>
        <v>119615</v>
      </c>
      <c r="AC394" s="2">
        <f t="shared" ref="AC394:AC457" si="66">+AA394/SUM(Z394:AA394)</f>
        <v>0.1632164898937179</v>
      </c>
      <c r="AD394" s="2"/>
      <c r="AE394">
        <f t="shared" ref="AE394:AE457" si="67">IFERROR(+I394+T394,I394)</f>
        <v>597290</v>
      </c>
      <c r="AF394">
        <f t="shared" ref="AF394:AF457" si="68">IFERROR(+J394+U394,J394)</f>
        <v>111996</v>
      </c>
      <c r="AH394" s="2">
        <f t="shared" ref="AH394:AH457" si="69">+AF394/SUM(AE394:AF394)</f>
        <v>0.15789963428010703</v>
      </c>
      <c r="AI394" s="2"/>
      <c r="AJ394" s="2"/>
    </row>
    <row r="395" spans="2:36" x14ac:dyDescent="0.25">
      <c r="B395" s="1">
        <v>42150</v>
      </c>
      <c r="C395">
        <v>316262</v>
      </c>
      <c r="D395">
        <v>65247</v>
      </c>
      <c r="F395" s="2">
        <f t="shared" si="62"/>
        <v>0.1710234883056494</v>
      </c>
      <c r="I395">
        <v>310052</v>
      </c>
      <c r="J395">
        <v>64925</v>
      </c>
      <c r="L395" s="2">
        <f t="shared" si="63"/>
        <v>0.17314395282910686</v>
      </c>
      <c r="N395">
        <v>283690</v>
      </c>
      <c r="O395">
        <v>60874</v>
      </c>
      <c r="Q395" s="2">
        <f t="shared" si="64"/>
        <v>0.17666964627761461</v>
      </c>
      <c r="T395">
        <v>271990</v>
      </c>
      <c r="U395">
        <v>49633</v>
      </c>
      <c r="W395" s="2">
        <f t="shared" si="65"/>
        <v>0.1543204310636988</v>
      </c>
      <c r="Z395">
        <f t="shared" si="60"/>
        <v>599952</v>
      </c>
      <c r="AA395">
        <f t="shared" si="61"/>
        <v>126121</v>
      </c>
      <c r="AC395" s="2">
        <f t="shared" si="66"/>
        <v>0.17370291967887527</v>
      </c>
      <c r="AD395" s="2"/>
      <c r="AE395">
        <f t="shared" si="67"/>
        <v>582042</v>
      </c>
      <c r="AF395">
        <f t="shared" si="68"/>
        <v>114558</v>
      </c>
      <c r="AH395" s="2">
        <f t="shared" si="69"/>
        <v>0.16445305770887167</v>
      </c>
      <c r="AI395" s="2"/>
      <c r="AJ395" s="2"/>
    </row>
    <row r="396" spans="2:36" x14ac:dyDescent="0.25">
      <c r="B396" s="1">
        <v>42157</v>
      </c>
      <c r="C396">
        <v>304462</v>
      </c>
      <c r="D396">
        <v>59940</v>
      </c>
      <c r="F396" s="2">
        <f t="shared" si="62"/>
        <v>0.16448866910719481</v>
      </c>
      <c r="I396">
        <v>303942</v>
      </c>
      <c r="J396">
        <v>59316</v>
      </c>
      <c r="L396" s="2">
        <f t="shared" si="63"/>
        <v>0.1632889021026378</v>
      </c>
      <c r="N396">
        <v>267627</v>
      </c>
      <c r="O396">
        <v>60151</v>
      </c>
      <c r="Q396" s="2">
        <f t="shared" si="64"/>
        <v>0.18351140100921964</v>
      </c>
      <c r="T396">
        <v>257582</v>
      </c>
      <c r="U396">
        <v>49327</v>
      </c>
      <c r="W396" s="2">
        <f t="shared" si="65"/>
        <v>0.16072190779677364</v>
      </c>
      <c r="Z396">
        <f t="shared" si="60"/>
        <v>572089</v>
      </c>
      <c r="AA396">
        <f t="shared" si="61"/>
        <v>120091</v>
      </c>
      <c r="AC396" s="2">
        <f t="shared" si="66"/>
        <v>0.17349677829466323</v>
      </c>
      <c r="AD396" s="2"/>
      <c r="AE396">
        <f t="shared" si="67"/>
        <v>561524</v>
      </c>
      <c r="AF396">
        <f t="shared" si="68"/>
        <v>108643</v>
      </c>
      <c r="AH396" s="2">
        <f t="shared" si="69"/>
        <v>0.16211332399237802</v>
      </c>
      <c r="AI396" s="2"/>
      <c r="AJ396" s="2"/>
    </row>
    <row r="397" spans="2:36" x14ac:dyDescent="0.25">
      <c r="B397" s="1">
        <v>42164</v>
      </c>
      <c r="C397">
        <v>298385</v>
      </c>
      <c r="D397">
        <v>61767</v>
      </c>
      <c r="F397" s="2">
        <f t="shared" si="62"/>
        <v>0.17150258779626379</v>
      </c>
      <c r="I397">
        <v>294157</v>
      </c>
      <c r="J397">
        <v>58637</v>
      </c>
      <c r="L397" s="2">
        <f t="shared" si="63"/>
        <v>0.16620747518381832</v>
      </c>
      <c r="N397">
        <v>270024</v>
      </c>
      <c r="O397">
        <v>66561</v>
      </c>
      <c r="Q397" s="2">
        <f t="shared" si="64"/>
        <v>0.19775391060207675</v>
      </c>
      <c r="T397">
        <v>263010</v>
      </c>
      <c r="U397">
        <v>61830</v>
      </c>
      <c r="W397" s="2">
        <f t="shared" si="65"/>
        <v>0.1903398596231991</v>
      </c>
      <c r="Z397">
        <f t="shared" si="60"/>
        <v>568409</v>
      </c>
      <c r="AA397">
        <f t="shared" si="61"/>
        <v>128328</v>
      </c>
      <c r="AC397" s="2">
        <f t="shared" si="66"/>
        <v>0.18418427613288801</v>
      </c>
      <c r="AD397" s="2"/>
      <c r="AE397">
        <f t="shared" si="67"/>
        <v>557167</v>
      </c>
      <c r="AF397">
        <f t="shared" si="68"/>
        <v>120467</v>
      </c>
      <c r="AH397" s="2">
        <f t="shared" si="69"/>
        <v>0.17777590852879283</v>
      </c>
      <c r="AI397" s="2"/>
      <c r="AJ397" s="2"/>
    </row>
    <row r="398" spans="2:36" x14ac:dyDescent="0.25">
      <c r="B398" s="1">
        <v>42171</v>
      </c>
      <c r="C398">
        <v>297492</v>
      </c>
      <c r="D398">
        <v>58448</v>
      </c>
      <c r="F398" s="2">
        <f t="shared" si="62"/>
        <v>0.16420745069393719</v>
      </c>
      <c r="I398">
        <v>293469</v>
      </c>
      <c r="J398">
        <v>56127</v>
      </c>
      <c r="L398" s="2">
        <f t="shared" si="63"/>
        <v>0.16054817560841658</v>
      </c>
      <c r="N398">
        <v>267629</v>
      </c>
      <c r="O398">
        <v>72407</v>
      </c>
      <c r="Q398" s="2">
        <f t="shared" si="64"/>
        <v>0.21293921820042583</v>
      </c>
      <c r="T398">
        <v>262537</v>
      </c>
      <c r="U398">
        <v>67874</v>
      </c>
      <c r="W398" s="2">
        <f t="shared" si="65"/>
        <v>0.20542294294076166</v>
      </c>
      <c r="Z398">
        <f t="shared" si="60"/>
        <v>565121</v>
      </c>
      <c r="AA398">
        <f t="shared" si="61"/>
        <v>130855</v>
      </c>
      <c r="AC398" s="2">
        <f t="shared" si="66"/>
        <v>0.18801654080025748</v>
      </c>
      <c r="AD398" s="2"/>
      <c r="AE398">
        <f t="shared" si="67"/>
        <v>556006</v>
      </c>
      <c r="AF398">
        <f t="shared" si="68"/>
        <v>124001</v>
      </c>
      <c r="AH398" s="2">
        <f t="shared" si="69"/>
        <v>0.18235253460626141</v>
      </c>
      <c r="AI398" s="2"/>
      <c r="AJ398" s="2"/>
    </row>
    <row r="399" spans="2:36" x14ac:dyDescent="0.25">
      <c r="B399" s="1">
        <v>42178</v>
      </c>
      <c r="C399">
        <v>297027</v>
      </c>
      <c r="D399">
        <v>61220</v>
      </c>
      <c r="F399" s="2">
        <f t="shared" si="62"/>
        <v>0.17088768363726703</v>
      </c>
      <c r="I399">
        <v>295400</v>
      </c>
      <c r="J399">
        <v>61127</v>
      </c>
      <c r="L399" s="2">
        <f t="shared" si="63"/>
        <v>0.17145125053642502</v>
      </c>
      <c r="N399">
        <v>276171</v>
      </c>
      <c r="O399">
        <v>82409</v>
      </c>
      <c r="Q399" s="2">
        <f t="shared" si="64"/>
        <v>0.22982040269953707</v>
      </c>
      <c r="T399">
        <v>270953</v>
      </c>
      <c r="U399">
        <v>79149</v>
      </c>
      <c r="W399" s="2">
        <f t="shared" si="65"/>
        <v>0.22607411554347018</v>
      </c>
      <c r="Z399">
        <f t="shared" si="60"/>
        <v>573198</v>
      </c>
      <c r="AA399">
        <f t="shared" si="61"/>
        <v>143629</v>
      </c>
      <c r="AC399" s="2">
        <f t="shared" si="66"/>
        <v>0.2003677316842139</v>
      </c>
      <c r="AD399" s="2"/>
      <c r="AE399">
        <f t="shared" si="67"/>
        <v>566353</v>
      </c>
      <c r="AF399">
        <f t="shared" si="68"/>
        <v>140276</v>
      </c>
      <c r="AH399" s="2">
        <f t="shared" si="69"/>
        <v>0.19851435477457052</v>
      </c>
      <c r="AI399" s="2"/>
      <c r="AJ399" s="2"/>
    </row>
    <row r="400" spans="2:36" x14ac:dyDescent="0.25">
      <c r="B400" s="1">
        <v>42185</v>
      </c>
      <c r="C400">
        <v>286776</v>
      </c>
      <c r="D400">
        <v>65724</v>
      </c>
      <c r="F400" s="2">
        <f t="shared" si="62"/>
        <v>0.18645106382978724</v>
      </c>
      <c r="I400">
        <v>283673</v>
      </c>
      <c r="J400">
        <v>67521</v>
      </c>
      <c r="L400" s="2">
        <f t="shared" si="63"/>
        <v>0.19226125731077409</v>
      </c>
      <c r="N400">
        <v>287323</v>
      </c>
      <c r="O400">
        <v>86857</v>
      </c>
      <c r="Q400" s="2">
        <f t="shared" si="64"/>
        <v>0.23212624939868512</v>
      </c>
      <c r="T400">
        <v>282937</v>
      </c>
      <c r="U400">
        <v>84244</v>
      </c>
      <c r="W400" s="2">
        <f t="shared" si="65"/>
        <v>0.22943452956443824</v>
      </c>
      <c r="Z400">
        <f t="shared" si="60"/>
        <v>574099</v>
      </c>
      <c r="AA400">
        <f t="shared" si="61"/>
        <v>152581</v>
      </c>
      <c r="AC400" s="2">
        <f t="shared" si="66"/>
        <v>0.20997000055044862</v>
      </c>
      <c r="AD400" s="2"/>
      <c r="AE400">
        <f t="shared" si="67"/>
        <v>566610</v>
      </c>
      <c r="AF400">
        <f t="shared" si="68"/>
        <v>151765</v>
      </c>
      <c r="AH400" s="2">
        <f t="shared" si="69"/>
        <v>0.21126152775361057</v>
      </c>
      <c r="AI400" s="2"/>
      <c r="AJ400" s="2"/>
    </row>
    <row r="401" spans="2:36" x14ac:dyDescent="0.25">
      <c r="B401" s="1">
        <v>42192</v>
      </c>
      <c r="C401">
        <v>279448</v>
      </c>
      <c r="D401">
        <v>98418</v>
      </c>
      <c r="F401" s="2">
        <f t="shared" si="62"/>
        <v>0.26045741082817719</v>
      </c>
      <c r="I401">
        <v>278847</v>
      </c>
      <c r="J401">
        <v>105121</v>
      </c>
      <c r="L401" s="2">
        <f t="shared" si="63"/>
        <v>0.27377541878489875</v>
      </c>
      <c r="N401">
        <v>298194</v>
      </c>
      <c r="O401">
        <v>90253</v>
      </c>
      <c r="Q401" s="2">
        <f t="shared" si="64"/>
        <v>0.23234315106050504</v>
      </c>
      <c r="T401">
        <v>293681</v>
      </c>
      <c r="U401">
        <v>87871</v>
      </c>
      <c r="W401" s="2">
        <f t="shared" si="65"/>
        <v>0.23029888455570932</v>
      </c>
      <c r="Z401">
        <f t="shared" si="60"/>
        <v>577642</v>
      </c>
      <c r="AA401">
        <f t="shared" si="61"/>
        <v>188671</v>
      </c>
      <c r="AC401" s="2">
        <f t="shared" si="66"/>
        <v>0.24620618467910632</v>
      </c>
      <c r="AD401" s="2"/>
      <c r="AE401">
        <f t="shared" si="67"/>
        <v>572528</v>
      </c>
      <c r="AF401">
        <f t="shared" si="68"/>
        <v>192992</v>
      </c>
      <c r="AH401" s="2">
        <f t="shared" si="69"/>
        <v>0.25210575817744801</v>
      </c>
      <c r="AI401" s="2"/>
      <c r="AJ401" s="2"/>
    </row>
    <row r="402" spans="2:36" x14ac:dyDescent="0.25">
      <c r="B402" s="1">
        <v>42199</v>
      </c>
      <c r="C402">
        <v>258100</v>
      </c>
      <c r="D402">
        <v>110751</v>
      </c>
      <c r="F402" s="2">
        <f t="shared" si="62"/>
        <v>0.30025945435961948</v>
      </c>
      <c r="I402">
        <v>256779</v>
      </c>
      <c r="J402">
        <v>109574</v>
      </c>
      <c r="L402" s="2">
        <f t="shared" si="63"/>
        <v>0.29909404317693589</v>
      </c>
      <c r="N402">
        <v>314325</v>
      </c>
      <c r="O402">
        <v>86812</v>
      </c>
      <c r="Q402" s="2">
        <f t="shared" si="64"/>
        <v>0.21641484081498341</v>
      </c>
      <c r="T402">
        <v>309828</v>
      </c>
      <c r="U402">
        <v>81782</v>
      </c>
      <c r="W402" s="2">
        <f t="shared" si="65"/>
        <v>0.2088353208549322</v>
      </c>
      <c r="Z402">
        <f t="shared" si="60"/>
        <v>572425</v>
      </c>
      <c r="AA402">
        <f t="shared" si="61"/>
        <v>197563</v>
      </c>
      <c r="AC402" s="2">
        <f t="shared" si="66"/>
        <v>0.25657932331412958</v>
      </c>
      <c r="AD402" s="2"/>
      <c r="AE402">
        <f t="shared" si="67"/>
        <v>566607</v>
      </c>
      <c r="AF402">
        <f t="shared" si="68"/>
        <v>191356</v>
      </c>
      <c r="AH402" s="2">
        <f t="shared" si="69"/>
        <v>0.25246087210061707</v>
      </c>
      <c r="AI402" s="2"/>
      <c r="AJ402" s="2"/>
    </row>
    <row r="403" spans="2:36" x14ac:dyDescent="0.25">
      <c r="B403" s="1">
        <v>42206</v>
      </c>
      <c r="C403">
        <v>239438</v>
      </c>
      <c r="D403">
        <v>125251</v>
      </c>
      <c r="F403" s="2">
        <f t="shared" si="62"/>
        <v>0.34344605951920676</v>
      </c>
      <c r="I403">
        <v>243417</v>
      </c>
      <c r="J403">
        <v>137034</v>
      </c>
      <c r="L403" s="2">
        <f t="shared" si="63"/>
        <v>0.3601883028300622</v>
      </c>
      <c r="N403">
        <v>304124</v>
      </c>
      <c r="O403">
        <v>89517</v>
      </c>
      <c r="Q403" s="2">
        <f t="shared" si="64"/>
        <v>0.22740771413546862</v>
      </c>
      <c r="T403">
        <v>298941</v>
      </c>
      <c r="U403">
        <v>85512</v>
      </c>
      <c r="W403" s="2">
        <f t="shared" si="65"/>
        <v>0.22242510788054717</v>
      </c>
      <c r="Z403">
        <f t="shared" si="60"/>
        <v>543562</v>
      </c>
      <c r="AA403">
        <f t="shared" si="61"/>
        <v>214768</v>
      </c>
      <c r="AC403" s="2">
        <f t="shared" si="66"/>
        <v>0.28321179433755755</v>
      </c>
      <c r="AD403" s="2"/>
      <c r="AE403">
        <f t="shared" si="67"/>
        <v>542358</v>
      </c>
      <c r="AF403">
        <f t="shared" si="68"/>
        <v>222546</v>
      </c>
      <c r="AH403" s="2">
        <f t="shared" si="69"/>
        <v>0.29094631483166516</v>
      </c>
      <c r="AI403" s="2"/>
      <c r="AJ403" s="2"/>
    </row>
    <row r="404" spans="2:36" x14ac:dyDescent="0.25">
      <c r="B404" s="1">
        <v>42213</v>
      </c>
      <c r="C404">
        <v>246018</v>
      </c>
      <c r="D404">
        <v>139552</v>
      </c>
      <c r="F404" s="2">
        <f t="shared" si="62"/>
        <v>0.36193687268200325</v>
      </c>
      <c r="I404">
        <v>250702</v>
      </c>
      <c r="J404">
        <v>151769</v>
      </c>
      <c r="L404" s="2">
        <f t="shared" si="63"/>
        <v>0.37709300794342948</v>
      </c>
      <c r="N404">
        <v>280152</v>
      </c>
      <c r="O404">
        <v>101462</v>
      </c>
      <c r="Q404" s="2">
        <f t="shared" si="64"/>
        <v>0.26587598987458533</v>
      </c>
      <c r="T404">
        <v>273147</v>
      </c>
      <c r="U404">
        <v>97245</v>
      </c>
      <c r="W404" s="2">
        <f t="shared" si="65"/>
        <v>0.26254616730382946</v>
      </c>
      <c r="Z404">
        <f t="shared" si="60"/>
        <v>526170</v>
      </c>
      <c r="AA404">
        <f t="shared" si="61"/>
        <v>241014</v>
      </c>
      <c r="AC404" s="2">
        <f t="shared" si="66"/>
        <v>0.3141541012325596</v>
      </c>
      <c r="AD404" s="2"/>
      <c r="AE404">
        <f t="shared" si="67"/>
        <v>523849</v>
      </c>
      <c r="AF404">
        <f t="shared" si="68"/>
        <v>249014</v>
      </c>
      <c r="AH404" s="2">
        <f t="shared" si="69"/>
        <v>0.32219681884111412</v>
      </c>
      <c r="AI404" s="2"/>
      <c r="AJ404" s="2"/>
    </row>
    <row r="405" spans="2:36" x14ac:dyDescent="0.25">
      <c r="B405" s="1">
        <v>42220</v>
      </c>
      <c r="C405">
        <v>251136</v>
      </c>
      <c r="D405">
        <v>135164</v>
      </c>
      <c r="F405" s="2">
        <f t="shared" si="62"/>
        <v>0.34989386487186125</v>
      </c>
      <c r="I405">
        <v>260866</v>
      </c>
      <c r="J405">
        <v>148646</v>
      </c>
      <c r="L405" s="2">
        <f t="shared" si="63"/>
        <v>0.36298325812186211</v>
      </c>
      <c r="N405">
        <v>271186</v>
      </c>
      <c r="O405">
        <v>121132</v>
      </c>
      <c r="Q405" s="2">
        <f t="shared" si="64"/>
        <v>0.30875973062668549</v>
      </c>
      <c r="T405">
        <v>264315</v>
      </c>
      <c r="U405">
        <v>117131</v>
      </c>
      <c r="W405" s="2">
        <f t="shared" si="65"/>
        <v>0.30707098776760011</v>
      </c>
      <c r="Z405">
        <f t="shared" si="60"/>
        <v>522322</v>
      </c>
      <c r="AA405">
        <f t="shared" si="61"/>
        <v>256296</v>
      </c>
      <c r="AC405" s="2">
        <f t="shared" si="66"/>
        <v>0.32916783326355159</v>
      </c>
      <c r="AD405" s="2"/>
      <c r="AE405">
        <f t="shared" si="67"/>
        <v>525181</v>
      </c>
      <c r="AF405">
        <f t="shared" si="68"/>
        <v>265777</v>
      </c>
      <c r="AH405" s="2">
        <f t="shared" si="69"/>
        <v>0.33601910594494272</v>
      </c>
      <c r="AI405" s="2"/>
      <c r="AJ405" s="2"/>
    </row>
    <row r="406" spans="2:36" x14ac:dyDescent="0.25">
      <c r="B406" s="1">
        <v>42227</v>
      </c>
      <c r="C406">
        <v>251147</v>
      </c>
      <c r="D406">
        <v>151015</v>
      </c>
      <c r="F406" s="2">
        <f t="shared" si="62"/>
        <v>0.37550787990909135</v>
      </c>
      <c r="I406">
        <v>262862</v>
      </c>
      <c r="J406">
        <v>163114</v>
      </c>
      <c r="L406" s="2">
        <f t="shared" si="63"/>
        <v>0.38291828647623338</v>
      </c>
      <c r="N406">
        <v>261175</v>
      </c>
      <c r="O406">
        <v>131101</v>
      </c>
      <c r="Q406" s="2">
        <f t="shared" si="64"/>
        <v>0.33420601821166729</v>
      </c>
      <c r="T406">
        <v>260117</v>
      </c>
      <c r="U406">
        <v>134228</v>
      </c>
      <c r="W406" s="2">
        <f t="shared" si="65"/>
        <v>0.34038215268356387</v>
      </c>
      <c r="Z406">
        <f t="shared" si="60"/>
        <v>512322</v>
      </c>
      <c r="AA406">
        <f t="shared" si="61"/>
        <v>282116</v>
      </c>
      <c r="AC406" s="2">
        <f t="shared" si="66"/>
        <v>0.3551139295955128</v>
      </c>
      <c r="AD406" s="2"/>
      <c r="AE406">
        <f t="shared" si="67"/>
        <v>522979</v>
      </c>
      <c r="AF406">
        <f t="shared" si="68"/>
        <v>297342</v>
      </c>
      <c r="AH406" s="2">
        <f t="shared" si="69"/>
        <v>0.36247030126011648</v>
      </c>
      <c r="AI406" s="2"/>
      <c r="AJ406" s="2"/>
    </row>
    <row r="407" spans="2:36" x14ac:dyDescent="0.25">
      <c r="B407" s="1">
        <v>42234</v>
      </c>
      <c r="C407">
        <v>241712</v>
      </c>
      <c r="D407">
        <v>159158</v>
      </c>
      <c r="F407" s="2">
        <f t="shared" si="62"/>
        <v>0.39703145658193428</v>
      </c>
      <c r="I407">
        <v>252044</v>
      </c>
      <c r="J407">
        <v>158638</v>
      </c>
      <c r="L407" s="2">
        <f t="shared" si="63"/>
        <v>0.38627940839871239</v>
      </c>
      <c r="N407">
        <v>272076</v>
      </c>
      <c r="O407">
        <v>128700</v>
      </c>
      <c r="Q407" s="2">
        <f t="shared" si="64"/>
        <v>0.32112701359362839</v>
      </c>
      <c r="T407">
        <v>269257</v>
      </c>
      <c r="U407">
        <v>129391</v>
      </c>
      <c r="W407" s="2">
        <f t="shared" si="65"/>
        <v>0.32457456201962631</v>
      </c>
      <c r="Z407">
        <f t="shared" si="60"/>
        <v>513788</v>
      </c>
      <c r="AA407">
        <f t="shared" si="61"/>
        <v>287858</v>
      </c>
      <c r="AC407" s="2">
        <f t="shared" si="66"/>
        <v>0.35908368531745932</v>
      </c>
      <c r="AD407" s="2"/>
      <c r="AE407">
        <f t="shared" si="67"/>
        <v>521301</v>
      </c>
      <c r="AF407">
        <f t="shared" si="68"/>
        <v>288029</v>
      </c>
      <c r="AH407" s="2">
        <f t="shared" si="69"/>
        <v>0.3558857326430504</v>
      </c>
      <c r="AI407" s="2"/>
      <c r="AJ407" s="2"/>
    </row>
    <row r="408" spans="2:36" x14ac:dyDescent="0.25">
      <c r="B408" s="1">
        <v>42241</v>
      </c>
      <c r="C408">
        <v>245238</v>
      </c>
      <c r="D408">
        <v>156004</v>
      </c>
      <c r="F408" s="2">
        <f t="shared" si="62"/>
        <v>0.38880276740720066</v>
      </c>
      <c r="I408">
        <v>256270</v>
      </c>
      <c r="J408">
        <v>157094</v>
      </c>
      <c r="L408" s="2">
        <f t="shared" si="63"/>
        <v>0.38003793266951164</v>
      </c>
      <c r="N408">
        <v>269315</v>
      </c>
      <c r="O408">
        <v>124073</v>
      </c>
      <c r="Q408" s="2">
        <f t="shared" si="64"/>
        <v>0.31539599581075173</v>
      </c>
      <c r="T408">
        <v>263842</v>
      </c>
      <c r="U408">
        <v>122460</v>
      </c>
      <c r="W408" s="2">
        <f t="shared" si="65"/>
        <v>0.31700586587695639</v>
      </c>
      <c r="Z408">
        <f t="shared" si="60"/>
        <v>514553</v>
      </c>
      <c r="AA408">
        <f t="shared" si="61"/>
        <v>280077</v>
      </c>
      <c r="AC408" s="2">
        <f t="shared" si="66"/>
        <v>0.3524621521966198</v>
      </c>
      <c r="AD408" s="2"/>
      <c r="AE408">
        <f t="shared" si="67"/>
        <v>520112</v>
      </c>
      <c r="AF408">
        <f t="shared" si="68"/>
        <v>279554</v>
      </c>
      <c r="AH408" s="2">
        <f t="shared" si="69"/>
        <v>0.34958845317920234</v>
      </c>
      <c r="AI408" s="2"/>
      <c r="AJ408" s="2"/>
    </row>
    <row r="409" spans="2:36" x14ac:dyDescent="0.25">
      <c r="B409" s="1">
        <v>42248</v>
      </c>
      <c r="C409">
        <v>250891</v>
      </c>
      <c r="D409">
        <v>140701</v>
      </c>
      <c r="F409" s="2">
        <f t="shared" si="62"/>
        <v>0.35930509305603792</v>
      </c>
      <c r="I409">
        <v>252087</v>
      </c>
      <c r="J409">
        <v>136085</v>
      </c>
      <c r="L409" s="2">
        <f t="shared" si="63"/>
        <v>0.35057912471790853</v>
      </c>
      <c r="N409">
        <v>264239</v>
      </c>
      <c r="O409">
        <v>119218</v>
      </c>
      <c r="Q409" s="2">
        <f t="shared" si="64"/>
        <v>0.31090317819207891</v>
      </c>
      <c r="T409">
        <v>258776</v>
      </c>
      <c r="U409">
        <v>118116</v>
      </c>
      <c r="W409" s="2">
        <f t="shared" si="65"/>
        <v>0.31339481867484587</v>
      </c>
      <c r="Z409">
        <f t="shared" si="60"/>
        <v>515130</v>
      </c>
      <c r="AA409">
        <f t="shared" si="61"/>
        <v>259919</v>
      </c>
      <c r="AC409" s="2">
        <f t="shared" si="66"/>
        <v>0.33535815154912785</v>
      </c>
      <c r="AD409" s="2"/>
      <c r="AE409">
        <f t="shared" si="67"/>
        <v>510863</v>
      </c>
      <c r="AF409">
        <f t="shared" si="68"/>
        <v>254201</v>
      </c>
      <c r="AH409" s="2">
        <f t="shared" si="69"/>
        <v>0.33226109188250919</v>
      </c>
      <c r="AI409" s="2"/>
      <c r="AJ409" s="2"/>
    </row>
    <row r="410" spans="2:36" x14ac:dyDescent="0.25">
      <c r="B410" s="1">
        <v>42255</v>
      </c>
      <c r="C410">
        <v>258812</v>
      </c>
      <c r="D410">
        <v>128732</v>
      </c>
      <c r="F410" s="2">
        <f t="shared" si="62"/>
        <v>0.33217389509320233</v>
      </c>
      <c r="I410">
        <v>258339</v>
      </c>
      <c r="J410">
        <v>125482</v>
      </c>
      <c r="L410" s="2">
        <f t="shared" si="63"/>
        <v>0.3269284379958366</v>
      </c>
      <c r="N410">
        <v>269022</v>
      </c>
      <c r="O410">
        <v>97068</v>
      </c>
      <c r="Q410" s="2">
        <f t="shared" si="64"/>
        <v>0.26514791444726704</v>
      </c>
      <c r="T410">
        <v>262335</v>
      </c>
      <c r="U410">
        <v>93877</v>
      </c>
      <c r="W410" s="2">
        <f t="shared" si="65"/>
        <v>0.26354249716460981</v>
      </c>
      <c r="Z410">
        <f t="shared" si="60"/>
        <v>527834</v>
      </c>
      <c r="AA410">
        <f t="shared" si="61"/>
        <v>225800</v>
      </c>
      <c r="AC410" s="2">
        <f t="shared" si="66"/>
        <v>0.2996149324473153</v>
      </c>
      <c r="AD410" s="2"/>
      <c r="AE410">
        <f t="shared" si="67"/>
        <v>520674</v>
      </c>
      <c r="AF410">
        <f t="shared" si="68"/>
        <v>219359</v>
      </c>
      <c r="AH410" s="2">
        <f t="shared" si="69"/>
        <v>0.29641786244667467</v>
      </c>
      <c r="AI410" s="2"/>
      <c r="AJ410" s="2"/>
    </row>
    <row r="411" spans="2:36" x14ac:dyDescent="0.25">
      <c r="B411" s="1">
        <v>42262</v>
      </c>
      <c r="C411">
        <v>260007</v>
      </c>
      <c r="D411">
        <v>115720</v>
      </c>
      <c r="F411" s="2">
        <f t="shared" si="62"/>
        <v>0.30798957753901102</v>
      </c>
      <c r="I411">
        <v>258591</v>
      </c>
      <c r="J411">
        <v>110913</v>
      </c>
      <c r="L411" s="2">
        <f t="shared" si="63"/>
        <v>0.30016725123408677</v>
      </c>
      <c r="N411">
        <v>268688</v>
      </c>
      <c r="O411">
        <v>105134</v>
      </c>
      <c r="Q411" s="2">
        <f t="shared" si="64"/>
        <v>0.28124080444703631</v>
      </c>
      <c r="T411">
        <v>260533</v>
      </c>
      <c r="U411">
        <v>98687</v>
      </c>
      <c r="W411" s="2">
        <f t="shared" si="65"/>
        <v>0.27472579477757364</v>
      </c>
      <c r="Z411">
        <f t="shared" si="60"/>
        <v>528695</v>
      </c>
      <c r="AA411">
        <f t="shared" si="61"/>
        <v>220854</v>
      </c>
      <c r="AC411" s="2">
        <f t="shared" si="66"/>
        <v>0.29464918237500148</v>
      </c>
      <c r="AD411" s="2"/>
      <c r="AE411">
        <f t="shared" si="67"/>
        <v>519124</v>
      </c>
      <c r="AF411">
        <f t="shared" si="68"/>
        <v>209600</v>
      </c>
      <c r="AH411" s="2">
        <f t="shared" si="69"/>
        <v>0.28762604223272459</v>
      </c>
      <c r="AI411" s="2"/>
      <c r="AJ411" s="2"/>
    </row>
    <row r="412" spans="2:36" x14ac:dyDescent="0.25">
      <c r="B412" s="1">
        <v>42269</v>
      </c>
      <c r="C412">
        <v>269393</v>
      </c>
      <c r="D412">
        <v>105552</v>
      </c>
      <c r="F412" s="2">
        <f t="shared" si="62"/>
        <v>0.2815132886156636</v>
      </c>
      <c r="I412">
        <v>274290</v>
      </c>
      <c r="J412">
        <v>104898</v>
      </c>
      <c r="L412" s="2">
        <f t="shared" si="63"/>
        <v>0.27663850121839301</v>
      </c>
      <c r="N412">
        <v>281675</v>
      </c>
      <c r="O412">
        <v>101673</v>
      </c>
      <c r="Q412" s="2">
        <f t="shared" si="64"/>
        <v>0.26522376535158654</v>
      </c>
      <c r="T412">
        <v>273571</v>
      </c>
      <c r="U412">
        <v>99752</v>
      </c>
      <c r="W412" s="2">
        <f t="shared" si="65"/>
        <v>0.26720025286414179</v>
      </c>
      <c r="Z412">
        <f t="shared" si="60"/>
        <v>551068</v>
      </c>
      <c r="AA412">
        <f t="shared" si="61"/>
        <v>207225</v>
      </c>
      <c r="AC412" s="2">
        <f t="shared" si="66"/>
        <v>0.27327827106408736</v>
      </c>
      <c r="AD412" s="2"/>
      <c r="AE412">
        <f t="shared" si="67"/>
        <v>547861</v>
      </c>
      <c r="AF412">
        <f t="shared" si="68"/>
        <v>204650</v>
      </c>
      <c r="AH412" s="2">
        <f t="shared" si="69"/>
        <v>0.27195615745151897</v>
      </c>
      <c r="AI412" s="2"/>
      <c r="AJ412" s="2"/>
    </row>
    <row r="413" spans="2:36" x14ac:dyDescent="0.25">
      <c r="B413" s="1">
        <v>42276</v>
      </c>
      <c r="C413">
        <v>263126</v>
      </c>
      <c r="D413">
        <v>112736</v>
      </c>
      <c r="F413" s="2">
        <f t="shared" si="62"/>
        <v>0.2999398715486003</v>
      </c>
      <c r="I413">
        <v>266678</v>
      </c>
      <c r="J413">
        <v>112764</v>
      </c>
      <c r="L413" s="2">
        <f t="shared" si="63"/>
        <v>0.29718375930972324</v>
      </c>
      <c r="N413">
        <v>277648</v>
      </c>
      <c r="O413">
        <v>101753</v>
      </c>
      <c r="Q413" s="2">
        <f t="shared" si="64"/>
        <v>0.26819381077013504</v>
      </c>
      <c r="T413">
        <v>268665</v>
      </c>
      <c r="U413">
        <v>99208</v>
      </c>
      <c r="W413" s="2">
        <f t="shared" si="65"/>
        <v>0.2696800254435634</v>
      </c>
      <c r="Z413">
        <f t="shared" si="60"/>
        <v>540774</v>
      </c>
      <c r="AA413">
        <f t="shared" si="61"/>
        <v>214489</v>
      </c>
      <c r="AC413" s="2">
        <f t="shared" si="66"/>
        <v>0.28399246355243141</v>
      </c>
      <c r="AD413" s="2"/>
      <c r="AE413">
        <f t="shared" si="67"/>
        <v>535343</v>
      </c>
      <c r="AF413">
        <f t="shared" si="68"/>
        <v>211972</v>
      </c>
      <c r="AH413" s="2">
        <f t="shared" si="69"/>
        <v>0.28364478165164625</v>
      </c>
      <c r="AI413" s="2"/>
      <c r="AJ413" s="2"/>
    </row>
    <row r="414" spans="2:36" x14ac:dyDescent="0.25">
      <c r="B414" s="1">
        <v>42283</v>
      </c>
      <c r="C414">
        <v>278318</v>
      </c>
      <c r="D414">
        <v>104851</v>
      </c>
      <c r="F414" s="2">
        <f t="shared" si="62"/>
        <v>0.27364165681461705</v>
      </c>
      <c r="I414">
        <v>281037</v>
      </c>
      <c r="J414">
        <v>108070</v>
      </c>
      <c r="L414" s="2">
        <f t="shared" si="63"/>
        <v>0.2777385140848147</v>
      </c>
      <c r="N414">
        <v>286274</v>
      </c>
      <c r="O414">
        <v>96870</v>
      </c>
      <c r="Q414" s="2">
        <f t="shared" si="64"/>
        <v>0.25282922347733489</v>
      </c>
      <c r="T414">
        <v>274065</v>
      </c>
      <c r="U414">
        <v>91477</v>
      </c>
      <c r="W414" s="2">
        <f t="shared" si="65"/>
        <v>0.25025031323349983</v>
      </c>
      <c r="Z414">
        <f t="shared" si="60"/>
        <v>564592</v>
      </c>
      <c r="AA414">
        <f t="shared" si="61"/>
        <v>201721</v>
      </c>
      <c r="AC414" s="2">
        <f t="shared" si="66"/>
        <v>0.2632357796357363</v>
      </c>
      <c r="AD414" s="2"/>
      <c r="AE414">
        <f t="shared" si="67"/>
        <v>555102</v>
      </c>
      <c r="AF414">
        <f t="shared" si="68"/>
        <v>199547</v>
      </c>
      <c r="AH414" s="2">
        <f t="shared" si="69"/>
        <v>0.26442359295513546</v>
      </c>
      <c r="AI414" s="2"/>
      <c r="AJ414" s="2"/>
    </row>
    <row r="415" spans="2:36" x14ac:dyDescent="0.25">
      <c r="B415" s="1">
        <v>42290</v>
      </c>
      <c r="C415">
        <v>269937</v>
      </c>
      <c r="D415">
        <v>87595</v>
      </c>
      <c r="F415" s="2">
        <f t="shared" si="62"/>
        <v>0.2449990490361702</v>
      </c>
      <c r="I415">
        <v>274338</v>
      </c>
      <c r="J415">
        <v>90021</v>
      </c>
      <c r="L415" s="2">
        <f t="shared" si="63"/>
        <v>0.24706676656813747</v>
      </c>
      <c r="N415">
        <v>293112</v>
      </c>
      <c r="O415">
        <v>86036</v>
      </c>
      <c r="Q415" s="2">
        <f t="shared" si="64"/>
        <v>0.22691930327998566</v>
      </c>
      <c r="T415">
        <v>280918</v>
      </c>
      <c r="U415">
        <v>77382</v>
      </c>
      <c r="W415" s="2">
        <f t="shared" si="65"/>
        <v>0.21596985766117779</v>
      </c>
      <c r="Z415">
        <f t="shared" si="60"/>
        <v>563049</v>
      </c>
      <c r="AA415">
        <f t="shared" si="61"/>
        <v>173631</v>
      </c>
      <c r="AC415" s="2">
        <f t="shared" si="66"/>
        <v>0.23569392409187165</v>
      </c>
      <c r="AD415" s="2"/>
      <c r="AE415">
        <f t="shared" si="67"/>
        <v>555256</v>
      </c>
      <c r="AF415">
        <f t="shared" si="68"/>
        <v>167403</v>
      </c>
      <c r="AH415" s="2">
        <f t="shared" si="69"/>
        <v>0.23164867523963584</v>
      </c>
      <c r="AI415" s="2"/>
      <c r="AJ415" s="2"/>
    </row>
    <row r="416" spans="2:36" x14ac:dyDescent="0.25">
      <c r="B416" s="1">
        <v>42297</v>
      </c>
      <c r="C416">
        <v>266363</v>
      </c>
      <c r="D416">
        <v>106570</v>
      </c>
      <c r="F416" s="2">
        <f t="shared" si="62"/>
        <v>0.28576178562905402</v>
      </c>
      <c r="I416">
        <v>274718</v>
      </c>
      <c r="J416">
        <v>106517</v>
      </c>
      <c r="L416" s="2">
        <f t="shared" si="63"/>
        <v>0.27939984523981271</v>
      </c>
      <c r="N416">
        <v>289637</v>
      </c>
      <c r="O416">
        <v>100444</v>
      </c>
      <c r="Q416" s="2">
        <f t="shared" si="64"/>
        <v>0.25749523816848296</v>
      </c>
      <c r="T416">
        <v>283730</v>
      </c>
      <c r="U416">
        <v>98791</v>
      </c>
      <c r="W416" s="2">
        <f t="shared" si="65"/>
        <v>0.25826294504092584</v>
      </c>
      <c r="Z416">
        <f t="shared" si="60"/>
        <v>556000</v>
      </c>
      <c r="AA416">
        <f t="shared" si="61"/>
        <v>207014</v>
      </c>
      <c r="AC416" s="2">
        <f t="shared" si="66"/>
        <v>0.27131088027218375</v>
      </c>
      <c r="AD416" s="2"/>
      <c r="AE416">
        <f t="shared" si="67"/>
        <v>558448</v>
      </c>
      <c r="AF416">
        <f t="shared" si="68"/>
        <v>205308</v>
      </c>
      <c r="AH416" s="2">
        <f t="shared" si="69"/>
        <v>0.26881360015502331</v>
      </c>
      <c r="AI416" s="2"/>
      <c r="AJ416" s="2"/>
    </row>
    <row r="417" spans="2:36" x14ac:dyDescent="0.25">
      <c r="B417" s="1">
        <v>42304</v>
      </c>
      <c r="C417">
        <v>273436</v>
      </c>
      <c r="D417">
        <v>134264</v>
      </c>
      <c r="F417" s="2">
        <f t="shared" si="62"/>
        <v>0.32932057885700272</v>
      </c>
      <c r="I417">
        <v>274855</v>
      </c>
      <c r="J417">
        <v>131564</v>
      </c>
      <c r="L417" s="2">
        <f t="shared" si="63"/>
        <v>0.32371518063870047</v>
      </c>
      <c r="N417">
        <v>294027</v>
      </c>
      <c r="O417">
        <v>124590</v>
      </c>
      <c r="Q417" s="2">
        <f t="shared" si="64"/>
        <v>0.29762288679150634</v>
      </c>
      <c r="T417">
        <v>286378</v>
      </c>
      <c r="U417">
        <v>125182</v>
      </c>
      <c r="W417" s="2">
        <f t="shared" si="65"/>
        <v>0.30416464185051995</v>
      </c>
      <c r="Z417">
        <f t="shared" si="60"/>
        <v>567463</v>
      </c>
      <c r="AA417">
        <f t="shared" si="61"/>
        <v>258854</v>
      </c>
      <c r="AC417" s="2">
        <f t="shared" si="66"/>
        <v>0.31326234362841382</v>
      </c>
      <c r="AD417" s="2"/>
      <c r="AE417">
        <f t="shared" si="67"/>
        <v>561233</v>
      </c>
      <c r="AF417">
        <f t="shared" si="68"/>
        <v>256746</v>
      </c>
      <c r="AH417" s="2">
        <f t="shared" si="69"/>
        <v>0.31387847365274657</v>
      </c>
      <c r="AI417" s="2"/>
      <c r="AJ417" s="2"/>
    </row>
    <row r="418" spans="2:36" x14ac:dyDescent="0.25">
      <c r="B418" s="1">
        <v>42311</v>
      </c>
      <c r="C418">
        <v>281962</v>
      </c>
      <c r="D418">
        <v>116244</v>
      </c>
      <c r="F418" s="2">
        <f t="shared" si="62"/>
        <v>0.29191925787155393</v>
      </c>
      <c r="I418">
        <v>286221</v>
      </c>
      <c r="J418">
        <v>114169</v>
      </c>
      <c r="L418" s="2">
        <f t="shared" si="63"/>
        <v>0.28514448412797522</v>
      </c>
      <c r="N418">
        <v>303424</v>
      </c>
      <c r="O418">
        <v>115559</v>
      </c>
      <c r="Q418" s="2">
        <f t="shared" si="64"/>
        <v>0.27580832635214314</v>
      </c>
      <c r="T418">
        <v>294564</v>
      </c>
      <c r="U418">
        <v>112635</v>
      </c>
      <c r="W418" s="2">
        <f t="shared" si="65"/>
        <v>0.27660922546469907</v>
      </c>
      <c r="Z418">
        <f t="shared" si="60"/>
        <v>585386</v>
      </c>
      <c r="AA418">
        <f t="shared" si="61"/>
        <v>231803</v>
      </c>
      <c r="AC418" s="2">
        <f t="shared" si="66"/>
        <v>0.28365898219383767</v>
      </c>
      <c r="AD418" s="2"/>
      <c r="AE418">
        <f t="shared" si="67"/>
        <v>580785</v>
      </c>
      <c r="AF418">
        <f t="shared" si="68"/>
        <v>226804</v>
      </c>
      <c r="AH418" s="2">
        <f t="shared" si="69"/>
        <v>0.28084087326598062</v>
      </c>
      <c r="AI418" s="2"/>
      <c r="AJ418" s="2"/>
    </row>
    <row r="419" spans="2:36" x14ac:dyDescent="0.25">
      <c r="B419" s="1">
        <v>42318</v>
      </c>
      <c r="C419">
        <v>277775</v>
      </c>
      <c r="D419">
        <v>139178</v>
      </c>
      <c r="F419" s="2">
        <f t="shared" si="62"/>
        <v>0.33379781414212151</v>
      </c>
      <c r="I419">
        <v>282789</v>
      </c>
      <c r="J419">
        <v>137935</v>
      </c>
      <c r="L419" s="2">
        <f t="shared" si="63"/>
        <v>0.32785151310597921</v>
      </c>
      <c r="N419">
        <v>312939</v>
      </c>
      <c r="O419">
        <v>110696</v>
      </c>
      <c r="Q419" s="2">
        <f t="shared" si="64"/>
        <v>0.26130041191119713</v>
      </c>
      <c r="T419">
        <v>301132</v>
      </c>
      <c r="U419">
        <v>113653</v>
      </c>
      <c r="W419" s="2">
        <f t="shared" si="65"/>
        <v>0.27400460479525535</v>
      </c>
      <c r="Z419">
        <f t="shared" si="60"/>
        <v>590714</v>
      </c>
      <c r="AA419">
        <f t="shared" si="61"/>
        <v>249874</v>
      </c>
      <c r="AC419" s="2">
        <f t="shared" si="66"/>
        <v>0.29726096494358711</v>
      </c>
      <c r="AD419" s="2"/>
      <c r="AE419">
        <f t="shared" si="67"/>
        <v>583921</v>
      </c>
      <c r="AF419">
        <f t="shared" si="68"/>
        <v>251588</v>
      </c>
      <c r="AH419" s="2">
        <f t="shared" si="69"/>
        <v>0.30111943737290681</v>
      </c>
      <c r="AI419" s="2"/>
      <c r="AJ419" s="2"/>
    </row>
    <row r="420" spans="2:36" x14ac:dyDescent="0.25">
      <c r="B420" s="1">
        <v>42325</v>
      </c>
      <c r="C420">
        <v>266187</v>
      </c>
      <c r="D420">
        <v>156229</v>
      </c>
      <c r="F420" s="2">
        <f t="shared" si="62"/>
        <v>0.36984631263967271</v>
      </c>
      <c r="I420">
        <v>275013</v>
      </c>
      <c r="J420">
        <v>154181</v>
      </c>
      <c r="L420" s="2">
        <f t="shared" si="63"/>
        <v>0.35923381967129081</v>
      </c>
      <c r="N420">
        <v>311817</v>
      </c>
      <c r="O420">
        <v>136484</v>
      </c>
      <c r="Q420" s="2">
        <f t="shared" si="64"/>
        <v>0.30444723522811684</v>
      </c>
      <c r="T420">
        <v>300124</v>
      </c>
      <c r="U420">
        <v>141387</v>
      </c>
      <c r="W420" s="2">
        <f t="shared" si="65"/>
        <v>0.32023437694644075</v>
      </c>
      <c r="Z420">
        <f t="shared" si="60"/>
        <v>578004</v>
      </c>
      <c r="AA420">
        <f t="shared" si="61"/>
        <v>292713</v>
      </c>
      <c r="AC420" s="2">
        <f t="shared" si="66"/>
        <v>0.33617466984106203</v>
      </c>
      <c r="AD420" s="2"/>
      <c r="AE420">
        <f t="shared" si="67"/>
        <v>575137</v>
      </c>
      <c r="AF420">
        <f t="shared" si="68"/>
        <v>295568</v>
      </c>
      <c r="AH420" s="2">
        <f t="shared" si="69"/>
        <v>0.33945825509213801</v>
      </c>
      <c r="AI420" s="2"/>
      <c r="AJ420" s="2"/>
    </row>
    <row r="421" spans="2:36" x14ac:dyDescent="0.25">
      <c r="B421" s="1">
        <v>42332</v>
      </c>
      <c r="C421">
        <v>250061</v>
      </c>
      <c r="D421">
        <v>164953</v>
      </c>
      <c r="F421" s="2">
        <f t="shared" si="62"/>
        <v>0.39746370001975839</v>
      </c>
      <c r="I421">
        <v>260623</v>
      </c>
      <c r="J421">
        <v>164102</v>
      </c>
      <c r="L421" s="2">
        <f t="shared" si="63"/>
        <v>0.38637235858496677</v>
      </c>
      <c r="N421">
        <v>322278</v>
      </c>
      <c r="O421">
        <v>127622</v>
      </c>
      <c r="Q421" s="2">
        <f t="shared" si="64"/>
        <v>0.2836674816625917</v>
      </c>
      <c r="T421">
        <v>307606</v>
      </c>
      <c r="U421">
        <v>129661</v>
      </c>
      <c r="W421" s="2">
        <f t="shared" si="65"/>
        <v>0.29652592123347976</v>
      </c>
      <c r="Z421">
        <f t="shared" si="60"/>
        <v>572339</v>
      </c>
      <c r="AA421">
        <f t="shared" si="61"/>
        <v>292575</v>
      </c>
      <c r="AC421" s="2">
        <f t="shared" si="66"/>
        <v>0.33827062575007455</v>
      </c>
      <c r="AD421" s="2"/>
      <c r="AE421">
        <f t="shared" si="67"/>
        <v>568229</v>
      </c>
      <c r="AF421">
        <f t="shared" si="68"/>
        <v>293763</v>
      </c>
      <c r="AH421" s="2">
        <f t="shared" si="69"/>
        <v>0.34079550622279559</v>
      </c>
      <c r="AI421" s="2"/>
      <c r="AJ421" s="2"/>
    </row>
    <row r="422" spans="2:36" x14ac:dyDescent="0.25">
      <c r="B422" s="1">
        <v>42339</v>
      </c>
      <c r="C422">
        <v>251057</v>
      </c>
      <c r="D422">
        <v>171805</v>
      </c>
      <c r="F422" s="2">
        <f t="shared" si="62"/>
        <v>0.40629094125270182</v>
      </c>
      <c r="I422">
        <v>262677</v>
      </c>
      <c r="J422">
        <v>171914</v>
      </c>
      <c r="L422" s="2">
        <f t="shared" si="63"/>
        <v>0.3955765305770253</v>
      </c>
      <c r="N422">
        <v>314662</v>
      </c>
      <c r="O422">
        <v>127049</v>
      </c>
      <c r="Q422" s="2">
        <f t="shared" si="64"/>
        <v>0.28762924174403626</v>
      </c>
      <c r="T422">
        <v>302185</v>
      </c>
      <c r="U422">
        <v>131789</v>
      </c>
      <c r="W422" s="2">
        <f t="shared" si="65"/>
        <v>0.30367948310267434</v>
      </c>
      <c r="Z422">
        <f t="shared" si="60"/>
        <v>565719</v>
      </c>
      <c r="AA422">
        <f t="shared" si="61"/>
        <v>298854</v>
      </c>
      <c r="AC422" s="2">
        <f t="shared" si="66"/>
        <v>0.34566658917176457</v>
      </c>
      <c r="AD422" s="2"/>
      <c r="AE422">
        <f t="shared" si="67"/>
        <v>564862</v>
      </c>
      <c r="AF422">
        <f t="shared" si="68"/>
        <v>303703</v>
      </c>
      <c r="AH422" s="2">
        <f t="shared" si="69"/>
        <v>0.3496606471593951</v>
      </c>
      <c r="AI422" s="2"/>
      <c r="AJ422" s="2"/>
    </row>
    <row r="423" spans="2:36" x14ac:dyDescent="0.25">
      <c r="B423" s="1">
        <v>42346</v>
      </c>
      <c r="C423">
        <v>253141</v>
      </c>
      <c r="D423">
        <v>178888</v>
      </c>
      <c r="F423" s="2">
        <f t="shared" si="62"/>
        <v>0.41406479657615575</v>
      </c>
      <c r="I423">
        <v>262323</v>
      </c>
      <c r="J423">
        <v>181849</v>
      </c>
      <c r="L423" s="2">
        <f t="shared" si="63"/>
        <v>0.40941121907729439</v>
      </c>
      <c r="N423">
        <v>318166</v>
      </c>
      <c r="O423">
        <v>119715</v>
      </c>
      <c r="Q423" s="2">
        <f t="shared" si="64"/>
        <v>0.27339619668357384</v>
      </c>
      <c r="T423">
        <v>306139</v>
      </c>
      <c r="U423">
        <v>123431</v>
      </c>
      <c r="W423" s="2">
        <f t="shared" si="65"/>
        <v>0.28733617338268502</v>
      </c>
      <c r="Z423">
        <f t="shared" si="60"/>
        <v>571307</v>
      </c>
      <c r="AA423">
        <f t="shared" si="61"/>
        <v>298603</v>
      </c>
      <c r="AC423" s="2">
        <f t="shared" si="66"/>
        <v>0.3432573484613351</v>
      </c>
      <c r="AD423" s="2"/>
      <c r="AE423">
        <f t="shared" si="67"/>
        <v>568462</v>
      </c>
      <c r="AF423">
        <f t="shared" si="68"/>
        <v>305280</v>
      </c>
      <c r="AH423" s="2">
        <f t="shared" si="69"/>
        <v>0.34939375696715963</v>
      </c>
      <c r="AI423" s="2"/>
      <c r="AJ423" s="2"/>
    </row>
    <row r="424" spans="2:36" x14ac:dyDescent="0.25">
      <c r="B424" s="1">
        <v>42353</v>
      </c>
      <c r="C424">
        <v>254885</v>
      </c>
      <c r="D424">
        <v>175477</v>
      </c>
      <c r="F424" s="2">
        <f t="shared" si="62"/>
        <v>0.40774278398185715</v>
      </c>
      <c r="I424">
        <v>262379</v>
      </c>
      <c r="J424">
        <v>166625</v>
      </c>
      <c r="L424" s="2">
        <f t="shared" si="63"/>
        <v>0.38839964196138033</v>
      </c>
      <c r="N424">
        <v>301228</v>
      </c>
      <c r="O424">
        <v>124027</v>
      </c>
      <c r="Q424" s="2">
        <f t="shared" si="64"/>
        <v>0.29165324334810877</v>
      </c>
      <c r="T424">
        <v>300013</v>
      </c>
      <c r="U424">
        <v>128179</v>
      </c>
      <c r="W424" s="2">
        <f t="shared" si="65"/>
        <v>0.29934935729766088</v>
      </c>
      <c r="Z424">
        <f t="shared" si="60"/>
        <v>556113</v>
      </c>
      <c r="AA424">
        <f t="shared" si="61"/>
        <v>299504</v>
      </c>
      <c r="AC424" s="2">
        <f t="shared" si="66"/>
        <v>0.35004447083215973</v>
      </c>
      <c r="AD424" s="2"/>
      <c r="AE424">
        <f t="shared" si="67"/>
        <v>562392</v>
      </c>
      <c r="AF424">
        <f t="shared" si="68"/>
        <v>294804</v>
      </c>
      <c r="AH424" s="2">
        <f t="shared" si="69"/>
        <v>0.34391667716601571</v>
      </c>
      <c r="AI424" s="2"/>
      <c r="AJ424" s="2"/>
    </row>
    <row r="425" spans="2:36" x14ac:dyDescent="0.25">
      <c r="B425" s="1">
        <v>42360</v>
      </c>
      <c r="C425">
        <v>235119</v>
      </c>
      <c r="D425">
        <v>173062</v>
      </c>
      <c r="F425" s="2">
        <f t="shared" si="62"/>
        <v>0.42398347791788449</v>
      </c>
      <c r="I425">
        <v>259181</v>
      </c>
      <c r="J425">
        <v>172258</v>
      </c>
      <c r="L425" s="2">
        <f t="shared" si="63"/>
        <v>0.39926385885374294</v>
      </c>
      <c r="N425">
        <v>304246</v>
      </c>
      <c r="O425">
        <v>131901</v>
      </c>
      <c r="Q425" s="2">
        <f t="shared" si="64"/>
        <v>0.30242326555037635</v>
      </c>
      <c r="T425">
        <v>304560</v>
      </c>
      <c r="U425">
        <v>138526</v>
      </c>
      <c r="W425" s="2">
        <f t="shared" si="65"/>
        <v>0.31263908135215285</v>
      </c>
      <c r="Z425">
        <f t="shared" si="60"/>
        <v>539365</v>
      </c>
      <c r="AA425">
        <f t="shared" si="61"/>
        <v>304963</v>
      </c>
      <c r="AC425" s="2">
        <f t="shared" si="66"/>
        <v>0.36119020096455406</v>
      </c>
      <c r="AD425" s="2"/>
      <c r="AE425">
        <f t="shared" si="67"/>
        <v>563741</v>
      </c>
      <c r="AF425">
        <f t="shared" si="68"/>
        <v>310784</v>
      </c>
      <c r="AH425" s="2">
        <f t="shared" si="69"/>
        <v>0.3553746319430548</v>
      </c>
      <c r="AI425" s="2"/>
      <c r="AJ425" s="2"/>
    </row>
    <row r="426" spans="2:36" x14ac:dyDescent="0.25">
      <c r="B426" s="1">
        <v>42367</v>
      </c>
      <c r="C426">
        <v>238919</v>
      </c>
      <c r="D426">
        <v>165168</v>
      </c>
      <c r="F426" s="2">
        <f t="shared" si="62"/>
        <v>0.4087436616372217</v>
      </c>
      <c r="I426">
        <v>258356</v>
      </c>
      <c r="J426">
        <v>157559</v>
      </c>
      <c r="L426" s="2">
        <f t="shared" si="63"/>
        <v>0.37882500030054217</v>
      </c>
      <c r="N426">
        <v>305155</v>
      </c>
      <c r="O426">
        <v>137740</v>
      </c>
      <c r="Q426" s="2">
        <f t="shared" si="64"/>
        <v>0.31099922103433092</v>
      </c>
      <c r="T426">
        <v>305700</v>
      </c>
      <c r="U426">
        <v>142028</v>
      </c>
      <c r="W426" s="2">
        <f t="shared" si="65"/>
        <v>0.31721938319694098</v>
      </c>
      <c r="Z426">
        <f t="shared" si="60"/>
        <v>544074</v>
      </c>
      <c r="AA426">
        <f t="shared" si="61"/>
        <v>302908</v>
      </c>
      <c r="AC426" s="2">
        <f t="shared" si="66"/>
        <v>0.35763215747205962</v>
      </c>
      <c r="AD426" s="2"/>
      <c r="AE426">
        <f t="shared" si="67"/>
        <v>564056</v>
      </c>
      <c r="AF426">
        <f t="shared" si="68"/>
        <v>299587</v>
      </c>
      <c r="AH426" s="2">
        <f t="shared" si="69"/>
        <v>0.34688754496939128</v>
      </c>
      <c r="AI426" s="2"/>
      <c r="AJ426" s="2"/>
    </row>
    <row r="427" spans="2:36" x14ac:dyDescent="0.25">
      <c r="B427" s="1">
        <v>42374</v>
      </c>
      <c r="C427">
        <v>231998</v>
      </c>
      <c r="D427">
        <v>182562</v>
      </c>
      <c r="F427" s="2">
        <f t="shared" si="62"/>
        <v>0.44037533770744886</v>
      </c>
      <c r="I427">
        <v>252010</v>
      </c>
      <c r="J427">
        <v>175076</v>
      </c>
      <c r="L427" s="2">
        <f t="shared" si="63"/>
        <v>0.4099314892082625</v>
      </c>
      <c r="N427">
        <v>320370</v>
      </c>
      <c r="O427">
        <v>132627</v>
      </c>
      <c r="Q427" s="2">
        <f t="shared" si="64"/>
        <v>0.29277677335611496</v>
      </c>
      <c r="T427">
        <v>321067</v>
      </c>
      <c r="U427">
        <v>136015</v>
      </c>
      <c r="W427" s="2">
        <f t="shared" si="65"/>
        <v>0.29757242682932167</v>
      </c>
      <c r="Z427">
        <f t="shared" si="60"/>
        <v>552368</v>
      </c>
      <c r="AA427">
        <f t="shared" si="61"/>
        <v>315189</v>
      </c>
      <c r="AC427" s="2">
        <f t="shared" si="66"/>
        <v>0.36330638793762254</v>
      </c>
      <c r="AD427" s="2"/>
      <c r="AE427">
        <f t="shared" si="67"/>
        <v>573077</v>
      </c>
      <c r="AF427">
        <f t="shared" si="68"/>
        <v>311091</v>
      </c>
      <c r="AH427" s="2">
        <f t="shared" si="69"/>
        <v>0.35184602926140734</v>
      </c>
      <c r="AI427" s="2"/>
      <c r="AJ427" s="2"/>
    </row>
    <row r="428" spans="2:36" x14ac:dyDescent="0.25">
      <c r="B428" s="1">
        <v>42381</v>
      </c>
      <c r="C428">
        <v>249863</v>
      </c>
      <c r="D428">
        <v>213491</v>
      </c>
      <c r="F428" s="2">
        <f t="shared" si="62"/>
        <v>0.46075139094515211</v>
      </c>
      <c r="I428">
        <v>270730</v>
      </c>
      <c r="J428">
        <v>200975</v>
      </c>
      <c r="L428" s="2">
        <f t="shared" si="63"/>
        <v>0.42606077951261911</v>
      </c>
      <c r="N428">
        <v>333339</v>
      </c>
      <c r="O428">
        <v>129083</v>
      </c>
      <c r="Q428" s="2">
        <f t="shared" si="64"/>
        <v>0.27914545588228934</v>
      </c>
      <c r="T428">
        <v>337386</v>
      </c>
      <c r="U428">
        <v>134827</v>
      </c>
      <c r="W428" s="2">
        <f t="shared" si="65"/>
        <v>0.28552157606842676</v>
      </c>
      <c r="Z428">
        <f t="shared" si="60"/>
        <v>583202</v>
      </c>
      <c r="AA428">
        <f t="shared" si="61"/>
        <v>342574</v>
      </c>
      <c r="AC428" s="2">
        <f t="shared" si="66"/>
        <v>0.37003983685038283</v>
      </c>
      <c r="AD428" s="2"/>
      <c r="AE428">
        <f t="shared" si="67"/>
        <v>608116</v>
      </c>
      <c r="AF428">
        <f t="shared" si="68"/>
        <v>335802</v>
      </c>
      <c r="AH428" s="2">
        <f t="shared" si="69"/>
        <v>0.35575335993168899</v>
      </c>
      <c r="AI428" s="2"/>
      <c r="AJ428" s="2"/>
    </row>
    <row r="429" spans="2:36" x14ac:dyDescent="0.25">
      <c r="B429" s="1">
        <v>42388</v>
      </c>
      <c r="C429">
        <v>240700</v>
      </c>
      <c r="D429">
        <v>184037</v>
      </c>
      <c r="F429" s="2">
        <f t="shared" si="62"/>
        <v>0.43329636928263843</v>
      </c>
      <c r="I429">
        <v>266150</v>
      </c>
      <c r="J429">
        <v>184193</v>
      </c>
      <c r="L429" s="2">
        <f t="shared" si="63"/>
        <v>0.40900602429703581</v>
      </c>
      <c r="N429">
        <v>344728</v>
      </c>
      <c r="O429">
        <v>129080</v>
      </c>
      <c r="Q429" s="2">
        <f t="shared" si="64"/>
        <v>0.2724310269138554</v>
      </c>
      <c r="T429">
        <v>346206</v>
      </c>
      <c r="U429">
        <v>138053</v>
      </c>
      <c r="W429" s="2">
        <f t="shared" si="65"/>
        <v>0.28508091744293862</v>
      </c>
      <c r="Z429">
        <f t="shared" si="60"/>
        <v>585428</v>
      </c>
      <c r="AA429">
        <f t="shared" si="61"/>
        <v>313117</v>
      </c>
      <c r="AC429" s="2">
        <f t="shared" si="66"/>
        <v>0.34847113945322716</v>
      </c>
      <c r="AD429" s="2"/>
      <c r="AE429">
        <f t="shared" si="67"/>
        <v>612356</v>
      </c>
      <c r="AF429">
        <f t="shared" si="68"/>
        <v>322246</v>
      </c>
      <c r="AH429" s="2">
        <f t="shared" si="69"/>
        <v>0.34479489665119484</v>
      </c>
      <c r="AI429" s="2"/>
      <c r="AJ429" s="2"/>
    </row>
    <row r="430" spans="2:36" x14ac:dyDescent="0.25">
      <c r="B430" s="1">
        <v>42395</v>
      </c>
      <c r="C430">
        <v>268202</v>
      </c>
      <c r="D430">
        <v>191118</v>
      </c>
      <c r="F430" s="2">
        <f t="shared" si="62"/>
        <v>0.41608900113210834</v>
      </c>
      <c r="I430">
        <v>289181</v>
      </c>
      <c r="J430">
        <v>178749</v>
      </c>
      <c r="L430" s="2">
        <f t="shared" si="63"/>
        <v>0.38199944436133609</v>
      </c>
      <c r="N430">
        <v>356850</v>
      </c>
      <c r="O430">
        <v>102830</v>
      </c>
      <c r="Q430" s="2">
        <f t="shared" si="64"/>
        <v>0.22369909502262444</v>
      </c>
      <c r="T430">
        <v>364828</v>
      </c>
      <c r="U430">
        <v>103874</v>
      </c>
      <c r="W430" s="2">
        <f t="shared" si="65"/>
        <v>0.22162056061207333</v>
      </c>
      <c r="Z430">
        <f t="shared" si="60"/>
        <v>625052</v>
      </c>
      <c r="AA430">
        <f t="shared" si="61"/>
        <v>293948</v>
      </c>
      <c r="AC430" s="2">
        <f t="shared" si="66"/>
        <v>0.31985636561479869</v>
      </c>
      <c r="AD430" s="2"/>
      <c r="AE430">
        <f t="shared" si="67"/>
        <v>654009</v>
      </c>
      <c r="AF430">
        <f t="shared" si="68"/>
        <v>282623</v>
      </c>
      <c r="AH430" s="2">
        <f t="shared" si="69"/>
        <v>0.30174390795958284</v>
      </c>
      <c r="AI430" s="2"/>
      <c r="AJ430" s="2"/>
    </row>
    <row r="431" spans="2:36" x14ac:dyDescent="0.25">
      <c r="B431" s="1">
        <v>42402</v>
      </c>
      <c r="C431">
        <v>272485</v>
      </c>
      <c r="D431">
        <v>206215</v>
      </c>
      <c r="F431" s="2">
        <f t="shared" si="62"/>
        <v>0.43078128264048465</v>
      </c>
      <c r="I431">
        <v>301232</v>
      </c>
      <c r="J431">
        <v>196048</v>
      </c>
      <c r="L431" s="2">
        <f t="shared" si="63"/>
        <v>0.39424066924066925</v>
      </c>
      <c r="N431">
        <v>380712</v>
      </c>
      <c r="O431">
        <v>95383</v>
      </c>
      <c r="Q431" s="2">
        <f t="shared" si="64"/>
        <v>0.20034446906604775</v>
      </c>
      <c r="T431">
        <v>389251</v>
      </c>
      <c r="U431">
        <v>96951</v>
      </c>
      <c r="W431" s="2">
        <f t="shared" si="65"/>
        <v>0.19940477414737084</v>
      </c>
      <c r="Z431">
        <f t="shared" si="60"/>
        <v>653197</v>
      </c>
      <c r="AA431">
        <f t="shared" si="61"/>
        <v>301598</v>
      </c>
      <c r="AC431" s="2">
        <f t="shared" si="66"/>
        <v>0.31587723019077396</v>
      </c>
      <c r="AD431" s="2"/>
      <c r="AE431">
        <f t="shared" si="67"/>
        <v>690483</v>
      </c>
      <c r="AF431">
        <f t="shared" si="68"/>
        <v>292999</v>
      </c>
      <c r="AH431" s="2">
        <f t="shared" si="69"/>
        <v>0.29792004327481336</v>
      </c>
      <c r="AI431" s="2"/>
      <c r="AJ431" s="2"/>
    </row>
    <row r="432" spans="2:36" x14ac:dyDescent="0.25">
      <c r="B432" s="1">
        <v>42409</v>
      </c>
      <c r="C432">
        <v>270210</v>
      </c>
      <c r="D432">
        <v>197807</v>
      </c>
      <c r="F432" s="2">
        <f t="shared" si="62"/>
        <v>0.42264917727347512</v>
      </c>
      <c r="I432">
        <v>302384</v>
      </c>
      <c r="J432">
        <v>191897</v>
      </c>
      <c r="L432" s="2">
        <f t="shared" si="63"/>
        <v>0.3882346276713044</v>
      </c>
      <c r="N432">
        <v>359631</v>
      </c>
      <c r="O432">
        <v>96290</v>
      </c>
      <c r="Q432" s="2">
        <f t="shared" si="64"/>
        <v>0.21119886997966753</v>
      </c>
      <c r="T432">
        <v>365511</v>
      </c>
      <c r="U432">
        <v>100179</v>
      </c>
      <c r="W432" s="2">
        <f t="shared" si="65"/>
        <v>0.21511950009663081</v>
      </c>
      <c r="Z432">
        <f t="shared" si="60"/>
        <v>629841</v>
      </c>
      <c r="AA432">
        <f t="shared" si="61"/>
        <v>294097</v>
      </c>
      <c r="AC432" s="2">
        <f t="shared" si="66"/>
        <v>0.31830815487619302</v>
      </c>
      <c r="AD432" s="2"/>
      <c r="AE432">
        <f t="shared" si="67"/>
        <v>667895</v>
      </c>
      <c r="AF432">
        <f t="shared" si="68"/>
        <v>292076</v>
      </c>
      <c r="AH432" s="2">
        <f t="shared" si="69"/>
        <v>0.30425502437052787</v>
      </c>
      <c r="AI432" s="2"/>
      <c r="AJ432" s="2"/>
    </row>
    <row r="433" spans="2:36" x14ac:dyDescent="0.25">
      <c r="B433" s="1">
        <v>42416</v>
      </c>
      <c r="C433">
        <v>267102</v>
      </c>
      <c r="D433">
        <v>209241</v>
      </c>
      <c r="F433" s="2">
        <f t="shared" si="62"/>
        <v>0.4392654032913258</v>
      </c>
      <c r="I433">
        <v>286238</v>
      </c>
      <c r="J433">
        <v>189069</v>
      </c>
      <c r="L433" s="2">
        <f t="shared" si="63"/>
        <v>0.39778290662666443</v>
      </c>
      <c r="N433">
        <v>365440</v>
      </c>
      <c r="O433">
        <v>88087</v>
      </c>
      <c r="Q433" s="2">
        <f t="shared" si="64"/>
        <v>0.19422658408429927</v>
      </c>
      <c r="T433">
        <v>375927</v>
      </c>
      <c r="U433">
        <v>91054</v>
      </c>
      <c r="W433" s="2">
        <f t="shared" si="65"/>
        <v>0.19498437837942015</v>
      </c>
      <c r="Z433">
        <f t="shared" si="60"/>
        <v>632542</v>
      </c>
      <c r="AA433">
        <f t="shared" si="61"/>
        <v>297328</v>
      </c>
      <c r="AC433" s="2">
        <f t="shared" si="66"/>
        <v>0.31975222342908149</v>
      </c>
      <c r="AD433" s="2"/>
      <c r="AE433">
        <f t="shared" si="67"/>
        <v>662165</v>
      </c>
      <c r="AF433">
        <f t="shared" si="68"/>
        <v>280123</v>
      </c>
      <c r="AH433" s="2">
        <f t="shared" si="69"/>
        <v>0.29727960029205508</v>
      </c>
      <c r="AI433" s="2"/>
      <c r="AJ433" s="2"/>
    </row>
    <row r="434" spans="2:36" x14ac:dyDescent="0.25">
      <c r="B434" s="1">
        <v>42423</v>
      </c>
      <c r="C434">
        <v>275705</v>
      </c>
      <c r="D434">
        <v>173453</v>
      </c>
      <c r="F434" s="2">
        <f t="shared" si="62"/>
        <v>0.3861736849839032</v>
      </c>
      <c r="I434">
        <v>286911</v>
      </c>
      <c r="J434">
        <v>176357</v>
      </c>
      <c r="L434" s="2">
        <f t="shared" si="63"/>
        <v>0.38068029736567172</v>
      </c>
      <c r="N434">
        <v>385886</v>
      </c>
      <c r="O434">
        <v>75182</v>
      </c>
      <c r="Q434" s="2">
        <f t="shared" si="64"/>
        <v>0.1630605463836137</v>
      </c>
      <c r="T434">
        <v>395765</v>
      </c>
      <c r="U434">
        <v>75476</v>
      </c>
      <c r="W434" s="2">
        <f t="shared" si="65"/>
        <v>0.16016433205090388</v>
      </c>
      <c r="Z434">
        <f t="shared" si="60"/>
        <v>661591</v>
      </c>
      <c r="AA434">
        <f t="shared" si="61"/>
        <v>248635</v>
      </c>
      <c r="AC434" s="2">
        <f t="shared" si="66"/>
        <v>0.27315743562587752</v>
      </c>
      <c r="AD434" s="2"/>
      <c r="AE434">
        <f t="shared" si="67"/>
        <v>682676</v>
      </c>
      <c r="AF434">
        <f t="shared" si="68"/>
        <v>251833</v>
      </c>
      <c r="AH434" s="2">
        <f t="shared" si="69"/>
        <v>0.26948162082976196</v>
      </c>
      <c r="AI434" s="2"/>
      <c r="AJ434" s="2"/>
    </row>
    <row r="435" spans="2:36" x14ac:dyDescent="0.25">
      <c r="B435" s="1">
        <v>42430</v>
      </c>
      <c r="C435">
        <v>279333</v>
      </c>
      <c r="D435">
        <v>154922</v>
      </c>
      <c r="F435" s="2">
        <f t="shared" si="62"/>
        <v>0.35675352039700176</v>
      </c>
      <c r="I435">
        <v>286158</v>
      </c>
      <c r="J435">
        <v>150718</v>
      </c>
      <c r="L435" s="2">
        <f t="shared" si="63"/>
        <v>0.34499034050851957</v>
      </c>
      <c r="N435">
        <v>397562</v>
      </c>
      <c r="O435">
        <v>71471</v>
      </c>
      <c r="Q435" s="2">
        <f t="shared" si="64"/>
        <v>0.15237947010125086</v>
      </c>
      <c r="T435">
        <v>412182</v>
      </c>
      <c r="U435">
        <v>69722</v>
      </c>
      <c r="W435" s="2">
        <f t="shared" si="65"/>
        <v>0.14468026826919886</v>
      </c>
      <c r="Z435">
        <f t="shared" si="60"/>
        <v>676895</v>
      </c>
      <c r="AA435">
        <f t="shared" si="61"/>
        <v>226393</v>
      </c>
      <c r="AC435" s="2">
        <f t="shared" si="66"/>
        <v>0.2506321350444155</v>
      </c>
      <c r="AD435" s="2"/>
      <c r="AE435">
        <f t="shared" si="67"/>
        <v>698340</v>
      </c>
      <c r="AF435">
        <f t="shared" si="68"/>
        <v>220440</v>
      </c>
      <c r="AH435" s="2">
        <f t="shared" si="69"/>
        <v>0.23992685953111736</v>
      </c>
      <c r="AI435" s="2"/>
      <c r="AJ435" s="2"/>
    </row>
    <row r="436" spans="2:36" x14ac:dyDescent="0.25">
      <c r="B436" s="1">
        <v>42437</v>
      </c>
      <c r="C436">
        <v>286827</v>
      </c>
      <c r="D436">
        <v>121576</v>
      </c>
      <c r="F436" s="2">
        <f t="shared" si="62"/>
        <v>0.29768635392002507</v>
      </c>
      <c r="I436">
        <v>287434</v>
      </c>
      <c r="J436">
        <v>112485</v>
      </c>
      <c r="L436" s="2">
        <f t="shared" si="63"/>
        <v>0.28126945706505568</v>
      </c>
      <c r="N436">
        <v>379298</v>
      </c>
      <c r="O436">
        <v>63239</v>
      </c>
      <c r="Q436" s="2">
        <f t="shared" si="64"/>
        <v>0.14290104556229197</v>
      </c>
      <c r="T436">
        <v>395215</v>
      </c>
      <c r="U436">
        <v>62255</v>
      </c>
      <c r="W436" s="2">
        <f t="shared" si="65"/>
        <v>0.1360854263667563</v>
      </c>
      <c r="Z436">
        <f t="shared" si="60"/>
        <v>666125</v>
      </c>
      <c r="AA436">
        <f t="shared" si="61"/>
        <v>184815</v>
      </c>
      <c r="AC436" s="2">
        <f t="shared" si="66"/>
        <v>0.21718922603238772</v>
      </c>
      <c r="AD436" s="2"/>
      <c r="AE436">
        <f t="shared" si="67"/>
        <v>682649</v>
      </c>
      <c r="AF436">
        <f t="shared" si="68"/>
        <v>174740</v>
      </c>
      <c r="AH436" s="2">
        <f t="shared" si="69"/>
        <v>0.20380480738614562</v>
      </c>
      <c r="AI436" s="2"/>
      <c r="AJ436" s="2"/>
    </row>
    <row r="437" spans="2:36" x14ac:dyDescent="0.25">
      <c r="B437" s="1">
        <v>42444</v>
      </c>
      <c r="C437">
        <v>297622</v>
      </c>
      <c r="D437">
        <v>102677</v>
      </c>
      <c r="F437" s="2">
        <f t="shared" si="62"/>
        <v>0.25650076567765595</v>
      </c>
      <c r="I437">
        <v>294417</v>
      </c>
      <c r="J437">
        <v>89866</v>
      </c>
      <c r="L437" s="2">
        <f t="shared" si="63"/>
        <v>0.23385369636439812</v>
      </c>
      <c r="N437">
        <v>385043</v>
      </c>
      <c r="O437">
        <v>54142</v>
      </c>
      <c r="Q437" s="2">
        <f t="shared" si="64"/>
        <v>0.12327834511652265</v>
      </c>
      <c r="T437">
        <v>400832</v>
      </c>
      <c r="U437">
        <v>52750</v>
      </c>
      <c r="W437" s="2">
        <f t="shared" si="65"/>
        <v>0.11629650206577863</v>
      </c>
      <c r="Z437">
        <f t="shared" si="60"/>
        <v>682665</v>
      </c>
      <c r="AA437">
        <f t="shared" si="61"/>
        <v>156819</v>
      </c>
      <c r="AC437" s="2">
        <f t="shared" si="66"/>
        <v>0.18680403676544163</v>
      </c>
      <c r="AD437" s="2"/>
      <c r="AE437">
        <f t="shared" si="67"/>
        <v>695249</v>
      </c>
      <c r="AF437">
        <f t="shared" si="68"/>
        <v>142616</v>
      </c>
      <c r="AH437" s="2">
        <f t="shared" si="69"/>
        <v>0.17021357855979186</v>
      </c>
      <c r="AI437" s="2"/>
      <c r="AJ437" s="2"/>
    </row>
    <row r="438" spans="2:36" x14ac:dyDescent="0.25">
      <c r="B438" s="1">
        <v>42451</v>
      </c>
      <c r="C438">
        <v>294899</v>
      </c>
      <c r="D438">
        <v>68813</v>
      </c>
      <c r="F438" s="2">
        <f t="shared" si="62"/>
        <v>0.18919639714939293</v>
      </c>
      <c r="I438">
        <v>300261</v>
      </c>
      <c r="J438">
        <v>64431</v>
      </c>
      <c r="L438" s="2">
        <f t="shared" si="63"/>
        <v>0.1766723701095719</v>
      </c>
      <c r="N438">
        <v>388385</v>
      </c>
      <c r="O438">
        <v>44228</v>
      </c>
      <c r="Q438" s="2">
        <f t="shared" si="64"/>
        <v>0.10223456068125553</v>
      </c>
      <c r="T438">
        <v>405997</v>
      </c>
      <c r="U438">
        <v>42291</v>
      </c>
      <c r="W438" s="2">
        <f t="shared" si="65"/>
        <v>9.4338907131129981E-2</v>
      </c>
      <c r="Z438">
        <f t="shared" si="60"/>
        <v>683284</v>
      </c>
      <c r="AA438">
        <f t="shared" si="61"/>
        <v>113041</v>
      </c>
      <c r="AC438" s="2">
        <f t="shared" si="66"/>
        <v>0.1419533481932628</v>
      </c>
      <c r="AD438" s="2"/>
      <c r="AE438">
        <f t="shared" si="67"/>
        <v>706258</v>
      </c>
      <c r="AF438">
        <f t="shared" si="68"/>
        <v>106722</v>
      </c>
      <c r="AH438" s="2">
        <f t="shared" si="69"/>
        <v>0.13127260203203031</v>
      </c>
      <c r="AI438" s="2"/>
      <c r="AJ438" s="2"/>
    </row>
    <row r="439" spans="2:36" x14ac:dyDescent="0.25">
      <c r="B439" s="1">
        <v>42458</v>
      </c>
      <c r="C439">
        <v>291100</v>
      </c>
      <c r="D439">
        <v>81918</v>
      </c>
      <c r="F439" s="2">
        <f t="shared" si="62"/>
        <v>0.21960870520993625</v>
      </c>
      <c r="I439">
        <v>296614</v>
      </c>
      <c r="J439">
        <v>75598</v>
      </c>
      <c r="L439" s="2">
        <f t="shared" si="63"/>
        <v>0.20310468227784165</v>
      </c>
      <c r="N439">
        <v>393522</v>
      </c>
      <c r="O439">
        <v>45168</v>
      </c>
      <c r="Q439" s="2">
        <f t="shared" si="64"/>
        <v>0.10296108869589003</v>
      </c>
      <c r="T439">
        <v>404803</v>
      </c>
      <c r="U439">
        <v>47806</v>
      </c>
      <c r="W439" s="2">
        <f t="shared" si="65"/>
        <v>0.10562317585377225</v>
      </c>
      <c r="Z439">
        <f t="shared" si="60"/>
        <v>684622</v>
      </c>
      <c r="AA439">
        <f t="shared" si="61"/>
        <v>127086</v>
      </c>
      <c r="AC439" s="2">
        <f t="shared" si="66"/>
        <v>0.15656615433136054</v>
      </c>
      <c r="AD439" s="2"/>
      <c r="AE439">
        <f t="shared" si="67"/>
        <v>701417</v>
      </c>
      <c r="AF439">
        <f t="shared" si="68"/>
        <v>123404</v>
      </c>
      <c r="AH439" s="2">
        <f t="shared" si="69"/>
        <v>0.14961306756253781</v>
      </c>
      <c r="AI439" s="2"/>
      <c r="AJ439" s="2"/>
    </row>
    <row r="440" spans="2:36" x14ac:dyDescent="0.25">
      <c r="B440" s="1">
        <v>42465</v>
      </c>
      <c r="C440">
        <v>289770</v>
      </c>
      <c r="D440">
        <v>113262</v>
      </c>
      <c r="F440" s="2">
        <f t="shared" si="62"/>
        <v>0.28102483177514442</v>
      </c>
      <c r="I440">
        <v>296892</v>
      </c>
      <c r="J440">
        <v>102119</v>
      </c>
      <c r="L440" s="2">
        <f t="shared" si="63"/>
        <v>0.25593028763618048</v>
      </c>
      <c r="N440">
        <v>400937</v>
      </c>
      <c r="O440">
        <v>50116</v>
      </c>
      <c r="Q440" s="2">
        <f t="shared" si="64"/>
        <v>0.1111088940767493</v>
      </c>
      <c r="T440">
        <v>408682</v>
      </c>
      <c r="U440">
        <v>53457</v>
      </c>
      <c r="W440" s="2">
        <f t="shared" si="65"/>
        <v>0.11567299016096888</v>
      </c>
      <c r="Z440">
        <f t="shared" si="60"/>
        <v>690707</v>
      </c>
      <c r="AA440">
        <f t="shared" si="61"/>
        <v>163378</v>
      </c>
      <c r="AC440" s="2">
        <f t="shared" si="66"/>
        <v>0.19129009407728739</v>
      </c>
      <c r="AD440" s="2"/>
      <c r="AE440">
        <f t="shared" si="67"/>
        <v>705574</v>
      </c>
      <c r="AF440">
        <f t="shared" si="68"/>
        <v>155576</v>
      </c>
      <c r="AH440" s="2">
        <f t="shared" si="69"/>
        <v>0.18066074435348081</v>
      </c>
      <c r="AI440" s="2"/>
      <c r="AJ440" s="2"/>
    </row>
    <row r="441" spans="2:36" x14ac:dyDescent="0.25">
      <c r="B441" s="1">
        <v>42472</v>
      </c>
      <c r="C441">
        <v>289000</v>
      </c>
      <c r="D441">
        <v>87980</v>
      </c>
      <c r="F441" s="2">
        <f t="shared" si="62"/>
        <v>0.23338108122446813</v>
      </c>
      <c r="I441">
        <v>299129</v>
      </c>
      <c r="J441">
        <v>83499</v>
      </c>
      <c r="L441" s="2">
        <f t="shared" si="63"/>
        <v>0.21822501228347116</v>
      </c>
      <c r="N441">
        <v>422618</v>
      </c>
      <c r="O441">
        <v>30546</v>
      </c>
      <c r="Q441" s="2">
        <f t="shared" si="64"/>
        <v>6.7406060499068776E-2</v>
      </c>
      <c r="T441">
        <v>438528</v>
      </c>
      <c r="U441">
        <v>35708</v>
      </c>
      <c r="W441" s="2">
        <f t="shared" si="65"/>
        <v>7.5295844263193856E-2</v>
      </c>
      <c r="Z441">
        <f t="shared" si="60"/>
        <v>711618</v>
      </c>
      <c r="AA441">
        <f t="shared" si="61"/>
        <v>118526</v>
      </c>
      <c r="AC441" s="2">
        <f t="shared" si="66"/>
        <v>0.14277763857836712</v>
      </c>
      <c r="AD441" s="2"/>
      <c r="AE441">
        <f t="shared" si="67"/>
        <v>737657</v>
      </c>
      <c r="AF441">
        <f t="shared" si="68"/>
        <v>119207</v>
      </c>
      <c r="AH441" s="2">
        <f t="shared" si="69"/>
        <v>0.1391200937371625</v>
      </c>
      <c r="AI441" s="2"/>
      <c r="AJ441" s="2"/>
    </row>
    <row r="442" spans="2:36" x14ac:dyDescent="0.25">
      <c r="B442" s="1">
        <v>42479</v>
      </c>
      <c r="C442">
        <v>297733</v>
      </c>
      <c r="D442">
        <v>75862</v>
      </c>
      <c r="F442" s="2">
        <f t="shared" si="62"/>
        <v>0.20305946278724288</v>
      </c>
      <c r="I442">
        <v>313575</v>
      </c>
      <c r="J442">
        <v>67588</v>
      </c>
      <c r="L442" s="2">
        <f t="shared" si="63"/>
        <v>0.17732046394849449</v>
      </c>
      <c r="N442">
        <v>436168</v>
      </c>
      <c r="O442">
        <v>28046</v>
      </c>
      <c r="Q442" s="2">
        <f t="shared" si="64"/>
        <v>6.0416101194707611E-2</v>
      </c>
      <c r="T442">
        <v>449677</v>
      </c>
      <c r="U442">
        <v>31601</v>
      </c>
      <c r="W442" s="2">
        <f t="shared" si="65"/>
        <v>6.5660595331596294E-2</v>
      </c>
      <c r="Z442">
        <f t="shared" si="60"/>
        <v>733901</v>
      </c>
      <c r="AA442">
        <f t="shared" si="61"/>
        <v>103908</v>
      </c>
      <c r="AC442" s="2">
        <f t="shared" si="66"/>
        <v>0.1240234946151211</v>
      </c>
      <c r="AD442" s="2"/>
      <c r="AE442">
        <f t="shared" si="67"/>
        <v>763252</v>
      </c>
      <c r="AF442">
        <f t="shared" si="68"/>
        <v>99189</v>
      </c>
      <c r="AH442" s="2">
        <f t="shared" si="69"/>
        <v>0.11500960645423861</v>
      </c>
      <c r="AI442" s="2"/>
      <c r="AJ442" s="2"/>
    </row>
    <row r="443" spans="2:36" x14ac:dyDescent="0.25">
      <c r="B443" s="1">
        <v>42486</v>
      </c>
      <c r="C443">
        <v>296197</v>
      </c>
      <c r="D443">
        <v>72730</v>
      </c>
      <c r="F443" s="2">
        <f t="shared" si="62"/>
        <v>0.19713927145478644</v>
      </c>
      <c r="I443">
        <v>312038</v>
      </c>
      <c r="J443">
        <v>62915</v>
      </c>
      <c r="L443" s="2">
        <f t="shared" si="63"/>
        <v>0.16779436356023289</v>
      </c>
      <c r="N443">
        <v>437232</v>
      </c>
      <c r="O443">
        <v>28522</v>
      </c>
      <c r="Q443" s="2">
        <f t="shared" si="64"/>
        <v>6.1238336117349502E-2</v>
      </c>
      <c r="T443">
        <v>451667</v>
      </c>
      <c r="U443">
        <v>32303</v>
      </c>
      <c r="W443" s="2">
        <f t="shared" si="65"/>
        <v>6.6745872678058552E-2</v>
      </c>
      <c r="Z443">
        <f t="shared" si="60"/>
        <v>733429</v>
      </c>
      <c r="AA443">
        <f t="shared" si="61"/>
        <v>101252</v>
      </c>
      <c r="AC443" s="2">
        <f t="shared" si="66"/>
        <v>0.12130622357523413</v>
      </c>
      <c r="AD443" s="2"/>
      <c r="AE443">
        <f t="shared" si="67"/>
        <v>763705</v>
      </c>
      <c r="AF443">
        <f t="shared" si="68"/>
        <v>95218</v>
      </c>
      <c r="AH443" s="2">
        <f t="shared" si="69"/>
        <v>0.11085743425196438</v>
      </c>
      <c r="AI443" s="2"/>
      <c r="AJ443" s="2"/>
    </row>
    <row r="444" spans="2:36" x14ac:dyDescent="0.25">
      <c r="B444" s="1">
        <v>42493</v>
      </c>
      <c r="C444">
        <v>285229</v>
      </c>
      <c r="D444">
        <v>72472</v>
      </c>
      <c r="F444" s="2">
        <f t="shared" si="62"/>
        <v>0.20260496895451788</v>
      </c>
      <c r="I444">
        <v>300597</v>
      </c>
      <c r="J444">
        <v>63808</v>
      </c>
      <c r="L444" s="2">
        <f t="shared" si="63"/>
        <v>0.17510187840452243</v>
      </c>
      <c r="N444">
        <v>415223</v>
      </c>
      <c r="O444">
        <v>34171</v>
      </c>
      <c r="Q444" s="2">
        <f t="shared" si="64"/>
        <v>7.6037953332710267E-2</v>
      </c>
      <c r="T444">
        <v>423658</v>
      </c>
      <c r="U444">
        <v>39515</v>
      </c>
      <c r="W444" s="2">
        <f t="shared" si="65"/>
        <v>8.5313694882905522E-2</v>
      </c>
      <c r="Z444">
        <f t="shared" si="60"/>
        <v>700452</v>
      </c>
      <c r="AA444">
        <f t="shared" si="61"/>
        <v>106643</v>
      </c>
      <c r="AC444" s="2">
        <f t="shared" si="66"/>
        <v>0.13213190516605852</v>
      </c>
      <c r="AD444" s="2"/>
      <c r="AE444">
        <f t="shared" si="67"/>
        <v>724255</v>
      </c>
      <c r="AF444">
        <f t="shared" si="68"/>
        <v>103323</v>
      </c>
      <c r="AH444" s="2">
        <f t="shared" si="69"/>
        <v>0.12484986309447568</v>
      </c>
      <c r="AI444" s="2"/>
      <c r="AJ444" s="2"/>
    </row>
    <row r="445" spans="2:36" x14ac:dyDescent="0.25">
      <c r="B445" s="1">
        <v>42500</v>
      </c>
      <c r="C445">
        <v>284570</v>
      </c>
      <c r="D445">
        <v>92839</v>
      </c>
      <c r="F445" s="2">
        <f t="shared" si="62"/>
        <v>0.24599042418172329</v>
      </c>
      <c r="I445">
        <v>300240</v>
      </c>
      <c r="J445">
        <v>83719</v>
      </c>
      <c r="L445" s="2">
        <f t="shared" si="63"/>
        <v>0.21804150964035224</v>
      </c>
      <c r="N445">
        <v>389751</v>
      </c>
      <c r="O445">
        <v>39578</v>
      </c>
      <c r="Q445" s="2">
        <f t="shared" si="64"/>
        <v>9.2185713054557222E-2</v>
      </c>
      <c r="T445">
        <v>400461</v>
      </c>
      <c r="U445">
        <v>43187</v>
      </c>
      <c r="W445" s="2">
        <f t="shared" si="65"/>
        <v>9.7345192585112525E-2</v>
      </c>
      <c r="Z445">
        <f t="shared" si="60"/>
        <v>674321</v>
      </c>
      <c r="AA445">
        <f t="shared" si="61"/>
        <v>132417</v>
      </c>
      <c r="AC445" s="2">
        <f t="shared" si="66"/>
        <v>0.16413879103252854</v>
      </c>
      <c r="AD445" s="2"/>
      <c r="AE445">
        <f t="shared" si="67"/>
        <v>700701</v>
      </c>
      <c r="AF445">
        <f t="shared" si="68"/>
        <v>126906</v>
      </c>
      <c r="AH445" s="2">
        <f t="shared" si="69"/>
        <v>0.15334089730995509</v>
      </c>
      <c r="AI445" s="2"/>
      <c r="AJ445" s="2"/>
    </row>
    <row r="446" spans="2:36" x14ac:dyDescent="0.25">
      <c r="B446" s="1">
        <v>42507</v>
      </c>
      <c r="C446">
        <v>294071</v>
      </c>
      <c r="D446">
        <v>72245</v>
      </c>
      <c r="F446" s="2">
        <f t="shared" si="62"/>
        <v>0.19722043263193526</v>
      </c>
      <c r="I446">
        <v>310975</v>
      </c>
      <c r="J446">
        <v>63979</v>
      </c>
      <c r="L446" s="2">
        <f t="shared" si="63"/>
        <v>0.17063159747595705</v>
      </c>
      <c r="N446">
        <v>406864</v>
      </c>
      <c r="O446">
        <v>23174</v>
      </c>
      <c r="Q446" s="2">
        <f t="shared" si="64"/>
        <v>5.3888261037396697E-2</v>
      </c>
      <c r="T446">
        <v>422657</v>
      </c>
      <c r="U446">
        <v>26181</v>
      </c>
      <c r="W446" s="2">
        <f t="shared" si="65"/>
        <v>5.8330622629991224E-2</v>
      </c>
      <c r="Z446">
        <f t="shared" si="60"/>
        <v>700935</v>
      </c>
      <c r="AA446">
        <f t="shared" si="61"/>
        <v>95419</v>
      </c>
      <c r="AC446" s="2">
        <f t="shared" si="66"/>
        <v>0.11981982887007536</v>
      </c>
      <c r="AD446" s="2"/>
      <c r="AE446">
        <f t="shared" si="67"/>
        <v>733632</v>
      </c>
      <c r="AF446">
        <f t="shared" si="68"/>
        <v>90160</v>
      </c>
      <c r="AH446" s="2">
        <f t="shared" si="69"/>
        <v>0.10944510264727018</v>
      </c>
      <c r="AI446" s="2"/>
      <c r="AJ446" s="2"/>
    </row>
    <row r="447" spans="2:36" x14ac:dyDescent="0.25">
      <c r="B447" s="1">
        <v>42514</v>
      </c>
      <c r="C447">
        <v>281321</v>
      </c>
      <c r="D447">
        <v>70336</v>
      </c>
      <c r="F447" s="2">
        <f t="shared" si="62"/>
        <v>0.20001308092829093</v>
      </c>
      <c r="I447">
        <v>302860</v>
      </c>
      <c r="J447">
        <v>60932</v>
      </c>
      <c r="L447" s="2">
        <f t="shared" si="63"/>
        <v>0.16749131371772882</v>
      </c>
      <c r="N447">
        <v>401134</v>
      </c>
      <c r="O447">
        <v>33433</v>
      </c>
      <c r="Q447" s="2">
        <f t="shared" si="64"/>
        <v>7.6934051596186548E-2</v>
      </c>
      <c r="T447">
        <v>415656</v>
      </c>
      <c r="U447">
        <v>34540</v>
      </c>
      <c r="W447" s="2">
        <f t="shared" si="65"/>
        <v>7.6722138801766343E-2</v>
      </c>
      <c r="Z447">
        <f t="shared" si="60"/>
        <v>682455</v>
      </c>
      <c r="AA447">
        <f t="shared" si="61"/>
        <v>103769</v>
      </c>
      <c r="AC447" s="2">
        <f t="shared" si="66"/>
        <v>0.13198401473371457</v>
      </c>
      <c r="AD447" s="2"/>
      <c r="AE447">
        <f t="shared" si="67"/>
        <v>718516</v>
      </c>
      <c r="AF447">
        <f t="shared" si="68"/>
        <v>95472</v>
      </c>
      <c r="AH447" s="2">
        <f t="shared" si="69"/>
        <v>0.11728919836656068</v>
      </c>
      <c r="AI447" s="2"/>
      <c r="AJ447" s="2"/>
    </row>
    <row r="448" spans="2:36" x14ac:dyDescent="0.25">
      <c r="B448" s="1">
        <v>42521</v>
      </c>
      <c r="C448">
        <v>273948</v>
      </c>
      <c r="D448">
        <v>63302</v>
      </c>
      <c r="F448" s="2">
        <f t="shared" si="62"/>
        <v>0.18770051890289102</v>
      </c>
      <c r="I448">
        <v>294105</v>
      </c>
      <c r="J448">
        <v>53377</v>
      </c>
      <c r="L448" s="2">
        <f t="shared" si="63"/>
        <v>0.15361083451804697</v>
      </c>
      <c r="N448">
        <v>404729</v>
      </c>
      <c r="O448">
        <v>31378</v>
      </c>
      <c r="Q448" s="2">
        <f t="shared" si="64"/>
        <v>7.1950232397095207E-2</v>
      </c>
      <c r="T448">
        <v>417036</v>
      </c>
      <c r="U448">
        <v>33111</v>
      </c>
      <c r="W448" s="2">
        <f t="shared" si="65"/>
        <v>7.3555971715906138E-2</v>
      </c>
      <c r="Z448">
        <f t="shared" si="60"/>
        <v>678677</v>
      </c>
      <c r="AA448">
        <f t="shared" si="61"/>
        <v>94680</v>
      </c>
      <c r="AC448" s="2">
        <f t="shared" si="66"/>
        <v>0.12242728778558933</v>
      </c>
      <c r="AD448" s="2"/>
      <c r="AE448">
        <f t="shared" si="67"/>
        <v>711141</v>
      </c>
      <c r="AF448">
        <f t="shared" si="68"/>
        <v>86488</v>
      </c>
      <c r="AH448" s="2">
        <f t="shared" si="69"/>
        <v>0.10843136345343511</v>
      </c>
      <c r="AI448" s="2"/>
      <c r="AJ448" s="2"/>
    </row>
    <row r="449" spans="2:36" x14ac:dyDescent="0.25">
      <c r="B449" s="1">
        <v>42528</v>
      </c>
      <c r="C449">
        <v>281955</v>
      </c>
      <c r="D449">
        <v>89364</v>
      </c>
      <c r="F449" s="2">
        <f t="shared" si="62"/>
        <v>0.24066638119783798</v>
      </c>
      <c r="I449">
        <v>311170</v>
      </c>
      <c r="J449">
        <v>77701</v>
      </c>
      <c r="L449" s="2">
        <f t="shared" si="63"/>
        <v>0.19981176276965884</v>
      </c>
      <c r="N449">
        <v>414896</v>
      </c>
      <c r="O449">
        <v>36406</v>
      </c>
      <c r="Q449" s="2">
        <f t="shared" si="64"/>
        <v>8.0668820435096669E-2</v>
      </c>
      <c r="T449">
        <v>428684</v>
      </c>
      <c r="U449">
        <v>39433</v>
      </c>
      <c r="W449" s="2">
        <f t="shared" si="65"/>
        <v>8.4237487636637853E-2</v>
      </c>
      <c r="Z449">
        <f t="shared" si="60"/>
        <v>696851</v>
      </c>
      <c r="AA449">
        <f t="shared" si="61"/>
        <v>125770</v>
      </c>
      <c r="AC449" s="2">
        <f t="shared" si="66"/>
        <v>0.15288936217285967</v>
      </c>
      <c r="AD449" s="2"/>
      <c r="AE449">
        <f t="shared" si="67"/>
        <v>739854</v>
      </c>
      <c r="AF449">
        <f t="shared" si="68"/>
        <v>117134</v>
      </c>
      <c r="AH449" s="2">
        <f t="shared" si="69"/>
        <v>0.13668102703888502</v>
      </c>
      <c r="AI449" s="2"/>
      <c r="AJ449" s="2"/>
    </row>
    <row r="450" spans="2:36" x14ac:dyDescent="0.25">
      <c r="B450" s="1">
        <v>42535</v>
      </c>
      <c r="C450">
        <v>268734</v>
      </c>
      <c r="D450">
        <v>116036</v>
      </c>
      <c r="F450" s="2">
        <f t="shared" si="62"/>
        <v>0.30157236790810094</v>
      </c>
      <c r="I450">
        <v>288166</v>
      </c>
      <c r="J450">
        <v>96677</v>
      </c>
      <c r="L450" s="2">
        <f t="shared" si="63"/>
        <v>0.25121153301476185</v>
      </c>
      <c r="N450">
        <v>412659</v>
      </c>
      <c r="O450">
        <v>46291</v>
      </c>
      <c r="Q450" s="2">
        <f t="shared" si="64"/>
        <v>0.1008628390892254</v>
      </c>
      <c r="T450">
        <v>420310</v>
      </c>
      <c r="U450">
        <v>48392</v>
      </c>
      <c r="W450" s="2">
        <f t="shared" si="65"/>
        <v>0.10324683914299491</v>
      </c>
      <c r="Z450">
        <f t="shared" si="60"/>
        <v>681393</v>
      </c>
      <c r="AA450">
        <f t="shared" si="61"/>
        <v>162327</v>
      </c>
      <c r="AC450" s="2">
        <f t="shared" si="66"/>
        <v>0.19239439624519983</v>
      </c>
      <c r="AD450" s="2"/>
      <c r="AE450">
        <f t="shared" si="67"/>
        <v>708476</v>
      </c>
      <c r="AF450">
        <f t="shared" si="68"/>
        <v>145069</v>
      </c>
      <c r="AH450" s="2">
        <f t="shared" si="69"/>
        <v>0.16996057618520405</v>
      </c>
      <c r="AI450" s="2"/>
      <c r="AJ450" s="2"/>
    </row>
    <row r="451" spans="2:36" x14ac:dyDescent="0.25">
      <c r="B451" s="1">
        <v>42542</v>
      </c>
      <c r="C451">
        <v>279417</v>
      </c>
      <c r="D451">
        <v>98441</v>
      </c>
      <c r="F451" s="2">
        <f t="shared" si="62"/>
        <v>0.26052379465301778</v>
      </c>
      <c r="I451">
        <v>299824</v>
      </c>
      <c r="J451">
        <v>86749</v>
      </c>
      <c r="L451" s="2">
        <f t="shared" si="63"/>
        <v>0.2244052222995398</v>
      </c>
      <c r="N451">
        <v>405898</v>
      </c>
      <c r="O451">
        <v>50547</v>
      </c>
      <c r="Q451" s="2">
        <f t="shared" si="64"/>
        <v>0.1107406149700402</v>
      </c>
      <c r="T451">
        <v>415946</v>
      </c>
      <c r="U451">
        <v>53181</v>
      </c>
      <c r="W451" s="2">
        <f t="shared" si="65"/>
        <v>0.11336162702210702</v>
      </c>
      <c r="Z451">
        <f t="shared" si="60"/>
        <v>685315</v>
      </c>
      <c r="AA451">
        <f t="shared" si="61"/>
        <v>148988</v>
      </c>
      <c r="AC451" s="2">
        <f t="shared" si="66"/>
        <v>0.17857780686393313</v>
      </c>
      <c r="AD451" s="2"/>
      <c r="AE451">
        <f t="shared" si="67"/>
        <v>715770</v>
      </c>
      <c r="AF451">
        <f t="shared" si="68"/>
        <v>139930</v>
      </c>
      <c r="AH451" s="2">
        <f t="shared" si="69"/>
        <v>0.16352693701063456</v>
      </c>
      <c r="AI451" s="2"/>
      <c r="AJ451" s="2"/>
    </row>
    <row r="452" spans="2:36" x14ac:dyDescent="0.25">
      <c r="B452" s="1">
        <v>42549</v>
      </c>
      <c r="C452">
        <v>275846</v>
      </c>
      <c r="D452">
        <v>123235</v>
      </c>
      <c r="F452" s="2">
        <f t="shared" si="62"/>
        <v>0.30879696101793869</v>
      </c>
      <c r="I452">
        <v>288961</v>
      </c>
      <c r="J452">
        <v>109531</v>
      </c>
      <c r="L452" s="2">
        <f t="shared" si="63"/>
        <v>0.27486373628579747</v>
      </c>
      <c r="N452">
        <v>388663</v>
      </c>
      <c r="O452">
        <v>53678</v>
      </c>
      <c r="Q452" s="2">
        <f t="shared" si="64"/>
        <v>0.12134981835280925</v>
      </c>
      <c r="T452">
        <v>382688</v>
      </c>
      <c r="U452">
        <v>55631</v>
      </c>
      <c r="W452" s="2">
        <f t="shared" si="65"/>
        <v>0.12691897909969679</v>
      </c>
      <c r="Z452">
        <f t="shared" si="60"/>
        <v>664509</v>
      </c>
      <c r="AA452">
        <f t="shared" si="61"/>
        <v>176913</v>
      </c>
      <c r="AC452" s="2">
        <f t="shared" si="66"/>
        <v>0.21025478297453595</v>
      </c>
      <c r="AD452" s="2"/>
      <c r="AE452">
        <f t="shared" si="67"/>
        <v>671649</v>
      </c>
      <c r="AF452">
        <f t="shared" si="68"/>
        <v>165162</v>
      </c>
      <c r="AH452" s="2">
        <f t="shared" si="69"/>
        <v>0.19737073245930084</v>
      </c>
      <c r="AI452" s="2"/>
      <c r="AJ452" s="2"/>
    </row>
    <row r="453" spans="2:36" x14ac:dyDescent="0.25">
      <c r="B453" s="1">
        <v>42556</v>
      </c>
      <c r="C453">
        <v>278085</v>
      </c>
      <c r="D453">
        <v>132720</v>
      </c>
      <c r="F453" s="2">
        <f t="shared" si="62"/>
        <v>0.32307299083506774</v>
      </c>
      <c r="I453">
        <v>288220</v>
      </c>
      <c r="J453">
        <v>118721</v>
      </c>
      <c r="L453" s="2">
        <f t="shared" si="63"/>
        <v>0.29174008025733461</v>
      </c>
      <c r="N453">
        <v>384906</v>
      </c>
      <c r="O453">
        <v>65536</v>
      </c>
      <c r="Q453" s="2">
        <f t="shared" si="64"/>
        <v>0.14549264944210352</v>
      </c>
      <c r="T453">
        <v>382112</v>
      </c>
      <c r="U453">
        <v>69842</v>
      </c>
      <c r="W453" s="2">
        <f t="shared" si="65"/>
        <v>0.1545334259681295</v>
      </c>
      <c r="Z453">
        <f t="shared" si="60"/>
        <v>662991</v>
      </c>
      <c r="AA453">
        <f t="shared" si="61"/>
        <v>198256</v>
      </c>
      <c r="AC453" s="2">
        <f t="shared" si="66"/>
        <v>0.23019644770896153</v>
      </c>
      <c r="AD453" s="2"/>
      <c r="AE453">
        <f t="shared" si="67"/>
        <v>670332</v>
      </c>
      <c r="AF453">
        <f t="shared" si="68"/>
        <v>188563</v>
      </c>
      <c r="AH453" s="2">
        <f t="shared" si="69"/>
        <v>0.21954138748042543</v>
      </c>
      <c r="AI453" s="2"/>
      <c r="AJ453" s="2"/>
    </row>
    <row r="454" spans="2:36" x14ac:dyDescent="0.25">
      <c r="B454" s="1">
        <v>42563</v>
      </c>
      <c r="C454">
        <v>283738</v>
      </c>
      <c r="D454">
        <v>129209</v>
      </c>
      <c r="F454" s="2">
        <f t="shared" si="62"/>
        <v>0.3128948751292539</v>
      </c>
      <c r="I454">
        <v>294005</v>
      </c>
      <c r="J454">
        <v>113536</v>
      </c>
      <c r="L454" s="2">
        <f t="shared" si="63"/>
        <v>0.27858792121528875</v>
      </c>
      <c r="N454">
        <v>383777</v>
      </c>
      <c r="O454">
        <v>68069</v>
      </c>
      <c r="Q454" s="2">
        <f t="shared" si="64"/>
        <v>0.15064645919184855</v>
      </c>
      <c r="T454">
        <v>376441</v>
      </c>
      <c r="U454">
        <v>73070</v>
      </c>
      <c r="W454" s="2">
        <f t="shared" si="65"/>
        <v>0.16255442024778036</v>
      </c>
      <c r="Z454">
        <f t="shared" si="60"/>
        <v>667515</v>
      </c>
      <c r="AA454">
        <f t="shared" si="61"/>
        <v>197278</v>
      </c>
      <c r="AC454" s="2">
        <f t="shared" si="66"/>
        <v>0.2281216429827716</v>
      </c>
      <c r="AD454" s="2"/>
      <c r="AE454">
        <f t="shared" si="67"/>
        <v>670446</v>
      </c>
      <c r="AF454">
        <f t="shared" si="68"/>
        <v>186606</v>
      </c>
      <c r="AH454" s="2">
        <f t="shared" si="69"/>
        <v>0.21773007938841518</v>
      </c>
      <c r="AI454" s="2"/>
      <c r="AJ454" s="2"/>
    </row>
    <row r="455" spans="2:36" x14ac:dyDescent="0.25">
      <c r="B455" s="1">
        <v>42570</v>
      </c>
      <c r="C455">
        <v>289395</v>
      </c>
      <c r="D455">
        <v>153309</v>
      </c>
      <c r="F455" s="2">
        <f t="shared" si="62"/>
        <v>0.3463013661498428</v>
      </c>
      <c r="I455">
        <v>298041</v>
      </c>
      <c r="J455">
        <v>141237</v>
      </c>
      <c r="L455" s="2">
        <f t="shared" si="63"/>
        <v>0.32152076816958736</v>
      </c>
      <c r="N455">
        <v>384641</v>
      </c>
      <c r="O455">
        <v>73602</v>
      </c>
      <c r="Q455" s="2">
        <f t="shared" si="64"/>
        <v>0.16061783813391584</v>
      </c>
      <c r="T455">
        <v>375959</v>
      </c>
      <c r="U455">
        <v>78351</v>
      </c>
      <c r="W455" s="2">
        <f t="shared" si="65"/>
        <v>0.17246153507516893</v>
      </c>
      <c r="Z455">
        <f t="shared" si="60"/>
        <v>674036</v>
      </c>
      <c r="AA455">
        <f t="shared" si="61"/>
        <v>226911</v>
      </c>
      <c r="AC455" s="2">
        <f t="shared" si="66"/>
        <v>0.25185832240964229</v>
      </c>
      <c r="AD455" s="2"/>
      <c r="AE455">
        <f t="shared" si="67"/>
        <v>674000</v>
      </c>
      <c r="AF455">
        <f t="shared" si="68"/>
        <v>219588</v>
      </c>
      <c r="AH455" s="2">
        <f t="shared" si="69"/>
        <v>0.24573740918633644</v>
      </c>
      <c r="AI455" s="2"/>
      <c r="AJ455" s="2"/>
    </row>
    <row r="456" spans="2:36" x14ac:dyDescent="0.25">
      <c r="B456" s="1">
        <v>42577</v>
      </c>
      <c r="C456">
        <v>291432</v>
      </c>
      <c r="D456">
        <v>190825</v>
      </c>
      <c r="F456" s="2">
        <f t="shared" si="62"/>
        <v>0.39569150888426713</v>
      </c>
      <c r="I456">
        <v>300690</v>
      </c>
      <c r="J456">
        <v>180134</v>
      </c>
      <c r="L456" s="2">
        <f t="shared" si="63"/>
        <v>0.37463604146215662</v>
      </c>
      <c r="N456">
        <v>380258</v>
      </c>
      <c r="O456">
        <v>86327</v>
      </c>
      <c r="Q456" s="2">
        <f t="shared" si="64"/>
        <v>0.18501880686262953</v>
      </c>
      <c r="T456">
        <v>377250</v>
      </c>
      <c r="U456">
        <v>88714</v>
      </c>
      <c r="W456" s="2">
        <f t="shared" si="65"/>
        <v>0.19038809865139797</v>
      </c>
      <c r="Z456">
        <f t="shared" si="60"/>
        <v>671690</v>
      </c>
      <c r="AA456">
        <f t="shared" si="61"/>
        <v>277152</v>
      </c>
      <c r="AC456" s="2">
        <f t="shared" si="66"/>
        <v>0.29209499579487419</v>
      </c>
      <c r="AD456" s="2"/>
      <c r="AE456">
        <f t="shared" si="67"/>
        <v>677940</v>
      </c>
      <c r="AF456">
        <f t="shared" si="68"/>
        <v>268848</v>
      </c>
      <c r="AH456" s="2">
        <f t="shared" si="69"/>
        <v>0.28395797158392377</v>
      </c>
      <c r="AI456" s="2"/>
      <c r="AJ456" s="2"/>
    </row>
    <row r="457" spans="2:36" x14ac:dyDescent="0.25">
      <c r="B457" s="1">
        <v>42584</v>
      </c>
      <c r="C457">
        <v>292454</v>
      </c>
      <c r="D457">
        <v>227763</v>
      </c>
      <c r="F457" s="2">
        <f t="shared" si="62"/>
        <v>0.43782306229900214</v>
      </c>
      <c r="I457">
        <v>305440</v>
      </c>
      <c r="J457">
        <v>218623</v>
      </c>
      <c r="L457" s="2">
        <f t="shared" si="63"/>
        <v>0.4171693097967229</v>
      </c>
      <c r="N457">
        <v>383478</v>
      </c>
      <c r="O457">
        <v>123141</v>
      </c>
      <c r="Q457" s="2">
        <f t="shared" si="64"/>
        <v>0.24306431460328176</v>
      </c>
      <c r="T457">
        <v>385819</v>
      </c>
      <c r="U457">
        <v>125431</v>
      </c>
      <c r="W457" s="2">
        <f t="shared" si="65"/>
        <v>0.24534180929095353</v>
      </c>
      <c r="Z457">
        <f t="shared" ref="Z457:Z520" si="70">IFERROR(+C457+N457,C457)</f>
        <v>675932</v>
      </c>
      <c r="AA457">
        <f t="shared" ref="AA457:AA520" si="71">IFERROR(+D457+O457,D457)</f>
        <v>350904</v>
      </c>
      <c r="AC457" s="2">
        <f t="shared" si="66"/>
        <v>0.34173324659439286</v>
      </c>
      <c r="AD457" s="2"/>
      <c r="AE457">
        <f t="shared" si="67"/>
        <v>691259</v>
      </c>
      <c r="AF457">
        <f t="shared" si="68"/>
        <v>344054</v>
      </c>
      <c r="AH457" s="2">
        <f t="shared" si="69"/>
        <v>0.33231882532142454</v>
      </c>
      <c r="AI457" s="2"/>
      <c r="AJ457" s="2"/>
    </row>
    <row r="458" spans="2:36" x14ac:dyDescent="0.25">
      <c r="B458" s="1">
        <v>42591</v>
      </c>
      <c r="C458">
        <v>307186</v>
      </c>
      <c r="D458">
        <v>232202</v>
      </c>
      <c r="F458" s="2">
        <f t="shared" ref="F458:F521" si="72">+D458/SUM(C458:D458)</f>
        <v>0.43049159417710442</v>
      </c>
      <c r="I458">
        <v>322594</v>
      </c>
      <c r="J458">
        <v>220139</v>
      </c>
      <c r="L458" s="2">
        <f t="shared" ref="L458:L521" si="73">+J458/SUM(I458:J458)</f>
        <v>0.40561196757890161</v>
      </c>
      <c r="N458">
        <v>396594</v>
      </c>
      <c r="O458">
        <v>102803</v>
      </c>
      <c r="Q458" s="2">
        <f t="shared" ref="Q458:Q521" si="74">+O458/SUM(N458:O458)</f>
        <v>0.20585426023784684</v>
      </c>
      <c r="T458">
        <v>397225</v>
      </c>
      <c r="U458">
        <v>106102</v>
      </c>
      <c r="W458" s="2">
        <f t="shared" ref="W458:W521" si="75">+U458/SUM(T458:U458)</f>
        <v>0.21080132796372936</v>
      </c>
      <c r="Z458">
        <f t="shared" si="70"/>
        <v>703780</v>
      </c>
      <c r="AA458">
        <f t="shared" si="71"/>
        <v>335005</v>
      </c>
      <c r="AC458" s="2">
        <f t="shared" ref="AC458:AC521" si="76">+AA458/SUM(Z458:AA458)</f>
        <v>0.32249695557791075</v>
      </c>
      <c r="AD458" s="2"/>
      <c r="AE458">
        <f t="shared" ref="AE458:AE521" si="77">IFERROR(+I458+T458,I458)</f>
        <v>719819</v>
      </c>
      <c r="AF458">
        <f t="shared" ref="AF458:AF521" si="78">IFERROR(+J458+U458,J458)</f>
        <v>326241</v>
      </c>
      <c r="AH458" s="2">
        <f t="shared" ref="AH458:AH521" si="79">+AF458/SUM(AE458:AF458)</f>
        <v>0.311875991816913</v>
      </c>
      <c r="AI458" s="2"/>
      <c r="AJ458" s="2"/>
    </row>
    <row r="459" spans="2:36" x14ac:dyDescent="0.25">
      <c r="B459" s="1">
        <v>42598</v>
      </c>
      <c r="C459">
        <v>308899</v>
      </c>
      <c r="D459">
        <v>175322</v>
      </c>
      <c r="F459" s="2">
        <f t="shared" si="72"/>
        <v>0.36207021174215903</v>
      </c>
      <c r="I459">
        <v>323059</v>
      </c>
      <c r="J459">
        <v>163232</v>
      </c>
      <c r="L459" s="2">
        <f t="shared" si="73"/>
        <v>0.33566732676524963</v>
      </c>
      <c r="N459">
        <v>419572</v>
      </c>
      <c r="O459">
        <v>62566</v>
      </c>
      <c r="Q459" s="2">
        <f t="shared" si="74"/>
        <v>0.12976782580920815</v>
      </c>
      <c r="T459">
        <v>418900</v>
      </c>
      <c r="U459">
        <v>63985</v>
      </c>
      <c r="W459" s="2">
        <f t="shared" si="75"/>
        <v>0.13250566905163755</v>
      </c>
      <c r="Z459">
        <f t="shared" si="70"/>
        <v>728471</v>
      </c>
      <c r="AA459">
        <f t="shared" si="71"/>
        <v>237888</v>
      </c>
      <c r="AC459" s="2">
        <f t="shared" si="76"/>
        <v>0.24616938425574761</v>
      </c>
      <c r="AD459" s="2"/>
      <c r="AE459">
        <f t="shared" si="77"/>
        <v>741959</v>
      </c>
      <c r="AF459">
        <f t="shared" si="78"/>
        <v>227217</v>
      </c>
      <c r="AH459" s="2">
        <f t="shared" si="79"/>
        <v>0.23444348601286041</v>
      </c>
      <c r="AI459" s="2"/>
      <c r="AJ459" s="2"/>
    </row>
    <row r="460" spans="2:36" x14ac:dyDescent="0.25">
      <c r="B460" s="1">
        <v>42605</v>
      </c>
      <c r="C460">
        <v>320757</v>
      </c>
      <c r="D460">
        <v>100651</v>
      </c>
      <c r="F460" s="2">
        <f t="shared" si="72"/>
        <v>0.23884454020806439</v>
      </c>
      <c r="I460">
        <v>341087</v>
      </c>
      <c r="J460">
        <v>96985</v>
      </c>
      <c r="L460" s="2">
        <f t="shared" si="73"/>
        <v>0.22139054767252872</v>
      </c>
      <c r="N460">
        <v>443894</v>
      </c>
      <c r="O460">
        <v>50563</v>
      </c>
      <c r="Q460" s="2">
        <f t="shared" si="74"/>
        <v>0.10225965048527981</v>
      </c>
      <c r="T460">
        <v>436000</v>
      </c>
      <c r="U460">
        <v>49522</v>
      </c>
      <c r="W460" s="2">
        <f t="shared" si="75"/>
        <v>0.10199743780920328</v>
      </c>
      <c r="Z460">
        <f t="shared" si="70"/>
        <v>764651</v>
      </c>
      <c r="AA460">
        <f t="shared" si="71"/>
        <v>151214</v>
      </c>
      <c r="AC460" s="2">
        <f t="shared" si="76"/>
        <v>0.16510511920424953</v>
      </c>
      <c r="AD460" s="2"/>
      <c r="AE460">
        <f t="shared" si="77"/>
        <v>777087</v>
      </c>
      <c r="AF460">
        <f t="shared" si="78"/>
        <v>146507</v>
      </c>
      <c r="AH460" s="2">
        <f t="shared" si="79"/>
        <v>0.15862705907574107</v>
      </c>
      <c r="AI460" s="2"/>
      <c r="AJ460" s="2"/>
    </row>
    <row r="461" spans="2:36" x14ac:dyDescent="0.25">
      <c r="B461" s="1">
        <v>42612</v>
      </c>
      <c r="C461">
        <v>300644</v>
      </c>
      <c r="D461">
        <v>104928</v>
      </c>
      <c r="F461" s="2">
        <f t="shared" si="72"/>
        <v>0.25871608493682996</v>
      </c>
      <c r="I461">
        <v>315723</v>
      </c>
      <c r="J461">
        <v>95320</v>
      </c>
      <c r="L461" s="2">
        <f t="shared" si="73"/>
        <v>0.2318978792972998</v>
      </c>
      <c r="N461">
        <v>441703</v>
      </c>
      <c r="O461">
        <v>48816</v>
      </c>
      <c r="Q461" s="2">
        <f t="shared" si="74"/>
        <v>9.9519080810325386E-2</v>
      </c>
      <c r="T461">
        <v>436606</v>
      </c>
      <c r="U461">
        <v>48399</v>
      </c>
      <c r="W461" s="2">
        <f t="shared" si="75"/>
        <v>9.9790723806971057E-2</v>
      </c>
      <c r="Z461">
        <f t="shared" si="70"/>
        <v>742347</v>
      </c>
      <c r="AA461">
        <f t="shared" si="71"/>
        <v>153744</v>
      </c>
      <c r="AC461" s="2">
        <f t="shared" si="76"/>
        <v>0.17157186044720904</v>
      </c>
      <c r="AD461" s="2"/>
      <c r="AE461">
        <f t="shared" si="77"/>
        <v>752329</v>
      </c>
      <c r="AF461">
        <f t="shared" si="78"/>
        <v>143719</v>
      </c>
      <c r="AH461" s="2">
        <f t="shared" si="79"/>
        <v>0.16039207721014945</v>
      </c>
      <c r="AI461" s="2"/>
      <c r="AJ461" s="2"/>
    </row>
    <row r="462" spans="2:36" x14ac:dyDescent="0.25">
      <c r="B462" s="1">
        <v>42619</v>
      </c>
      <c r="C462">
        <v>296386</v>
      </c>
      <c r="D462">
        <v>148034</v>
      </c>
      <c r="F462" s="2">
        <f t="shared" si="72"/>
        <v>0.33309482021511183</v>
      </c>
      <c r="I462">
        <v>309767</v>
      </c>
      <c r="J462">
        <v>130274</v>
      </c>
      <c r="L462" s="2">
        <f t="shared" si="73"/>
        <v>0.29604968627923306</v>
      </c>
      <c r="N462">
        <v>424879</v>
      </c>
      <c r="O462">
        <v>69649</v>
      </c>
      <c r="Q462" s="2">
        <f t="shared" si="74"/>
        <v>0.14083934580044002</v>
      </c>
      <c r="T462">
        <v>416605</v>
      </c>
      <c r="U462">
        <v>65624</v>
      </c>
      <c r="W462" s="2">
        <f t="shared" si="75"/>
        <v>0.13608472323315271</v>
      </c>
      <c r="Z462">
        <f t="shared" si="70"/>
        <v>721265</v>
      </c>
      <c r="AA462">
        <f t="shared" si="71"/>
        <v>217683</v>
      </c>
      <c r="AC462" s="2">
        <f t="shared" si="76"/>
        <v>0.23183711984050234</v>
      </c>
      <c r="AD462" s="2"/>
      <c r="AE462">
        <f t="shared" si="77"/>
        <v>726372</v>
      </c>
      <c r="AF462">
        <f t="shared" si="78"/>
        <v>195898</v>
      </c>
      <c r="AH462" s="2">
        <f t="shared" si="79"/>
        <v>0.21240851377579234</v>
      </c>
      <c r="AI462" s="2"/>
      <c r="AJ462" s="2"/>
    </row>
    <row r="463" spans="2:36" x14ac:dyDescent="0.25">
      <c r="B463" s="1">
        <v>42626</v>
      </c>
      <c r="C463">
        <v>293429</v>
      </c>
      <c r="D463">
        <v>123034</v>
      </c>
      <c r="F463" s="2">
        <f t="shared" si="72"/>
        <v>0.29542600423086807</v>
      </c>
      <c r="I463">
        <v>305023</v>
      </c>
      <c r="J463">
        <v>101079</v>
      </c>
      <c r="L463" s="2">
        <f t="shared" si="73"/>
        <v>0.2489005225288228</v>
      </c>
      <c r="N463">
        <v>420704</v>
      </c>
      <c r="O463">
        <v>63437</v>
      </c>
      <c r="Q463" s="2">
        <f t="shared" si="74"/>
        <v>0.13103000985250166</v>
      </c>
      <c r="T463">
        <v>413902</v>
      </c>
      <c r="U463">
        <v>54729</v>
      </c>
      <c r="W463" s="2">
        <f t="shared" si="75"/>
        <v>0.11678484778002308</v>
      </c>
      <c r="Z463">
        <f t="shared" si="70"/>
        <v>714133</v>
      </c>
      <c r="AA463">
        <f t="shared" si="71"/>
        <v>186471</v>
      </c>
      <c r="AC463" s="2">
        <f t="shared" si="76"/>
        <v>0.20705104574263494</v>
      </c>
      <c r="AD463" s="2"/>
      <c r="AE463">
        <f t="shared" si="77"/>
        <v>718925</v>
      </c>
      <c r="AF463">
        <f t="shared" si="78"/>
        <v>155808</v>
      </c>
      <c r="AH463" s="2">
        <f t="shared" si="79"/>
        <v>0.17812063795466732</v>
      </c>
      <c r="AI463" s="2"/>
      <c r="AJ463" s="2"/>
    </row>
    <row r="464" spans="2:36" x14ac:dyDescent="0.25">
      <c r="B464" s="1">
        <v>42633</v>
      </c>
      <c r="C464">
        <v>290493</v>
      </c>
      <c r="D464">
        <v>161939</v>
      </c>
      <c r="F464" s="2">
        <f t="shared" si="72"/>
        <v>0.3579300314743431</v>
      </c>
      <c r="I464">
        <v>299104</v>
      </c>
      <c r="J464">
        <v>151637</v>
      </c>
      <c r="L464" s="2">
        <f t="shared" si="73"/>
        <v>0.33641714421363933</v>
      </c>
      <c r="N464">
        <v>388609</v>
      </c>
      <c r="O464">
        <v>78510</v>
      </c>
      <c r="Q464" s="2">
        <f t="shared" si="74"/>
        <v>0.16807280371811037</v>
      </c>
      <c r="T464">
        <v>382273</v>
      </c>
      <c r="U464">
        <v>70171</v>
      </c>
      <c r="W464" s="2">
        <f t="shared" si="75"/>
        <v>0.15509322700709921</v>
      </c>
      <c r="Z464">
        <f t="shared" si="70"/>
        <v>679102</v>
      </c>
      <c r="AA464">
        <f t="shared" si="71"/>
        <v>240449</v>
      </c>
      <c r="AC464" s="2">
        <f t="shared" si="76"/>
        <v>0.26148522485430392</v>
      </c>
      <c r="AD464" s="2"/>
      <c r="AE464">
        <f t="shared" si="77"/>
        <v>681377</v>
      </c>
      <c r="AF464">
        <f t="shared" si="78"/>
        <v>221808</v>
      </c>
      <c r="AH464" s="2">
        <f t="shared" si="79"/>
        <v>0.24558423800218118</v>
      </c>
      <c r="AI464" s="2"/>
      <c r="AJ464" s="2"/>
    </row>
    <row r="465" spans="2:36" x14ac:dyDescent="0.25">
      <c r="B465" s="1">
        <v>42640</v>
      </c>
      <c r="C465">
        <v>307925</v>
      </c>
      <c r="D465">
        <v>152986</v>
      </c>
      <c r="F465" s="2">
        <f t="shared" si="72"/>
        <v>0.33192091314809152</v>
      </c>
      <c r="I465">
        <v>323235</v>
      </c>
      <c r="J465">
        <v>141783</v>
      </c>
      <c r="L465" s="2">
        <f t="shared" si="73"/>
        <v>0.30489787492097081</v>
      </c>
      <c r="N465">
        <v>383721</v>
      </c>
      <c r="O465">
        <v>88661</v>
      </c>
      <c r="Q465" s="2">
        <f t="shared" si="74"/>
        <v>0.18768920068927267</v>
      </c>
      <c r="T465">
        <v>381791</v>
      </c>
      <c r="U465">
        <v>91613</v>
      </c>
      <c r="W465" s="2">
        <f t="shared" si="75"/>
        <v>0.19351969987579321</v>
      </c>
      <c r="Z465">
        <f t="shared" si="70"/>
        <v>691646</v>
      </c>
      <c r="AA465">
        <f t="shared" si="71"/>
        <v>241647</v>
      </c>
      <c r="AC465" s="2">
        <f t="shared" si="76"/>
        <v>0.25891868898620263</v>
      </c>
      <c r="AD465" s="2"/>
      <c r="AE465">
        <f t="shared" si="77"/>
        <v>705026</v>
      </c>
      <c r="AF465">
        <f t="shared" si="78"/>
        <v>233396</v>
      </c>
      <c r="AH465" s="2">
        <f t="shared" si="79"/>
        <v>0.24871113422319596</v>
      </c>
      <c r="AI465" s="2"/>
      <c r="AJ465" s="2"/>
    </row>
    <row r="466" spans="2:36" x14ac:dyDescent="0.25">
      <c r="B466" s="1">
        <v>42647</v>
      </c>
      <c r="C466">
        <v>326975</v>
      </c>
      <c r="D466">
        <v>104144</v>
      </c>
      <c r="F466" s="2">
        <f t="shared" si="72"/>
        <v>0.24156671359879756</v>
      </c>
      <c r="I466">
        <v>353162</v>
      </c>
      <c r="J466">
        <v>98659</v>
      </c>
      <c r="L466" s="2">
        <f t="shared" si="73"/>
        <v>0.21835859776327352</v>
      </c>
      <c r="N466">
        <v>421748</v>
      </c>
      <c r="O466">
        <v>56062</v>
      </c>
      <c r="Q466" s="2">
        <f t="shared" si="74"/>
        <v>0.11733115673594106</v>
      </c>
      <c r="T466">
        <v>422500</v>
      </c>
      <c r="U466">
        <v>63801</v>
      </c>
      <c r="W466" s="2">
        <f t="shared" si="75"/>
        <v>0.13119652231848175</v>
      </c>
      <c r="Z466">
        <f t="shared" si="70"/>
        <v>748723</v>
      </c>
      <c r="AA466">
        <f t="shared" si="71"/>
        <v>160206</v>
      </c>
      <c r="AC466" s="2">
        <f t="shared" si="76"/>
        <v>0.17625799154829475</v>
      </c>
      <c r="AD466" s="2"/>
      <c r="AE466">
        <f t="shared" si="77"/>
        <v>775662</v>
      </c>
      <c r="AF466">
        <f t="shared" si="78"/>
        <v>162460</v>
      </c>
      <c r="AH466" s="2">
        <f t="shared" si="79"/>
        <v>0.17317577031558795</v>
      </c>
      <c r="AI466" s="2"/>
      <c r="AJ466" s="2"/>
    </row>
    <row r="467" spans="2:36" x14ac:dyDescent="0.25">
      <c r="B467" s="1">
        <v>42654</v>
      </c>
      <c r="C467">
        <v>337612</v>
      </c>
      <c r="D467">
        <v>83237</v>
      </c>
      <c r="F467" s="2">
        <f t="shared" si="72"/>
        <v>0.19778352805875743</v>
      </c>
      <c r="I467">
        <v>359349</v>
      </c>
      <c r="J467">
        <v>71407</v>
      </c>
      <c r="L467" s="2">
        <f t="shared" si="73"/>
        <v>0.16577134154834755</v>
      </c>
      <c r="N467">
        <v>449110</v>
      </c>
      <c r="O467">
        <v>43668</v>
      </c>
      <c r="Q467" s="2">
        <f t="shared" si="74"/>
        <v>8.8615969057060179E-2</v>
      </c>
      <c r="T467">
        <v>445838</v>
      </c>
      <c r="U467">
        <v>49144</v>
      </c>
      <c r="W467" s="2">
        <f t="shared" si="75"/>
        <v>9.9284418423296203E-2</v>
      </c>
      <c r="Z467">
        <f t="shared" si="70"/>
        <v>786722</v>
      </c>
      <c r="AA467">
        <f t="shared" si="71"/>
        <v>126905</v>
      </c>
      <c r="AC467" s="2">
        <f t="shared" si="76"/>
        <v>0.13890241860190208</v>
      </c>
      <c r="AD467" s="2"/>
      <c r="AE467">
        <f t="shared" si="77"/>
        <v>805187</v>
      </c>
      <c r="AF467">
        <f t="shared" si="78"/>
        <v>120551</v>
      </c>
      <c r="AH467" s="2">
        <f t="shared" si="79"/>
        <v>0.1302215097576204</v>
      </c>
      <c r="AI467" s="2"/>
      <c r="AJ467" s="2"/>
    </row>
    <row r="468" spans="2:36" x14ac:dyDescent="0.25">
      <c r="B468" s="1">
        <v>42661</v>
      </c>
      <c r="C468">
        <v>327095</v>
      </c>
      <c r="D468">
        <v>62609</v>
      </c>
      <c r="F468" s="2">
        <f t="shared" si="72"/>
        <v>0.16065783261141789</v>
      </c>
      <c r="I468">
        <v>347808</v>
      </c>
      <c r="J468">
        <v>56355</v>
      </c>
      <c r="L468" s="2">
        <f t="shared" si="73"/>
        <v>0.13943631653565516</v>
      </c>
      <c r="N468">
        <v>448733</v>
      </c>
      <c r="O468">
        <v>51019</v>
      </c>
      <c r="Q468" s="2">
        <f t="shared" si="74"/>
        <v>0.10208863596343787</v>
      </c>
      <c r="T468">
        <v>443365</v>
      </c>
      <c r="U468">
        <v>52330</v>
      </c>
      <c r="W468" s="2">
        <f t="shared" si="75"/>
        <v>0.10556894864785805</v>
      </c>
      <c r="Z468">
        <f t="shared" si="70"/>
        <v>775828</v>
      </c>
      <c r="AA468">
        <f t="shared" si="71"/>
        <v>113628</v>
      </c>
      <c r="AC468" s="2">
        <f t="shared" si="76"/>
        <v>0.12774999550286917</v>
      </c>
      <c r="AD468" s="2"/>
      <c r="AE468">
        <f t="shared" si="77"/>
        <v>791173</v>
      </c>
      <c r="AF468">
        <f t="shared" si="78"/>
        <v>108685</v>
      </c>
      <c r="AH468" s="2">
        <f t="shared" si="79"/>
        <v>0.12078016753754481</v>
      </c>
      <c r="AI468" s="2"/>
      <c r="AJ468" s="2"/>
    </row>
    <row r="469" spans="2:36" x14ac:dyDescent="0.25">
      <c r="B469" s="1">
        <v>42668</v>
      </c>
      <c r="C469">
        <v>311053</v>
      </c>
      <c r="D469">
        <v>66428</v>
      </c>
      <c r="F469" s="2">
        <f t="shared" si="72"/>
        <v>0.1759770690445347</v>
      </c>
      <c r="I469">
        <v>324752</v>
      </c>
      <c r="J469">
        <v>56563</v>
      </c>
      <c r="L469" s="2">
        <f t="shared" si="73"/>
        <v>0.14833667702555631</v>
      </c>
      <c r="N469">
        <v>441251</v>
      </c>
      <c r="O469">
        <v>61440</v>
      </c>
      <c r="Q469" s="2">
        <f t="shared" si="74"/>
        <v>0.12222220011895976</v>
      </c>
      <c r="T469">
        <v>437571</v>
      </c>
      <c r="U469">
        <v>60861</v>
      </c>
      <c r="W469" s="2">
        <f t="shared" si="75"/>
        <v>0.12210492103235747</v>
      </c>
      <c r="Z469">
        <f t="shared" si="70"/>
        <v>752304</v>
      </c>
      <c r="AA469">
        <f t="shared" si="71"/>
        <v>127868</v>
      </c>
      <c r="AC469" s="2">
        <f t="shared" si="76"/>
        <v>0.14527615057057031</v>
      </c>
      <c r="AD469" s="2"/>
      <c r="AE469">
        <f t="shared" si="77"/>
        <v>762323</v>
      </c>
      <c r="AF469">
        <f t="shared" si="78"/>
        <v>117424</v>
      </c>
      <c r="AH469" s="2">
        <f t="shared" si="79"/>
        <v>0.13347473762343037</v>
      </c>
      <c r="AI469" s="2"/>
      <c r="AJ469" s="2"/>
    </row>
    <row r="470" spans="2:36" x14ac:dyDescent="0.25">
      <c r="B470" s="1">
        <v>42675</v>
      </c>
      <c r="C470">
        <v>290299</v>
      </c>
      <c r="D470">
        <v>78890</v>
      </c>
      <c r="F470" s="2">
        <f t="shared" si="72"/>
        <v>0.21368458973588053</v>
      </c>
      <c r="I470">
        <v>296654</v>
      </c>
      <c r="J470">
        <v>62528</v>
      </c>
      <c r="L470" s="2">
        <f t="shared" si="73"/>
        <v>0.17408444743890283</v>
      </c>
      <c r="N470">
        <v>432873</v>
      </c>
      <c r="O470">
        <v>92031</v>
      </c>
      <c r="Q470" s="2">
        <f t="shared" si="74"/>
        <v>0.17532920305427277</v>
      </c>
      <c r="T470">
        <v>432043</v>
      </c>
      <c r="U470">
        <v>85964</v>
      </c>
      <c r="W470" s="2">
        <f t="shared" si="75"/>
        <v>0.16595142536683868</v>
      </c>
      <c r="Z470">
        <f t="shared" si="70"/>
        <v>723172</v>
      </c>
      <c r="AA470">
        <f t="shared" si="71"/>
        <v>170921</v>
      </c>
      <c r="AC470" s="2">
        <f t="shared" si="76"/>
        <v>0.19116691440375888</v>
      </c>
      <c r="AD470" s="2"/>
      <c r="AE470">
        <f t="shared" si="77"/>
        <v>728697</v>
      </c>
      <c r="AF470">
        <f t="shared" si="78"/>
        <v>148492</v>
      </c>
      <c r="AH470" s="2">
        <f t="shared" si="79"/>
        <v>0.16928164853868435</v>
      </c>
      <c r="AI470" s="2"/>
      <c r="AJ470" s="2"/>
    </row>
    <row r="471" spans="2:36" x14ac:dyDescent="0.25">
      <c r="B471" s="1">
        <v>42682</v>
      </c>
      <c r="C471">
        <v>293347</v>
      </c>
      <c r="D471">
        <v>162455</v>
      </c>
      <c r="F471" s="2">
        <f t="shared" si="72"/>
        <v>0.35641572437154728</v>
      </c>
      <c r="I471">
        <v>304734</v>
      </c>
      <c r="J471">
        <v>145319</v>
      </c>
      <c r="L471" s="2">
        <f t="shared" si="73"/>
        <v>0.32289308148151441</v>
      </c>
      <c r="N471">
        <v>408978</v>
      </c>
      <c r="O471">
        <v>148300</v>
      </c>
      <c r="Q471" s="2">
        <f t="shared" si="74"/>
        <v>0.26611493724855456</v>
      </c>
      <c r="T471">
        <v>408218</v>
      </c>
      <c r="U471">
        <v>142055</v>
      </c>
      <c r="W471" s="2">
        <f t="shared" si="75"/>
        <v>0.25815368008243184</v>
      </c>
      <c r="Z471">
        <f t="shared" si="70"/>
        <v>702325</v>
      </c>
      <c r="AA471">
        <f t="shared" si="71"/>
        <v>310755</v>
      </c>
      <c r="AC471" s="2">
        <f t="shared" si="76"/>
        <v>0.30674280412208316</v>
      </c>
      <c r="AD471" s="2"/>
      <c r="AE471">
        <f t="shared" si="77"/>
        <v>712952</v>
      </c>
      <c r="AF471">
        <f t="shared" si="78"/>
        <v>287374</v>
      </c>
      <c r="AH471" s="2">
        <f t="shared" si="79"/>
        <v>0.28728034660700613</v>
      </c>
      <c r="AI471" s="2"/>
      <c r="AJ471" s="2"/>
    </row>
    <row r="472" spans="2:36" x14ac:dyDescent="0.25">
      <c r="B472" s="1">
        <v>42689</v>
      </c>
      <c r="C472">
        <v>308940</v>
      </c>
      <c r="D472">
        <v>185047</v>
      </c>
      <c r="F472" s="2">
        <f t="shared" si="72"/>
        <v>0.37459892669240286</v>
      </c>
      <c r="I472">
        <v>329252</v>
      </c>
      <c r="J472">
        <v>165931</v>
      </c>
      <c r="L472" s="2">
        <f t="shared" si="73"/>
        <v>0.3350902595606069</v>
      </c>
      <c r="N472">
        <v>402746</v>
      </c>
      <c r="O472">
        <v>161896</v>
      </c>
      <c r="Q472" s="2">
        <f t="shared" si="74"/>
        <v>0.28672326890312799</v>
      </c>
      <c r="T472">
        <v>411067</v>
      </c>
      <c r="U472">
        <v>157016</v>
      </c>
      <c r="W472" s="2">
        <f t="shared" si="75"/>
        <v>0.27639623083246639</v>
      </c>
      <c r="Z472">
        <f t="shared" si="70"/>
        <v>711686</v>
      </c>
      <c r="AA472">
        <f t="shared" si="71"/>
        <v>346943</v>
      </c>
      <c r="AC472" s="2">
        <f t="shared" si="76"/>
        <v>0.32772859991555114</v>
      </c>
      <c r="AD472" s="2"/>
      <c r="AE472">
        <f t="shared" si="77"/>
        <v>740319</v>
      </c>
      <c r="AF472">
        <f t="shared" si="78"/>
        <v>322947</v>
      </c>
      <c r="AH472" s="2">
        <f t="shared" si="79"/>
        <v>0.30373114535779383</v>
      </c>
      <c r="AI472" s="2"/>
      <c r="AJ472" s="2"/>
    </row>
    <row r="473" spans="2:36" x14ac:dyDescent="0.25">
      <c r="B473" s="1">
        <v>42696</v>
      </c>
      <c r="C473">
        <v>333888</v>
      </c>
      <c r="D473">
        <v>179067</v>
      </c>
      <c r="F473" s="2">
        <f t="shared" si="72"/>
        <v>0.34908910138316229</v>
      </c>
      <c r="I473">
        <v>351556</v>
      </c>
      <c r="J473">
        <v>163232</v>
      </c>
      <c r="L473" s="2">
        <f t="shared" si="73"/>
        <v>0.31708586835745978</v>
      </c>
      <c r="N473">
        <v>429981</v>
      </c>
      <c r="O473">
        <v>148304</v>
      </c>
      <c r="Q473" s="2">
        <f t="shared" si="74"/>
        <v>0.25645486222191483</v>
      </c>
      <c r="T473">
        <v>440191</v>
      </c>
      <c r="U473">
        <v>147427</v>
      </c>
      <c r="W473" s="2">
        <f t="shared" si="75"/>
        <v>0.25088918310875435</v>
      </c>
      <c r="Z473">
        <f t="shared" si="70"/>
        <v>763869</v>
      </c>
      <c r="AA473">
        <f t="shared" si="71"/>
        <v>327371</v>
      </c>
      <c r="AC473" s="2">
        <f t="shared" si="76"/>
        <v>0.29999908361130456</v>
      </c>
      <c r="AD473" s="2"/>
      <c r="AE473">
        <f t="shared" si="77"/>
        <v>791747</v>
      </c>
      <c r="AF473">
        <f t="shared" si="78"/>
        <v>310659</v>
      </c>
      <c r="AH473" s="2">
        <f t="shared" si="79"/>
        <v>0.28180089731006541</v>
      </c>
      <c r="AI473" s="2"/>
      <c r="AJ473" s="2"/>
    </row>
    <row r="474" spans="2:36" x14ac:dyDescent="0.25">
      <c r="B474" s="1">
        <v>42703</v>
      </c>
      <c r="C474">
        <v>321114</v>
      </c>
      <c r="D474">
        <v>162434</v>
      </c>
      <c r="F474" s="2">
        <f t="shared" si="72"/>
        <v>0.33592114950325508</v>
      </c>
      <c r="I474">
        <v>335219</v>
      </c>
      <c r="J474">
        <v>146133</v>
      </c>
      <c r="L474" s="2">
        <f t="shared" si="73"/>
        <v>0.30358864199172331</v>
      </c>
      <c r="N474">
        <v>428739</v>
      </c>
      <c r="O474">
        <v>125554</v>
      </c>
      <c r="Q474" s="2">
        <f t="shared" si="74"/>
        <v>0.22651197110553445</v>
      </c>
      <c r="T474">
        <v>436028</v>
      </c>
      <c r="U474">
        <v>125405</v>
      </c>
      <c r="W474" s="2">
        <f t="shared" si="75"/>
        <v>0.22336592255888058</v>
      </c>
      <c r="Z474">
        <f t="shared" si="70"/>
        <v>749853</v>
      </c>
      <c r="AA474">
        <f t="shared" si="71"/>
        <v>287988</v>
      </c>
      <c r="AC474" s="2">
        <f t="shared" si="76"/>
        <v>0.27748759202999301</v>
      </c>
      <c r="AD474" s="2"/>
      <c r="AE474">
        <f t="shared" si="77"/>
        <v>771247</v>
      </c>
      <c r="AF474">
        <f t="shared" si="78"/>
        <v>271538</v>
      </c>
      <c r="AH474" s="2">
        <f t="shared" si="79"/>
        <v>0.26039691786897584</v>
      </c>
      <c r="AI474" s="2"/>
      <c r="AJ474" s="2"/>
    </row>
    <row r="475" spans="2:36" x14ac:dyDescent="0.25">
      <c r="B475" s="1">
        <v>42710</v>
      </c>
      <c r="C475">
        <v>351457</v>
      </c>
      <c r="D475">
        <v>108932</v>
      </c>
      <c r="F475" s="2">
        <f t="shared" si="72"/>
        <v>0.23660860706923928</v>
      </c>
      <c r="I475">
        <v>350770</v>
      </c>
      <c r="J475">
        <v>80285</v>
      </c>
      <c r="L475" s="2">
        <f t="shared" si="73"/>
        <v>0.18625233438888308</v>
      </c>
      <c r="N475">
        <v>495604</v>
      </c>
      <c r="O475">
        <v>66749</v>
      </c>
      <c r="Q475" s="2">
        <f t="shared" si="74"/>
        <v>0.11869590808620209</v>
      </c>
      <c r="T475">
        <v>518376</v>
      </c>
      <c r="U475">
        <v>65791</v>
      </c>
      <c r="W475" s="2">
        <f t="shared" si="75"/>
        <v>0.11262361619194511</v>
      </c>
      <c r="Z475">
        <f t="shared" si="70"/>
        <v>847061</v>
      </c>
      <c r="AA475">
        <f t="shared" si="71"/>
        <v>175681</v>
      </c>
      <c r="AC475" s="2">
        <f t="shared" si="76"/>
        <v>0.17177450422491694</v>
      </c>
      <c r="AD475" s="2"/>
      <c r="AE475">
        <f t="shared" si="77"/>
        <v>869146</v>
      </c>
      <c r="AF475">
        <f t="shared" si="78"/>
        <v>146076</v>
      </c>
      <c r="AH475" s="2">
        <f t="shared" si="79"/>
        <v>0.14388577079692916</v>
      </c>
      <c r="AI475" s="2"/>
      <c r="AJ475" s="2"/>
    </row>
    <row r="476" spans="2:36" x14ac:dyDescent="0.25">
      <c r="B476" s="1">
        <v>42717</v>
      </c>
      <c r="C476">
        <v>366232</v>
      </c>
      <c r="D476">
        <v>91475</v>
      </c>
      <c r="F476" s="2">
        <f t="shared" si="72"/>
        <v>0.19985492902664806</v>
      </c>
      <c r="I476">
        <v>359458</v>
      </c>
      <c r="J476">
        <v>56312</v>
      </c>
      <c r="L476" s="2">
        <f t="shared" si="73"/>
        <v>0.13544026745556437</v>
      </c>
      <c r="N476">
        <v>505967</v>
      </c>
      <c r="O476">
        <v>54504</v>
      </c>
      <c r="Q476" s="2">
        <f t="shared" si="74"/>
        <v>9.7246779940442951E-2</v>
      </c>
      <c r="T476">
        <v>527058</v>
      </c>
      <c r="U476">
        <v>49197</v>
      </c>
      <c r="W476" s="2">
        <f t="shared" si="75"/>
        <v>8.5373662701408226E-2</v>
      </c>
      <c r="Z476">
        <f t="shared" si="70"/>
        <v>872199</v>
      </c>
      <c r="AA476">
        <f t="shared" si="71"/>
        <v>145979</v>
      </c>
      <c r="AC476" s="2">
        <f t="shared" si="76"/>
        <v>0.14337276979074387</v>
      </c>
      <c r="AD476" s="2"/>
      <c r="AE476">
        <f t="shared" si="77"/>
        <v>886516</v>
      </c>
      <c r="AF476">
        <f t="shared" si="78"/>
        <v>105509</v>
      </c>
      <c r="AH476" s="2">
        <f t="shared" si="79"/>
        <v>0.10635719865930798</v>
      </c>
      <c r="AI476" s="2"/>
      <c r="AJ476" s="2"/>
    </row>
    <row r="477" spans="2:36" x14ac:dyDescent="0.25">
      <c r="B477" s="1">
        <v>42724</v>
      </c>
      <c r="C477">
        <v>356614</v>
      </c>
      <c r="D477">
        <v>72861</v>
      </c>
      <c r="F477" s="2">
        <f t="shared" si="72"/>
        <v>0.16965131847022527</v>
      </c>
      <c r="I477">
        <v>356769</v>
      </c>
      <c r="J477">
        <v>50613</v>
      </c>
      <c r="L477" s="2">
        <f t="shared" si="73"/>
        <v>0.12423965712770815</v>
      </c>
      <c r="N477">
        <v>469303</v>
      </c>
      <c r="O477">
        <v>40047</v>
      </c>
      <c r="Q477" s="2">
        <f t="shared" si="74"/>
        <v>7.8623736134288802E-2</v>
      </c>
      <c r="T477">
        <v>497884</v>
      </c>
      <c r="U477">
        <v>42768</v>
      </c>
      <c r="W477" s="2">
        <f t="shared" si="75"/>
        <v>7.9104488654439448E-2</v>
      </c>
      <c r="Z477">
        <f t="shared" si="70"/>
        <v>825917</v>
      </c>
      <c r="AA477">
        <f t="shared" si="71"/>
        <v>112908</v>
      </c>
      <c r="AC477" s="2">
        <f t="shared" si="76"/>
        <v>0.12026522514845685</v>
      </c>
      <c r="AD477" s="2"/>
      <c r="AE477">
        <f t="shared" si="77"/>
        <v>854653</v>
      </c>
      <c r="AF477">
        <f t="shared" si="78"/>
        <v>93381</v>
      </c>
      <c r="AH477" s="2">
        <f t="shared" si="79"/>
        <v>9.8499631869743073E-2</v>
      </c>
      <c r="AI477" s="2"/>
      <c r="AJ477" s="2"/>
    </row>
    <row r="478" spans="2:36" x14ac:dyDescent="0.25">
      <c r="B478" s="1">
        <v>42731</v>
      </c>
      <c r="C478">
        <v>357096</v>
      </c>
      <c r="D478">
        <v>71857</v>
      </c>
      <c r="F478" s="2">
        <f t="shared" si="72"/>
        <v>0.16751718719766501</v>
      </c>
      <c r="I478">
        <v>358573</v>
      </c>
      <c r="J478">
        <v>50664</v>
      </c>
      <c r="L478" s="2">
        <f t="shared" si="73"/>
        <v>0.1238011225768931</v>
      </c>
      <c r="N478">
        <v>493745</v>
      </c>
      <c r="O478">
        <v>47857</v>
      </c>
      <c r="Q478" s="2">
        <f t="shared" si="74"/>
        <v>8.8361933670850545E-2</v>
      </c>
      <c r="T478">
        <v>503374</v>
      </c>
      <c r="U478">
        <v>48789</v>
      </c>
      <c r="W478" s="2">
        <f t="shared" si="75"/>
        <v>8.835977781923092E-2</v>
      </c>
      <c r="Z478">
        <f t="shared" si="70"/>
        <v>850841</v>
      </c>
      <c r="AA478">
        <f t="shared" si="71"/>
        <v>119714</v>
      </c>
      <c r="AC478" s="2">
        <f t="shared" si="76"/>
        <v>0.12334592063303985</v>
      </c>
      <c r="AD478" s="2"/>
      <c r="AE478">
        <f t="shared" si="77"/>
        <v>861947</v>
      </c>
      <c r="AF478">
        <f t="shared" si="78"/>
        <v>99453</v>
      </c>
      <c r="AH478" s="2">
        <f t="shared" si="79"/>
        <v>0.10344601622633659</v>
      </c>
      <c r="AI478" s="2"/>
      <c r="AJ478" s="2"/>
    </row>
    <row r="479" spans="2:36" x14ac:dyDescent="0.25">
      <c r="B479" s="1">
        <v>42738</v>
      </c>
      <c r="C479">
        <v>356275</v>
      </c>
      <c r="D479">
        <v>76578</v>
      </c>
      <c r="F479" s="2">
        <f t="shared" si="72"/>
        <v>0.17691456452883542</v>
      </c>
      <c r="I479">
        <v>360817</v>
      </c>
      <c r="J479">
        <v>56349</v>
      </c>
      <c r="L479" s="2">
        <f t="shared" si="73"/>
        <v>0.13507572525085937</v>
      </c>
      <c r="N479">
        <v>499016</v>
      </c>
      <c r="O479">
        <v>51080</v>
      </c>
      <c r="Q479" s="2">
        <f t="shared" si="74"/>
        <v>9.2856519589308045E-2</v>
      </c>
      <c r="T479">
        <v>501681</v>
      </c>
      <c r="U479">
        <v>43633</v>
      </c>
      <c r="W479" s="2">
        <f t="shared" si="75"/>
        <v>8.0014450390050507E-2</v>
      </c>
      <c r="Z479">
        <f t="shared" si="70"/>
        <v>855291</v>
      </c>
      <c r="AA479">
        <f t="shared" si="71"/>
        <v>127658</v>
      </c>
      <c r="AC479" s="2">
        <f t="shared" si="76"/>
        <v>0.12987245523419833</v>
      </c>
      <c r="AD479" s="2"/>
      <c r="AE479">
        <f t="shared" si="77"/>
        <v>862498</v>
      </c>
      <c r="AF479">
        <f t="shared" si="78"/>
        <v>99982</v>
      </c>
      <c r="AH479" s="2">
        <f t="shared" si="79"/>
        <v>0.10387956113373785</v>
      </c>
      <c r="AI479" s="2"/>
      <c r="AJ479" s="2"/>
    </row>
    <row r="480" spans="2:36" x14ac:dyDescent="0.25">
      <c r="B480" s="1">
        <v>42745</v>
      </c>
      <c r="C480">
        <v>353726</v>
      </c>
      <c r="D480">
        <v>75366</v>
      </c>
      <c r="F480" s="2">
        <f t="shared" si="72"/>
        <v>0.17564065515087673</v>
      </c>
      <c r="I480">
        <v>357251</v>
      </c>
      <c r="J480">
        <v>51342</v>
      </c>
      <c r="L480" s="2">
        <f t="shared" si="73"/>
        <v>0.12565560349785729</v>
      </c>
      <c r="N480">
        <v>493613</v>
      </c>
      <c r="O480">
        <v>52462</v>
      </c>
      <c r="Q480" s="2">
        <f t="shared" si="74"/>
        <v>9.6071052511101956E-2</v>
      </c>
      <c r="T480">
        <v>496578</v>
      </c>
      <c r="U480">
        <v>48012</v>
      </c>
      <c r="W480" s="2">
        <f t="shared" si="75"/>
        <v>8.8161736352118103E-2</v>
      </c>
      <c r="Z480">
        <f t="shared" si="70"/>
        <v>847339</v>
      </c>
      <c r="AA480">
        <f t="shared" si="71"/>
        <v>127828</v>
      </c>
      <c r="AC480" s="2">
        <f t="shared" si="76"/>
        <v>0.13108318882816994</v>
      </c>
      <c r="AD480" s="2"/>
      <c r="AE480">
        <f t="shared" si="77"/>
        <v>853829</v>
      </c>
      <c r="AF480">
        <f t="shared" si="78"/>
        <v>99354</v>
      </c>
      <c r="AH480" s="2">
        <f t="shared" si="79"/>
        <v>0.10423391940477326</v>
      </c>
      <c r="AI480" s="2"/>
      <c r="AJ480" s="2"/>
    </row>
    <row r="481" spans="2:36" x14ac:dyDescent="0.25">
      <c r="B481" s="1">
        <v>42752</v>
      </c>
      <c r="C481">
        <v>403021</v>
      </c>
      <c r="D481">
        <v>59606</v>
      </c>
      <c r="F481" s="2">
        <f t="shared" si="72"/>
        <v>0.12884245839520825</v>
      </c>
      <c r="I481">
        <v>406723</v>
      </c>
      <c r="J481">
        <v>57213</v>
      </c>
      <c r="L481" s="2">
        <f t="shared" si="73"/>
        <v>0.12332088908815009</v>
      </c>
      <c r="N481">
        <v>495700</v>
      </c>
      <c r="O481">
        <v>39858</v>
      </c>
      <c r="Q481" s="2">
        <f t="shared" si="74"/>
        <v>7.4423311760817693E-2</v>
      </c>
      <c r="T481">
        <v>503337</v>
      </c>
      <c r="U481">
        <v>40840</v>
      </c>
      <c r="W481" s="2">
        <f t="shared" si="75"/>
        <v>7.5049110859150614E-2</v>
      </c>
      <c r="Z481">
        <f t="shared" si="70"/>
        <v>898721</v>
      </c>
      <c r="AA481">
        <f t="shared" si="71"/>
        <v>99464</v>
      </c>
      <c r="AC481" s="2">
        <f t="shared" si="76"/>
        <v>9.9644855412573827E-2</v>
      </c>
      <c r="AD481" s="2"/>
      <c r="AE481">
        <f t="shared" si="77"/>
        <v>910060</v>
      </c>
      <c r="AF481">
        <f t="shared" si="78"/>
        <v>98053</v>
      </c>
      <c r="AH481" s="2">
        <f t="shared" si="79"/>
        <v>9.726389799556201E-2</v>
      </c>
      <c r="AI481" s="2"/>
      <c r="AJ481" s="2"/>
    </row>
    <row r="482" spans="2:36" x14ac:dyDescent="0.25">
      <c r="B482" s="1">
        <v>42759</v>
      </c>
      <c r="C482">
        <v>420513</v>
      </c>
      <c r="D482">
        <v>53692</v>
      </c>
      <c r="F482" s="2">
        <f t="shared" si="72"/>
        <v>0.11322529285857383</v>
      </c>
      <c r="I482">
        <v>421899</v>
      </c>
      <c r="J482">
        <v>50960</v>
      </c>
      <c r="L482" s="2">
        <f t="shared" si="73"/>
        <v>0.10776996948350354</v>
      </c>
      <c r="N482">
        <v>479588</v>
      </c>
      <c r="O482">
        <v>37180</v>
      </c>
      <c r="Q482" s="2">
        <f t="shared" si="74"/>
        <v>7.1947179391912808E-2</v>
      </c>
      <c r="T482">
        <v>490194</v>
      </c>
      <c r="U482">
        <v>41842</v>
      </c>
      <c r="W482" s="2">
        <f t="shared" si="75"/>
        <v>7.8645054094083858E-2</v>
      </c>
      <c r="Z482">
        <f t="shared" si="70"/>
        <v>900101</v>
      </c>
      <c r="AA482">
        <f t="shared" si="71"/>
        <v>90872</v>
      </c>
      <c r="AC482" s="2">
        <f t="shared" si="76"/>
        <v>9.1699773858621783E-2</v>
      </c>
      <c r="AD482" s="2"/>
      <c r="AE482">
        <f t="shared" si="77"/>
        <v>912093</v>
      </c>
      <c r="AF482">
        <f t="shared" si="78"/>
        <v>92802</v>
      </c>
      <c r="AH482" s="2">
        <f t="shared" si="79"/>
        <v>9.2349947009389047E-2</v>
      </c>
      <c r="AI482" s="2"/>
      <c r="AJ482" s="2"/>
    </row>
    <row r="483" spans="2:36" x14ac:dyDescent="0.25">
      <c r="B483" s="1">
        <v>42766</v>
      </c>
      <c r="C483">
        <v>427935</v>
      </c>
      <c r="D483">
        <v>53471</v>
      </c>
      <c r="F483" s="2">
        <f t="shared" si="72"/>
        <v>0.11107256660698038</v>
      </c>
      <c r="I483">
        <v>427908</v>
      </c>
      <c r="J483">
        <v>47981</v>
      </c>
      <c r="L483" s="2">
        <f t="shared" si="73"/>
        <v>0.10082393163111567</v>
      </c>
      <c r="N483">
        <v>517520</v>
      </c>
      <c r="O483">
        <v>44872</v>
      </c>
      <c r="Q483" s="2">
        <f t="shared" si="74"/>
        <v>7.9787763695073899E-2</v>
      </c>
      <c r="T483">
        <v>518278</v>
      </c>
      <c r="U483">
        <v>45411</v>
      </c>
      <c r="W483" s="2">
        <f t="shared" si="75"/>
        <v>8.0560379925810152E-2</v>
      </c>
      <c r="Z483">
        <f t="shared" si="70"/>
        <v>945455</v>
      </c>
      <c r="AA483">
        <f t="shared" si="71"/>
        <v>98343</v>
      </c>
      <c r="AC483" s="2">
        <f t="shared" si="76"/>
        <v>9.4216505492442024E-2</v>
      </c>
      <c r="AD483" s="2"/>
      <c r="AE483">
        <f t="shared" si="77"/>
        <v>946186</v>
      </c>
      <c r="AF483">
        <f t="shared" si="78"/>
        <v>93392</v>
      </c>
      <c r="AH483" s="2">
        <f t="shared" si="79"/>
        <v>8.9836452868375438E-2</v>
      </c>
      <c r="AI483" s="2"/>
      <c r="AJ483" s="2"/>
    </row>
    <row r="484" spans="2:36" x14ac:dyDescent="0.25">
      <c r="B484" s="1">
        <v>42773</v>
      </c>
      <c r="C484">
        <v>419755</v>
      </c>
      <c r="D484">
        <v>67732</v>
      </c>
      <c r="F484" s="2">
        <f t="shared" si="72"/>
        <v>0.13894114099452909</v>
      </c>
      <c r="I484">
        <v>420078</v>
      </c>
      <c r="J484">
        <v>60691</v>
      </c>
      <c r="L484" s="2">
        <f t="shared" si="73"/>
        <v>0.1262373405939235</v>
      </c>
      <c r="N484">
        <v>511043</v>
      </c>
      <c r="O484">
        <v>48856</v>
      </c>
      <c r="Q484" s="2">
        <f t="shared" si="74"/>
        <v>8.7258594853714691E-2</v>
      </c>
      <c r="T484">
        <v>513279</v>
      </c>
      <c r="U484">
        <v>50419</v>
      </c>
      <c r="W484" s="2">
        <f t="shared" si="75"/>
        <v>8.9443283460292566E-2</v>
      </c>
      <c r="Z484">
        <f t="shared" si="70"/>
        <v>930798</v>
      </c>
      <c r="AA484">
        <f t="shared" si="71"/>
        <v>116588</v>
      </c>
      <c r="AC484" s="2">
        <f t="shared" si="76"/>
        <v>0.11131330760579194</v>
      </c>
      <c r="AD484" s="2"/>
      <c r="AE484">
        <f t="shared" si="77"/>
        <v>933357</v>
      </c>
      <c r="AF484">
        <f t="shared" si="78"/>
        <v>111110</v>
      </c>
      <c r="AH484" s="2">
        <f t="shared" si="79"/>
        <v>0.10637961754655724</v>
      </c>
      <c r="AI484" s="2"/>
      <c r="AJ484" s="2"/>
    </row>
    <row r="485" spans="2:36" x14ac:dyDescent="0.25">
      <c r="B485" s="1">
        <v>42780</v>
      </c>
      <c r="C485">
        <v>432594</v>
      </c>
      <c r="D485">
        <v>49062</v>
      </c>
      <c r="F485" s="2">
        <f t="shared" si="72"/>
        <v>0.10186107927649608</v>
      </c>
      <c r="I485">
        <v>432944</v>
      </c>
      <c r="J485">
        <v>42606</v>
      </c>
      <c r="L485" s="2">
        <f t="shared" si="73"/>
        <v>8.9593102723162649E-2</v>
      </c>
      <c r="N485">
        <v>522785</v>
      </c>
      <c r="O485">
        <v>41723</v>
      </c>
      <c r="Q485" s="2">
        <f t="shared" si="74"/>
        <v>7.3910378595166054E-2</v>
      </c>
      <c r="T485">
        <v>525405</v>
      </c>
      <c r="U485">
        <v>44006</v>
      </c>
      <c r="W485" s="2">
        <f t="shared" si="75"/>
        <v>7.7283368252457366E-2</v>
      </c>
      <c r="Z485">
        <f t="shared" si="70"/>
        <v>955379</v>
      </c>
      <c r="AA485">
        <f t="shared" si="71"/>
        <v>90785</v>
      </c>
      <c r="AC485" s="2">
        <f t="shared" si="76"/>
        <v>8.6778937145610052E-2</v>
      </c>
      <c r="AD485" s="2"/>
      <c r="AE485">
        <f t="shared" si="77"/>
        <v>958349</v>
      </c>
      <c r="AF485">
        <f t="shared" si="78"/>
        <v>86612</v>
      </c>
      <c r="AH485" s="2">
        <f t="shared" si="79"/>
        <v>8.28853899810615E-2</v>
      </c>
      <c r="AI485" s="2"/>
      <c r="AJ485" s="2"/>
    </row>
    <row r="486" spans="2:36" x14ac:dyDescent="0.25">
      <c r="B486" s="1">
        <v>42787</v>
      </c>
      <c r="C486">
        <v>448846</v>
      </c>
      <c r="D486">
        <v>43518</v>
      </c>
      <c r="F486" s="2">
        <f t="shared" si="72"/>
        <v>8.8385828370880076E-2</v>
      </c>
      <c r="I486">
        <v>453030</v>
      </c>
      <c r="J486">
        <v>39393</v>
      </c>
      <c r="L486" s="2">
        <f t="shared" si="73"/>
        <v>7.9998294149542168E-2</v>
      </c>
      <c r="N486">
        <v>553253</v>
      </c>
      <c r="O486">
        <v>43222</v>
      </c>
      <c r="Q486" s="2">
        <f t="shared" si="74"/>
        <v>7.2462383167777353E-2</v>
      </c>
      <c r="T486">
        <v>552734</v>
      </c>
      <c r="U486">
        <v>45125</v>
      </c>
      <c r="W486" s="2">
        <f t="shared" si="75"/>
        <v>7.5477662793401123E-2</v>
      </c>
      <c r="Z486">
        <f t="shared" si="70"/>
        <v>1002099</v>
      </c>
      <c r="AA486">
        <f t="shared" si="71"/>
        <v>86740</v>
      </c>
      <c r="AC486" s="2">
        <f t="shared" si="76"/>
        <v>7.9662833531862834E-2</v>
      </c>
      <c r="AD486" s="2"/>
      <c r="AE486">
        <f t="shared" si="77"/>
        <v>1005764</v>
      </c>
      <c r="AF486">
        <f t="shared" si="78"/>
        <v>84518</v>
      </c>
      <c r="AH486" s="2">
        <f t="shared" si="79"/>
        <v>7.7519394065021716E-2</v>
      </c>
      <c r="AI486" s="2"/>
      <c r="AJ486" s="2"/>
    </row>
    <row r="487" spans="2:36" x14ac:dyDescent="0.25">
      <c r="B487" s="1">
        <v>42794</v>
      </c>
      <c r="C487">
        <v>429168</v>
      </c>
      <c r="D487">
        <v>60566</v>
      </c>
      <c r="F487" s="2">
        <f t="shared" si="72"/>
        <v>0.12367121743640425</v>
      </c>
      <c r="I487">
        <v>435475</v>
      </c>
      <c r="J487">
        <v>48768</v>
      </c>
      <c r="L487" s="2">
        <f t="shared" si="73"/>
        <v>0.10070976761667179</v>
      </c>
      <c r="N487">
        <v>525556</v>
      </c>
      <c r="O487">
        <v>56288</v>
      </c>
      <c r="Q487" s="2">
        <f t="shared" si="74"/>
        <v>9.6740707131121054E-2</v>
      </c>
      <c r="T487">
        <v>526826</v>
      </c>
      <c r="U487">
        <v>57637</v>
      </c>
      <c r="W487" s="2">
        <f t="shared" si="75"/>
        <v>9.8615310122283195E-2</v>
      </c>
      <c r="Z487">
        <f t="shared" si="70"/>
        <v>954724</v>
      </c>
      <c r="AA487">
        <f t="shared" si="71"/>
        <v>116854</v>
      </c>
      <c r="AC487" s="2">
        <f t="shared" si="76"/>
        <v>0.10904852469908863</v>
      </c>
      <c r="AD487" s="2"/>
      <c r="AE487">
        <f t="shared" si="77"/>
        <v>962301</v>
      </c>
      <c r="AF487">
        <f t="shared" si="78"/>
        <v>106405</v>
      </c>
      <c r="AH487" s="2">
        <f t="shared" si="79"/>
        <v>9.9564332940958511E-2</v>
      </c>
      <c r="AI487" s="2"/>
      <c r="AJ487" s="2"/>
    </row>
    <row r="488" spans="2:36" x14ac:dyDescent="0.25">
      <c r="B488" s="1">
        <v>42801</v>
      </c>
      <c r="C488">
        <v>418346</v>
      </c>
      <c r="D488">
        <v>61168</v>
      </c>
      <c r="F488" s="2">
        <f t="shared" si="72"/>
        <v>0.12756249035481759</v>
      </c>
      <c r="I488">
        <v>424549</v>
      </c>
      <c r="J488">
        <v>48991</v>
      </c>
      <c r="L488" s="2">
        <f t="shared" si="73"/>
        <v>0.10345694133547324</v>
      </c>
      <c r="N488">
        <v>534398</v>
      </c>
      <c r="O488">
        <v>64871</v>
      </c>
      <c r="Q488" s="2">
        <f t="shared" si="74"/>
        <v>0.10825021818248566</v>
      </c>
      <c r="T488">
        <v>539543</v>
      </c>
      <c r="U488">
        <v>66874</v>
      </c>
      <c r="W488" s="2">
        <f t="shared" si="75"/>
        <v>0.11027725146227761</v>
      </c>
      <c r="Z488">
        <f t="shared" si="70"/>
        <v>952744</v>
      </c>
      <c r="AA488">
        <f t="shared" si="71"/>
        <v>126039</v>
      </c>
      <c r="AC488" s="2">
        <f t="shared" si="76"/>
        <v>0.11683443287482283</v>
      </c>
      <c r="AD488" s="2"/>
      <c r="AE488">
        <f t="shared" si="77"/>
        <v>964092</v>
      </c>
      <c r="AF488">
        <f t="shared" si="78"/>
        <v>115865</v>
      </c>
      <c r="AH488" s="2">
        <f t="shared" si="79"/>
        <v>0.10728667900666415</v>
      </c>
      <c r="AI488" s="2"/>
      <c r="AJ488" s="2"/>
    </row>
    <row r="489" spans="2:36" x14ac:dyDescent="0.25">
      <c r="B489" s="1">
        <v>42808</v>
      </c>
      <c r="C489">
        <v>383767</v>
      </c>
      <c r="D489">
        <v>128947</v>
      </c>
      <c r="F489" s="2">
        <f t="shared" si="72"/>
        <v>0.25149888631868839</v>
      </c>
      <c r="I489">
        <v>386941</v>
      </c>
      <c r="J489">
        <v>98167</v>
      </c>
      <c r="L489" s="2">
        <f t="shared" si="73"/>
        <v>0.20236112370853501</v>
      </c>
      <c r="N489">
        <v>504511</v>
      </c>
      <c r="O489">
        <v>98541</v>
      </c>
      <c r="Q489" s="2">
        <f t="shared" si="74"/>
        <v>0.16340381923946856</v>
      </c>
      <c r="T489">
        <v>498785</v>
      </c>
      <c r="U489">
        <v>92799</v>
      </c>
      <c r="W489" s="2">
        <f t="shared" si="75"/>
        <v>0.15686529723589548</v>
      </c>
      <c r="Z489">
        <f t="shared" si="70"/>
        <v>888278</v>
      </c>
      <c r="AA489">
        <f t="shared" si="71"/>
        <v>227488</v>
      </c>
      <c r="AC489" s="2">
        <f t="shared" si="76"/>
        <v>0.20388504399668031</v>
      </c>
      <c r="AD489" s="2"/>
      <c r="AE489">
        <f t="shared" si="77"/>
        <v>885726</v>
      </c>
      <c r="AF489">
        <f t="shared" si="78"/>
        <v>190966</v>
      </c>
      <c r="AH489" s="2">
        <f t="shared" si="79"/>
        <v>0.17736362859573582</v>
      </c>
      <c r="AI489" s="2"/>
      <c r="AJ489" s="2"/>
    </row>
    <row r="490" spans="2:36" x14ac:dyDescent="0.25">
      <c r="B490" s="1">
        <v>42815</v>
      </c>
      <c r="C490">
        <v>361256</v>
      </c>
      <c r="D490">
        <v>127857</v>
      </c>
      <c r="F490" s="2">
        <f t="shared" si="72"/>
        <v>0.26140585099966673</v>
      </c>
      <c r="I490">
        <v>371404</v>
      </c>
      <c r="J490">
        <v>110827</v>
      </c>
      <c r="L490" s="2">
        <f t="shared" si="73"/>
        <v>0.22982139265206925</v>
      </c>
      <c r="N490">
        <v>503451</v>
      </c>
      <c r="O490">
        <v>105710</v>
      </c>
      <c r="Q490" s="2">
        <f t="shared" si="74"/>
        <v>0.17353376201037166</v>
      </c>
      <c r="T490">
        <v>501151</v>
      </c>
      <c r="U490">
        <v>99453</v>
      </c>
      <c r="W490" s="2">
        <f t="shared" si="75"/>
        <v>0.16558830777017802</v>
      </c>
      <c r="Z490">
        <f t="shared" si="70"/>
        <v>864707</v>
      </c>
      <c r="AA490">
        <f t="shared" si="71"/>
        <v>233567</v>
      </c>
      <c r="AC490" s="2">
        <f t="shared" si="76"/>
        <v>0.21266733073895949</v>
      </c>
      <c r="AD490" s="2"/>
      <c r="AE490">
        <f t="shared" si="77"/>
        <v>872555</v>
      </c>
      <c r="AF490">
        <f t="shared" si="78"/>
        <v>210280</v>
      </c>
      <c r="AH490" s="2">
        <f t="shared" si="79"/>
        <v>0.19419394459913097</v>
      </c>
      <c r="AI490" s="2"/>
      <c r="AJ490" s="2"/>
    </row>
    <row r="491" spans="2:36" x14ac:dyDescent="0.25">
      <c r="B491" s="1">
        <v>42822</v>
      </c>
      <c r="C491">
        <v>345055</v>
      </c>
      <c r="D491">
        <v>134810</v>
      </c>
      <c r="F491" s="2">
        <f t="shared" si="72"/>
        <v>0.28093317912329507</v>
      </c>
      <c r="I491">
        <v>361322</v>
      </c>
      <c r="J491">
        <v>116707</v>
      </c>
      <c r="L491" s="2">
        <f t="shared" si="73"/>
        <v>0.24414209179777796</v>
      </c>
      <c r="N491">
        <v>473146</v>
      </c>
      <c r="O491">
        <v>105535</v>
      </c>
      <c r="Q491" s="2">
        <f t="shared" si="74"/>
        <v>0.18237163480397664</v>
      </c>
      <c r="T491">
        <v>477228</v>
      </c>
      <c r="U491">
        <v>104472</v>
      </c>
      <c r="W491" s="2">
        <f t="shared" si="75"/>
        <v>0.17959773078906652</v>
      </c>
      <c r="Z491">
        <f t="shared" si="70"/>
        <v>818201</v>
      </c>
      <c r="AA491">
        <f t="shared" si="71"/>
        <v>240345</v>
      </c>
      <c r="AC491" s="2">
        <f t="shared" si="76"/>
        <v>0.22705201285536952</v>
      </c>
      <c r="AD491" s="2"/>
      <c r="AE491">
        <f t="shared" si="77"/>
        <v>838550</v>
      </c>
      <c r="AF491">
        <f t="shared" si="78"/>
        <v>221179</v>
      </c>
      <c r="AH491" s="2">
        <f t="shared" si="79"/>
        <v>0.20871279355382366</v>
      </c>
      <c r="AI491" s="2"/>
      <c r="AJ491" s="2"/>
    </row>
    <row r="492" spans="2:36" x14ac:dyDescent="0.25">
      <c r="B492" s="1">
        <v>42829</v>
      </c>
      <c r="C492">
        <v>343733</v>
      </c>
      <c r="D492">
        <v>115741</v>
      </c>
      <c r="F492" s="2">
        <f t="shared" si="72"/>
        <v>0.25189891049330321</v>
      </c>
      <c r="I492">
        <v>369762</v>
      </c>
      <c r="J492">
        <v>102732</v>
      </c>
      <c r="L492" s="2">
        <f t="shared" si="73"/>
        <v>0.21742498317438952</v>
      </c>
      <c r="N492">
        <v>486751</v>
      </c>
      <c r="O492">
        <v>92882</v>
      </c>
      <c r="Q492" s="2">
        <f t="shared" si="74"/>
        <v>0.16024277430719092</v>
      </c>
      <c r="T492">
        <v>497953</v>
      </c>
      <c r="U492">
        <v>94634</v>
      </c>
      <c r="W492" s="2">
        <f t="shared" si="75"/>
        <v>0.15969638213460641</v>
      </c>
      <c r="Z492">
        <f t="shared" si="70"/>
        <v>830484</v>
      </c>
      <c r="AA492">
        <f t="shared" si="71"/>
        <v>208623</v>
      </c>
      <c r="AC492" s="2">
        <f t="shared" si="76"/>
        <v>0.20077143162349978</v>
      </c>
      <c r="AD492" s="2"/>
      <c r="AE492">
        <f t="shared" si="77"/>
        <v>867715</v>
      </c>
      <c r="AF492">
        <f t="shared" si="78"/>
        <v>197366</v>
      </c>
      <c r="AH492" s="2">
        <f t="shared" si="79"/>
        <v>0.18530609409049639</v>
      </c>
      <c r="AI492" s="2"/>
      <c r="AJ492" s="2"/>
    </row>
    <row r="493" spans="2:36" x14ac:dyDescent="0.25">
      <c r="B493" s="1">
        <v>42836</v>
      </c>
      <c r="C493">
        <v>354115</v>
      </c>
      <c r="D493">
        <v>77094</v>
      </c>
      <c r="F493" s="2">
        <f t="shared" si="72"/>
        <v>0.17878569324851754</v>
      </c>
      <c r="I493">
        <v>380195</v>
      </c>
      <c r="J493">
        <v>70966</v>
      </c>
      <c r="L493" s="2">
        <f t="shared" si="73"/>
        <v>0.15729639751662933</v>
      </c>
      <c r="N493">
        <v>499566</v>
      </c>
      <c r="O493">
        <v>78098</v>
      </c>
      <c r="Q493" s="2">
        <f t="shared" si="74"/>
        <v>0.13519623864391758</v>
      </c>
      <c r="T493">
        <v>517917</v>
      </c>
      <c r="U493">
        <v>80673</v>
      </c>
      <c r="W493" s="2">
        <f t="shared" si="75"/>
        <v>0.13477171352678796</v>
      </c>
      <c r="Z493">
        <f t="shared" si="70"/>
        <v>853681</v>
      </c>
      <c r="AA493">
        <f t="shared" si="71"/>
        <v>155192</v>
      </c>
      <c r="AC493" s="2">
        <f t="shared" si="76"/>
        <v>0.15382709221081345</v>
      </c>
      <c r="AD493" s="2"/>
      <c r="AE493">
        <f t="shared" si="77"/>
        <v>898112</v>
      </c>
      <c r="AF493">
        <f t="shared" si="78"/>
        <v>151639</v>
      </c>
      <c r="AH493" s="2">
        <f t="shared" si="79"/>
        <v>0.14445235108135168</v>
      </c>
      <c r="AI493" s="2"/>
      <c r="AJ493" s="2"/>
    </row>
    <row r="494" spans="2:36" x14ac:dyDescent="0.25">
      <c r="B494" s="1">
        <v>42843</v>
      </c>
      <c r="C494">
        <v>366681</v>
      </c>
      <c r="D494">
        <v>73576</v>
      </c>
      <c r="F494" s="2">
        <f t="shared" si="72"/>
        <v>0.16712056821356616</v>
      </c>
      <c r="I494">
        <v>386717</v>
      </c>
      <c r="J494">
        <v>63353</v>
      </c>
      <c r="L494" s="2">
        <f t="shared" si="73"/>
        <v>0.14076254804808142</v>
      </c>
      <c r="N494">
        <v>495938</v>
      </c>
      <c r="O494">
        <v>80804</v>
      </c>
      <c r="Q494" s="2">
        <f t="shared" si="74"/>
        <v>0.1401042407176866</v>
      </c>
      <c r="T494">
        <v>507526</v>
      </c>
      <c r="U494">
        <v>80093</v>
      </c>
      <c r="W494" s="2">
        <f t="shared" si="75"/>
        <v>0.13630090245550264</v>
      </c>
      <c r="Z494">
        <f t="shared" si="70"/>
        <v>862619</v>
      </c>
      <c r="AA494">
        <f t="shared" si="71"/>
        <v>154380</v>
      </c>
      <c r="AC494" s="2">
        <f t="shared" si="76"/>
        <v>0.15179955929160205</v>
      </c>
      <c r="AD494" s="2"/>
      <c r="AE494">
        <f t="shared" si="77"/>
        <v>894243</v>
      </c>
      <c r="AF494">
        <f t="shared" si="78"/>
        <v>143446</v>
      </c>
      <c r="AH494" s="2">
        <f t="shared" si="79"/>
        <v>0.13823602254625422</v>
      </c>
      <c r="AI494" s="2"/>
      <c r="AJ494" s="2"/>
    </row>
    <row r="495" spans="2:36" x14ac:dyDescent="0.25">
      <c r="B495" s="1">
        <v>42850</v>
      </c>
      <c r="C495">
        <v>318733</v>
      </c>
      <c r="D495">
        <v>97783</v>
      </c>
      <c r="F495" s="2">
        <f t="shared" si="72"/>
        <v>0.23476409069519538</v>
      </c>
      <c r="I495">
        <v>335252</v>
      </c>
      <c r="J495">
        <v>79831</v>
      </c>
      <c r="L495" s="2">
        <f t="shared" si="73"/>
        <v>0.19232539034361804</v>
      </c>
      <c r="N495">
        <v>444994</v>
      </c>
      <c r="O495">
        <v>98821</v>
      </c>
      <c r="Q495" s="2">
        <f t="shared" si="74"/>
        <v>0.18171804749777037</v>
      </c>
      <c r="T495">
        <v>457283</v>
      </c>
      <c r="U495">
        <v>99017</v>
      </c>
      <c r="W495" s="2">
        <f t="shared" si="75"/>
        <v>0.17799209059859789</v>
      </c>
      <c r="Z495">
        <f t="shared" si="70"/>
        <v>763727</v>
      </c>
      <c r="AA495">
        <f t="shared" si="71"/>
        <v>196604</v>
      </c>
      <c r="AC495" s="2">
        <f t="shared" si="76"/>
        <v>0.20472524577463394</v>
      </c>
      <c r="AD495" s="2"/>
      <c r="AE495">
        <f t="shared" si="77"/>
        <v>792535</v>
      </c>
      <c r="AF495">
        <f t="shared" si="78"/>
        <v>178848</v>
      </c>
      <c r="AH495" s="2">
        <f t="shared" si="79"/>
        <v>0.1841168725415207</v>
      </c>
      <c r="AI495" s="2"/>
      <c r="AJ495" s="2"/>
    </row>
    <row r="496" spans="2:36" x14ac:dyDescent="0.25">
      <c r="B496" s="1">
        <v>42857</v>
      </c>
      <c r="C496">
        <v>299554</v>
      </c>
      <c r="D496">
        <v>136549</v>
      </c>
      <c r="F496" s="2">
        <f t="shared" si="72"/>
        <v>0.31311181074195776</v>
      </c>
      <c r="I496">
        <v>312270</v>
      </c>
      <c r="J496">
        <v>109166</v>
      </c>
      <c r="L496" s="2">
        <f t="shared" si="73"/>
        <v>0.25903340008921877</v>
      </c>
      <c r="N496">
        <v>441156</v>
      </c>
      <c r="O496">
        <v>131001</v>
      </c>
      <c r="Q496" s="2">
        <f t="shared" si="74"/>
        <v>0.22895988338865031</v>
      </c>
      <c r="T496">
        <v>450103</v>
      </c>
      <c r="U496">
        <v>127546</v>
      </c>
      <c r="W496" s="2">
        <f t="shared" si="75"/>
        <v>0.22080190565551053</v>
      </c>
      <c r="Z496">
        <f t="shared" si="70"/>
        <v>740710</v>
      </c>
      <c r="AA496">
        <f t="shared" si="71"/>
        <v>267550</v>
      </c>
      <c r="AC496" s="2">
        <f t="shared" si="76"/>
        <v>0.26535814174915201</v>
      </c>
      <c r="AD496" s="2"/>
      <c r="AE496">
        <f t="shared" si="77"/>
        <v>762373</v>
      </c>
      <c r="AF496">
        <f t="shared" si="78"/>
        <v>236712</v>
      </c>
      <c r="AH496" s="2">
        <f t="shared" si="79"/>
        <v>0.23692878984270607</v>
      </c>
      <c r="AI496" s="2"/>
      <c r="AJ496" s="2"/>
    </row>
    <row r="497" spans="2:36" x14ac:dyDescent="0.25">
      <c r="B497" s="1">
        <v>42864</v>
      </c>
      <c r="C497">
        <v>299622</v>
      </c>
      <c r="D497">
        <v>183771</v>
      </c>
      <c r="F497" s="2">
        <f t="shared" si="72"/>
        <v>0.38016893086991332</v>
      </c>
      <c r="I497">
        <v>318815</v>
      </c>
      <c r="J497">
        <v>150001</v>
      </c>
      <c r="L497" s="2">
        <f t="shared" si="73"/>
        <v>0.31995708337599399</v>
      </c>
      <c r="N497">
        <v>431729</v>
      </c>
      <c r="O497">
        <v>163742</v>
      </c>
      <c r="Q497" s="2">
        <f t="shared" si="74"/>
        <v>0.27497896623009349</v>
      </c>
      <c r="T497">
        <v>438572</v>
      </c>
      <c r="U497">
        <v>157894</v>
      </c>
      <c r="W497" s="2">
        <f t="shared" si="75"/>
        <v>0.26471584298182965</v>
      </c>
      <c r="Z497">
        <f t="shared" si="70"/>
        <v>731351</v>
      </c>
      <c r="AA497">
        <f t="shared" si="71"/>
        <v>347513</v>
      </c>
      <c r="AC497" s="2">
        <f t="shared" si="76"/>
        <v>0.32211010841032789</v>
      </c>
      <c r="AD497" s="2"/>
      <c r="AE497">
        <f t="shared" si="77"/>
        <v>757387</v>
      </c>
      <c r="AF497">
        <f t="shared" si="78"/>
        <v>307895</v>
      </c>
      <c r="AH497" s="2">
        <f t="shared" si="79"/>
        <v>0.28902675535679756</v>
      </c>
      <c r="AI497" s="2"/>
      <c r="AJ497" s="2"/>
    </row>
    <row r="498" spans="2:36" x14ac:dyDescent="0.25">
      <c r="B498" s="1">
        <v>42871</v>
      </c>
      <c r="C498">
        <v>293217</v>
      </c>
      <c r="D498">
        <v>177657</v>
      </c>
      <c r="F498" s="2">
        <f t="shared" si="72"/>
        <v>0.37729201442424087</v>
      </c>
      <c r="I498">
        <v>322879</v>
      </c>
      <c r="J498">
        <v>161585</v>
      </c>
      <c r="L498" s="2">
        <f t="shared" si="73"/>
        <v>0.33353355460880479</v>
      </c>
      <c r="N498">
        <v>445495</v>
      </c>
      <c r="O498">
        <v>164720</v>
      </c>
      <c r="Q498" s="2">
        <f t="shared" si="74"/>
        <v>0.26993764492842687</v>
      </c>
      <c r="T498">
        <v>459423</v>
      </c>
      <c r="U498">
        <v>163024</v>
      </c>
      <c r="W498" s="2">
        <f t="shared" si="75"/>
        <v>0.26190824279014918</v>
      </c>
      <c r="Z498">
        <f t="shared" si="70"/>
        <v>738712</v>
      </c>
      <c r="AA498">
        <f t="shared" si="71"/>
        <v>342377</v>
      </c>
      <c r="AC498" s="2">
        <f t="shared" si="76"/>
        <v>0.31669640519883191</v>
      </c>
      <c r="AD498" s="2"/>
      <c r="AE498">
        <f t="shared" si="77"/>
        <v>782302</v>
      </c>
      <c r="AF498">
        <f t="shared" si="78"/>
        <v>324609</v>
      </c>
      <c r="AH498" s="2">
        <f t="shared" si="79"/>
        <v>0.29325663942268165</v>
      </c>
      <c r="AI498" s="2"/>
      <c r="AJ498" s="2"/>
    </row>
    <row r="499" spans="2:36" x14ac:dyDescent="0.25">
      <c r="B499" s="1">
        <v>42878</v>
      </c>
      <c r="C499">
        <v>287276</v>
      </c>
      <c r="D499">
        <v>114532</v>
      </c>
      <c r="F499" s="2">
        <f t="shared" si="72"/>
        <v>0.28504161191414806</v>
      </c>
      <c r="I499">
        <v>310397</v>
      </c>
      <c r="J499">
        <v>117254</v>
      </c>
      <c r="L499" s="2">
        <f t="shared" si="73"/>
        <v>0.27418151717171246</v>
      </c>
      <c r="N499">
        <v>448647</v>
      </c>
      <c r="O499">
        <v>121626</v>
      </c>
      <c r="Q499" s="2">
        <f t="shared" si="74"/>
        <v>0.21327679900679147</v>
      </c>
      <c r="T499">
        <v>472013</v>
      </c>
      <c r="U499">
        <v>124161</v>
      </c>
      <c r="W499" s="2">
        <f t="shared" si="75"/>
        <v>0.2082630238822894</v>
      </c>
      <c r="Z499">
        <f t="shared" si="70"/>
        <v>735923</v>
      </c>
      <c r="AA499">
        <f t="shared" si="71"/>
        <v>236158</v>
      </c>
      <c r="AC499" s="2">
        <f t="shared" si="76"/>
        <v>0.24294066029476968</v>
      </c>
      <c r="AD499" s="2"/>
      <c r="AE499">
        <f t="shared" si="77"/>
        <v>782410</v>
      </c>
      <c r="AF499">
        <f t="shared" si="78"/>
        <v>241415</v>
      </c>
      <c r="AH499" s="2">
        <f t="shared" si="79"/>
        <v>0.23579713329914781</v>
      </c>
      <c r="AI499" s="2"/>
      <c r="AJ499" s="2"/>
    </row>
    <row r="500" spans="2:36" x14ac:dyDescent="0.25">
      <c r="B500" s="1">
        <v>42885</v>
      </c>
      <c r="C500">
        <v>289584</v>
      </c>
      <c r="D500">
        <v>104388</v>
      </c>
      <c r="F500" s="2">
        <f t="shared" si="72"/>
        <v>0.2649629922938686</v>
      </c>
      <c r="I500">
        <v>307751</v>
      </c>
      <c r="J500">
        <v>101648</v>
      </c>
      <c r="L500" s="2">
        <f t="shared" si="73"/>
        <v>0.24828590201734738</v>
      </c>
      <c r="N500">
        <v>445758</v>
      </c>
      <c r="O500">
        <v>111453</v>
      </c>
      <c r="Q500" s="2">
        <f t="shared" si="74"/>
        <v>0.20001938224478699</v>
      </c>
      <c r="T500">
        <v>462629</v>
      </c>
      <c r="U500">
        <v>112749</v>
      </c>
      <c r="W500" s="2">
        <f t="shared" si="75"/>
        <v>0.19595639735964879</v>
      </c>
      <c r="Z500">
        <f t="shared" si="70"/>
        <v>735342</v>
      </c>
      <c r="AA500">
        <f t="shared" si="71"/>
        <v>215841</v>
      </c>
      <c r="AC500" s="2">
        <f t="shared" si="76"/>
        <v>0.22691847940932502</v>
      </c>
      <c r="AD500" s="2"/>
      <c r="AE500">
        <f t="shared" si="77"/>
        <v>770380</v>
      </c>
      <c r="AF500">
        <f t="shared" si="78"/>
        <v>214397</v>
      </c>
      <c r="AH500" s="2">
        <f t="shared" si="79"/>
        <v>0.21771121786962938</v>
      </c>
      <c r="AI500" s="2"/>
      <c r="AJ500" s="2"/>
    </row>
    <row r="501" spans="2:36" x14ac:dyDescent="0.25">
      <c r="B501" s="1">
        <v>42892</v>
      </c>
      <c r="C501">
        <v>308157</v>
      </c>
      <c r="D501">
        <v>106567</v>
      </c>
      <c r="F501" s="2">
        <f t="shared" si="72"/>
        <v>0.25695884491854826</v>
      </c>
      <c r="I501">
        <v>315299</v>
      </c>
      <c r="J501">
        <v>94159</v>
      </c>
      <c r="L501" s="2">
        <f t="shared" si="73"/>
        <v>0.22996009358713226</v>
      </c>
      <c r="N501">
        <v>443425</v>
      </c>
      <c r="O501">
        <v>144897</v>
      </c>
      <c r="Q501" s="2">
        <f t="shared" si="74"/>
        <v>0.24628859706079323</v>
      </c>
      <c r="T501">
        <v>453256</v>
      </c>
      <c r="U501">
        <v>145733</v>
      </c>
      <c r="W501" s="2">
        <f t="shared" si="75"/>
        <v>0.24329829095359012</v>
      </c>
      <c r="Z501">
        <f t="shared" si="70"/>
        <v>751582</v>
      </c>
      <c r="AA501">
        <f t="shared" si="71"/>
        <v>251464</v>
      </c>
      <c r="AC501" s="2">
        <f t="shared" si="76"/>
        <v>0.25070036668308332</v>
      </c>
      <c r="AD501" s="2"/>
      <c r="AE501">
        <f t="shared" si="77"/>
        <v>768555</v>
      </c>
      <c r="AF501">
        <f t="shared" si="78"/>
        <v>239892</v>
      </c>
      <c r="AH501" s="2">
        <f t="shared" si="79"/>
        <v>0.23788260563024136</v>
      </c>
      <c r="AI501" s="2"/>
      <c r="AJ501" s="2"/>
    </row>
    <row r="502" spans="2:36" x14ac:dyDescent="0.25">
      <c r="B502" s="1">
        <v>42899</v>
      </c>
      <c r="C502">
        <v>317192</v>
      </c>
      <c r="D502">
        <v>148565</v>
      </c>
      <c r="F502" s="2">
        <f t="shared" si="72"/>
        <v>0.31897534551278883</v>
      </c>
      <c r="I502">
        <v>319578</v>
      </c>
      <c r="J502">
        <v>124280</v>
      </c>
      <c r="L502" s="2">
        <f t="shared" si="73"/>
        <v>0.27999945928652858</v>
      </c>
      <c r="N502">
        <v>440322</v>
      </c>
      <c r="O502">
        <v>162339</v>
      </c>
      <c r="Q502" s="2">
        <f t="shared" si="74"/>
        <v>0.26937034253087555</v>
      </c>
      <c r="T502">
        <v>445591</v>
      </c>
      <c r="U502">
        <v>162434</v>
      </c>
      <c r="W502" s="2">
        <f t="shared" si="75"/>
        <v>0.26715019941614243</v>
      </c>
      <c r="Z502">
        <f t="shared" si="70"/>
        <v>757514</v>
      </c>
      <c r="AA502">
        <f t="shared" si="71"/>
        <v>310904</v>
      </c>
      <c r="AC502" s="2">
        <f t="shared" si="76"/>
        <v>0.29099472303911017</v>
      </c>
      <c r="AD502" s="2"/>
      <c r="AE502">
        <f t="shared" si="77"/>
        <v>765169</v>
      </c>
      <c r="AF502">
        <f t="shared" si="78"/>
        <v>286714</v>
      </c>
      <c r="AH502" s="2">
        <f t="shared" si="79"/>
        <v>0.2725721396771314</v>
      </c>
      <c r="AI502" s="2"/>
      <c r="AJ502" s="2"/>
    </row>
    <row r="503" spans="2:36" x14ac:dyDescent="0.25">
      <c r="B503" s="1">
        <v>42906</v>
      </c>
      <c r="C503">
        <v>299982</v>
      </c>
      <c r="D503">
        <v>189233</v>
      </c>
      <c r="F503" s="2">
        <f t="shared" si="72"/>
        <v>0.38680948049426123</v>
      </c>
      <c r="I503">
        <v>301476</v>
      </c>
      <c r="J503">
        <v>166734</v>
      </c>
      <c r="L503" s="2">
        <f t="shared" si="73"/>
        <v>0.35610943807265971</v>
      </c>
      <c r="N503">
        <v>396108</v>
      </c>
      <c r="O503">
        <v>168256</v>
      </c>
      <c r="Q503" s="2">
        <f t="shared" si="74"/>
        <v>0.2981338285220177</v>
      </c>
      <c r="T503">
        <v>397799</v>
      </c>
      <c r="U503">
        <v>168804</v>
      </c>
      <c r="W503" s="2">
        <f t="shared" si="75"/>
        <v>0.2979228842769982</v>
      </c>
      <c r="Z503">
        <f t="shared" si="70"/>
        <v>696090</v>
      </c>
      <c r="AA503">
        <f t="shared" si="71"/>
        <v>357489</v>
      </c>
      <c r="AC503" s="2">
        <f t="shared" si="76"/>
        <v>0.33930915479522655</v>
      </c>
      <c r="AD503" s="2"/>
      <c r="AE503">
        <f t="shared" si="77"/>
        <v>699275</v>
      </c>
      <c r="AF503">
        <f t="shared" si="78"/>
        <v>335538</v>
      </c>
      <c r="AH503" s="2">
        <f t="shared" si="79"/>
        <v>0.32424988862722059</v>
      </c>
      <c r="AI503" s="2"/>
      <c r="AJ503" s="2"/>
    </row>
    <row r="504" spans="2:36" x14ac:dyDescent="0.25">
      <c r="B504" s="1">
        <v>42913</v>
      </c>
      <c r="C504">
        <v>308260</v>
      </c>
      <c r="D504">
        <v>202277</v>
      </c>
      <c r="F504" s="2">
        <f t="shared" si="72"/>
        <v>0.39620438871227748</v>
      </c>
      <c r="I504">
        <v>314090</v>
      </c>
      <c r="J504">
        <v>180484</v>
      </c>
      <c r="L504" s="2">
        <f t="shared" si="73"/>
        <v>0.36492820083546651</v>
      </c>
      <c r="N504">
        <v>380639</v>
      </c>
      <c r="O504">
        <v>174433</v>
      </c>
      <c r="Q504" s="2">
        <f t="shared" si="74"/>
        <v>0.31425292574656982</v>
      </c>
      <c r="T504">
        <v>378151</v>
      </c>
      <c r="U504">
        <v>177947</v>
      </c>
      <c r="W504" s="2">
        <f t="shared" si="75"/>
        <v>0.31999215965531258</v>
      </c>
      <c r="Z504">
        <f t="shared" si="70"/>
        <v>688899</v>
      </c>
      <c r="AA504">
        <f t="shared" si="71"/>
        <v>376710</v>
      </c>
      <c r="AC504" s="2">
        <f t="shared" si="76"/>
        <v>0.35351615836577954</v>
      </c>
      <c r="AD504" s="2"/>
      <c r="AE504">
        <f t="shared" si="77"/>
        <v>692241</v>
      </c>
      <c r="AF504">
        <f t="shared" si="78"/>
        <v>358431</v>
      </c>
      <c r="AH504" s="2">
        <f t="shared" si="79"/>
        <v>0.341144524647083</v>
      </c>
      <c r="AI504" s="2"/>
      <c r="AJ504" s="2"/>
    </row>
    <row r="505" spans="2:36" x14ac:dyDescent="0.25">
      <c r="B505" s="1">
        <v>42920</v>
      </c>
      <c r="C505">
        <v>309364</v>
      </c>
      <c r="D505">
        <v>181396</v>
      </c>
      <c r="F505" s="2">
        <f t="shared" si="72"/>
        <v>0.36962262613089902</v>
      </c>
      <c r="I505">
        <v>316447</v>
      </c>
      <c r="J505">
        <v>166496</v>
      </c>
      <c r="L505" s="2">
        <f t="shared" si="73"/>
        <v>0.34475290044580831</v>
      </c>
      <c r="N505">
        <v>397108</v>
      </c>
      <c r="O505">
        <v>159249</v>
      </c>
      <c r="Q505" s="2">
        <f t="shared" si="74"/>
        <v>0.28623527698941509</v>
      </c>
      <c r="T505">
        <v>396147</v>
      </c>
      <c r="U505">
        <v>165280</v>
      </c>
      <c r="W505" s="2">
        <f t="shared" si="75"/>
        <v>0.29439268150623321</v>
      </c>
      <c r="Z505">
        <f t="shared" si="70"/>
        <v>706472</v>
      </c>
      <c r="AA505">
        <f t="shared" si="71"/>
        <v>340645</v>
      </c>
      <c r="AC505" s="2">
        <f t="shared" si="76"/>
        <v>0.32531703716012633</v>
      </c>
      <c r="AD505" s="2"/>
      <c r="AE505">
        <f t="shared" si="77"/>
        <v>712594</v>
      </c>
      <c r="AF505">
        <f t="shared" si="78"/>
        <v>331776</v>
      </c>
      <c r="AH505" s="2">
        <f t="shared" si="79"/>
        <v>0.31768051552610665</v>
      </c>
      <c r="AI505" s="2"/>
      <c r="AJ505" s="2"/>
    </row>
    <row r="506" spans="2:36" x14ac:dyDescent="0.25">
      <c r="B506" s="1">
        <v>42927</v>
      </c>
      <c r="C506">
        <v>308829</v>
      </c>
      <c r="D506">
        <v>151574</v>
      </c>
      <c r="F506" s="2">
        <f t="shared" si="72"/>
        <v>0.32922027006774501</v>
      </c>
      <c r="I506">
        <v>309899</v>
      </c>
      <c r="J506">
        <v>131245</v>
      </c>
      <c r="L506" s="2">
        <f t="shared" si="73"/>
        <v>0.29751056344413618</v>
      </c>
      <c r="N506">
        <v>389740</v>
      </c>
      <c r="O506">
        <v>151096</v>
      </c>
      <c r="Q506" s="2">
        <f t="shared" si="74"/>
        <v>0.2793748936831128</v>
      </c>
      <c r="T506">
        <v>386843</v>
      </c>
      <c r="U506">
        <v>154708</v>
      </c>
      <c r="W506" s="2">
        <f t="shared" si="75"/>
        <v>0.28567577199562</v>
      </c>
      <c r="Z506">
        <f t="shared" si="70"/>
        <v>698569</v>
      </c>
      <c r="AA506">
        <f t="shared" si="71"/>
        <v>302670</v>
      </c>
      <c r="AC506" s="2">
        <f t="shared" si="76"/>
        <v>0.3022954559301026</v>
      </c>
      <c r="AD506" s="2"/>
      <c r="AE506">
        <f t="shared" si="77"/>
        <v>696742</v>
      </c>
      <c r="AF506">
        <f t="shared" si="78"/>
        <v>285953</v>
      </c>
      <c r="AH506" s="2">
        <f t="shared" si="79"/>
        <v>0.29098855697851317</v>
      </c>
      <c r="AI506" s="2"/>
      <c r="AJ506" s="2"/>
    </row>
    <row r="507" spans="2:36" x14ac:dyDescent="0.25">
      <c r="B507" s="1">
        <v>42934</v>
      </c>
      <c r="C507">
        <v>328364</v>
      </c>
      <c r="D507">
        <v>119023</v>
      </c>
      <c r="F507" s="2">
        <f t="shared" si="72"/>
        <v>0.26604036326491382</v>
      </c>
      <c r="I507">
        <v>324027</v>
      </c>
      <c r="J507">
        <v>108539</v>
      </c>
      <c r="L507" s="2">
        <f t="shared" si="73"/>
        <v>0.25091893491397843</v>
      </c>
      <c r="N507">
        <v>402935</v>
      </c>
      <c r="O507">
        <v>130728</v>
      </c>
      <c r="Q507" s="2">
        <f t="shared" si="74"/>
        <v>0.24496358188594675</v>
      </c>
      <c r="T507">
        <v>399585</v>
      </c>
      <c r="U507">
        <v>137933</v>
      </c>
      <c r="W507" s="2">
        <f t="shared" si="75"/>
        <v>0.25661094140103213</v>
      </c>
      <c r="Z507">
        <f t="shared" si="70"/>
        <v>731299</v>
      </c>
      <c r="AA507">
        <f t="shared" si="71"/>
        <v>249751</v>
      </c>
      <c r="AC507" s="2">
        <f t="shared" si="76"/>
        <v>0.25457520004077266</v>
      </c>
      <c r="AD507" s="2"/>
      <c r="AE507">
        <f t="shared" si="77"/>
        <v>723612</v>
      </c>
      <c r="AF507">
        <f t="shared" si="78"/>
        <v>246472</v>
      </c>
      <c r="AH507" s="2">
        <f t="shared" si="79"/>
        <v>0.25407284317646717</v>
      </c>
      <c r="AI507" s="2"/>
      <c r="AJ507" s="2"/>
    </row>
    <row r="508" spans="2:36" x14ac:dyDescent="0.25">
      <c r="B508" s="1">
        <v>42941</v>
      </c>
      <c r="C508">
        <v>327029</v>
      </c>
      <c r="D508">
        <v>90169</v>
      </c>
      <c r="F508" s="2">
        <f t="shared" si="72"/>
        <v>0.21612999103543162</v>
      </c>
      <c r="I508">
        <v>323254</v>
      </c>
      <c r="J508">
        <v>84753</v>
      </c>
      <c r="L508" s="2">
        <f t="shared" si="73"/>
        <v>0.20772437727784082</v>
      </c>
      <c r="N508">
        <v>401963</v>
      </c>
      <c r="O508">
        <v>101952</v>
      </c>
      <c r="Q508" s="2">
        <f t="shared" si="74"/>
        <v>0.20231983568657413</v>
      </c>
      <c r="T508">
        <v>399235</v>
      </c>
      <c r="U508">
        <v>110664</v>
      </c>
      <c r="W508" s="2">
        <f t="shared" si="75"/>
        <v>0.21703121598591094</v>
      </c>
      <c r="Z508">
        <f t="shared" si="70"/>
        <v>728992</v>
      </c>
      <c r="AA508">
        <f t="shared" si="71"/>
        <v>192121</v>
      </c>
      <c r="AC508" s="2">
        <f t="shared" si="76"/>
        <v>0.20857484369453042</v>
      </c>
      <c r="AD508" s="2"/>
      <c r="AE508">
        <f t="shared" si="77"/>
        <v>722489</v>
      </c>
      <c r="AF508">
        <f t="shared" si="78"/>
        <v>195417</v>
      </c>
      <c r="AH508" s="2">
        <f t="shared" si="79"/>
        <v>0.21289434865879514</v>
      </c>
      <c r="AI508" s="2"/>
      <c r="AJ508" s="2"/>
    </row>
    <row r="509" spans="2:36" x14ac:dyDescent="0.25">
      <c r="B509" s="1">
        <v>42948</v>
      </c>
      <c r="C509">
        <v>374771</v>
      </c>
      <c r="D509">
        <v>84892</v>
      </c>
      <c r="F509" s="2">
        <f t="shared" si="72"/>
        <v>0.18468312655140831</v>
      </c>
      <c r="I509">
        <v>365737</v>
      </c>
      <c r="J509">
        <v>83375</v>
      </c>
      <c r="L509" s="2">
        <f t="shared" si="73"/>
        <v>0.18564411549902921</v>
      </c>
      <c r="N509">
        <v>431612</v>
      </c>
      <c r="O509">
        <v>73057</v>
      </c>
      <c r="Q509" s="2">
        <f t="shared" si="74"/>
        <v>0.14476221047855128</v>
      </c>
      <c r="T509">
        <v>424627</v>
      </c>
      <c r="U509">
        <v>82279</v>
      </c>
      <c r="W509" s="2">
        <f t="shared" si="75"/>
        <v>0.16231609016267315</v>
      </c>
      <c r="Z509">
        <f t="shared" si="70"/>
        <v>806383</v>
      </c>
      <c r="AA509">
        <f t="shared" si="71"/>
        <v>157949</v>
      </c>
      <c r="AC509" s="2">
        <f t="shared" si="76"/>
        <v>0.16379110099011543</v>
      </c>
      <c r="AD509" s="2"/>
      <c r="AE509">
        <f t="shared" si="77"/>
        <v>790364</v>
      </c>
      <c r="AF509">
        <f t="shared" si="78"/>
        <v>165654</v>
      </c>
      <c r="AH509" s="2">
        <f t="shared" si="79"/>
        <v>0.17327498017819748</v>
      </c>
      <c r="AI509" s="2"/>
      <c r="AJ509" s="2"/>
    </row>
    <row r="510" spans="2:36" x14ac:dyDescent="0.25">
      <c r="B510" s="1">
        <v>42955</v>
      </c>
      <c r="C510">
        <v>373065</v>
      </c>
      <c r="D510">
        <v>87801</v>
      </c>
      <c r="F510" s="2">
        <f t="shared" si="72"/>
        <v>0.19051307755399619</v>
      </c>
      <c r="I510">
        <v>365351</v>
      </c>
      <c r="J510">
        <v>85242</v>
      </c>
      <c r="L510" s="2">
        <f t="shared" si="73"/>
        <v>0.18917737292856301</v>
      </c>
      <c r="N510">
        <v>474354</v>
      </c>
      <c r="O510">
        <v>57069</v>
      </c>
      <c r="Q510" s="2">
        <f t="shared" si="74"/>
        <v>0.10738902907853067</v>
      </c>
      <c r="T510">
        <v>464238</v>
      </c>
      <c r="U510">
        <v>63635</v>
      </c>
      <c r="W510" s="2">
        <f t="shared" si="75"/>
        <v>0.12054982922028594</v>
      </c>
      <c r="Z510">
        <f t="shared" si="70"/>
        <v>847419</v>
      </c>
      <c r="AA510">
        <f t="shared" si="71"/>
        <v>144870</v>
      </c>
      <c r="AC510" s="2">
        <f t="shared" si="76"/>
        <v>0.14599577340875491</v>
      </c>
      <c r="AD510" s="2"/>
      <c r="AE510">
        <f t="shared" si="77"/>
        <v>829589</v>
      </c>
      <c r="AF510">
        <f t="shared" si="78"/>
        <v>148877</v>
      </c>
      <c r="AH510" s="2">
        <f t="shared" si="79"/>
        <v>0.15215347288510792</v>
      </c>
      <c r="AI510" s="2"/>
      <c r="AJ510" s="2"/>
    </row>
    <row r="511" spans="2:36" x14ac:dyDescent="0.25">
      <c r="B511" s="1">
        <v>42962</v>
      </c>
      <c r="C511">
        <v>363317</v>
      </c>
      <c r="D511">
        <v>94020</v>
      </c>
      <c r="F511" s="2">
        <f t="shared" si="72"/>
        <v>0.20558144213129487</v>
      </c>
      <c r="I511">
        <v>357455</v>
      </c>
      <c r="J511">
        <v>83014</v>
      </c>
      <c r="L511" s="2">
        <f t="shared" si="73"/>
        <v>0.18846729281742869</v>
      </c>
      <c r="N511">
        <v>491202</v>
      </c>
      <c r="O511">
        <v>60090</v>
      </c>
      <c r="Q511" s="2">
        <f t="shared" si="74"/>
        <v>0.10899849807361615</v>
      </c>
      <c r="T511">
        <v>484971</v>
      </c>
      <c r="U511">
        <v>66059</v>
      </c>
      <c r="W511" s="2">
        <f t="shared" si="75"/>
        <v>0.1198827650037203</v>
      </c>
      <c r="Z511">
        <f t="shared" si="70"/>
        <v>854519</v>
      </c>
      <c r="AA511">
        <f t="shared" si="71"/>
        <v>154110</v>
      </c>
      <c r="AC511" s="2">
        <f t="shared" si="76"/>
        <v>0.15279156161482568</v>
      </c>
      <c r="AD511" s="2"/>
      <c r="AE511">
        <f t="shared" si="77"/>
        <v>842426</v>
      </c>
      <c r="AF511">
        <f t="shared" si="78"/>
        <v>149073</v>
      </c>
      <c r="AH511" s="2">
        <f t="shared" si="79"/>
        <v>0.15035113499862329</v>
      </c>
      <c r="AI511" s="2"/>
      <c r="AJ511" s="2"/>
    </row>
    <row r="512" spans="2:36" x14ac:dyDescent="0.25">
      <c r="B512" s="1">
        <v>42969</v>
      </c>
      <c r="C512">
        <v>347101</v>
      </c>
      <c r="D512">
        <v>94806</v>
      </c>
      <c r="F512" s="2">
        <f t="shared" si="72"/>
        <v>0.21453835309239275</v>
      </c>
      <c r="I512">
        <v>343734</v>
      </c>
      <c r="J512">
        <v>90760</v>
      </c>
      <c r="L512" s="2">
        <f t="shared" si="73"/>
        <v>0.20888665896422046</v>
      </c>
      <c r="N512">
        <v>493631</v>
      </c>
      <c r="O512">
        <v>62044</v>
      </c>
      <c r="Q512" s="2">
        <f t="shared" si="74"/>
        <v>0.11165519413326135</v>
      </c>
      <c r="T512">
        <v>487729</v>
      </c>
      <c r="U512">
        <v>69882</v>
      </c>
      <c r="W512" s="2">
        <f t="shared" si="75"/>
        <v>0.12532392653659988</v>
      </c>
      <c r="Z512">
        <f t="shared" si="70"/>
        <v>840732</v>
      </c>
      <c r="AA512">
        <f t="shared" si="71"/>
        <v>156850</v>
      </c>
      <c r="AC512" s="2">
        <f t="shared" si="76"/>
        <v>0.15723018258148203</v>
      </c>
      <c r="AD512" s="2"/>
      <c r="AE512">
        <f t="shared" si="77"/>
        <v>831463</v>
      </c>
      <c r="AF512">
        <f t="shared" si="78"/>
        <v>160642</v>
      </c>
      <c r="AH512" s="2">
        <f t="shared" si="79"/>
        <v>0.16192036125208523</v>
      </c>
      <c r="AI512" s="2"/>
      <c r="AJ512" s="2"/>
    </row>
    <row r="513" spans="2:36" x14ac:dyDescent="0.25">
      <c r="B513" s="1">
        <v>42976</v>
      </c>
      <c r="C513">
        <v>315519</v>
      </c>
      <c r="D513">
        <v>176960</v>
      </c>
      <c r="F513" s="2">
        <f t="shared" si="72"/>
        <v>0.35932496614068821</v>
      </c>
      <c r="I513">
        <v>316176</v>
      </c>
      <c r="J513">
        <v>168873</v>
      </c>
      <c r="L513" s="2">
        <f t="shared" si="73"/>
        <v>0.34815657799521288</v>
      </c>
      <c r="N513">
        <v>493314</v>
      </c>
      <c r="O513">
        <v>62490</v>
      </c>
      <c r="Q513" s="2">
        <f t="shared" si="74"/>
        <v>0.11243172053457694</v>
      </c>
      <c r="T513">
        <v>486135</v>
      </c>
      <c r="U513">
        <v>69584</v>
      </c>
      <c r="W513" s="2">
        <f t="shared" si="75"/>
        <v>0.1252143619347188</v>
      </c>
      <c r="Z513">
        <f t="shared" si="70"/>
        <v>808833</v>
      </c>
      <c r="AA513">
        <f t="shared" si="71"/>
        <v>239450</v>
      </c>
      <c r="AC513" s="2">
        <f t="shared" si="76"/>
        <v>0.22842114200077651</v>
      </c>
      <c r="AD513" s="2"/>
      <c r="AE513">
        <f t="shared" si="77"/>
        <v>802311</v>
      </c>
      <c r="AF513">
        <f t="shared" si="78"/>
        <v>238457</v>
      </c>
      <c r="AH513" s="2">
        <f t="shared" si="79"/>
        <v>0.22911638328618866</v>
      </c>
      <c r="AI513" s="2"/>
      <c r="AJ513" s="2"/>
    </row>
    <row r="514" spans="2:36" x14ac:dyDescent="0.25">
      <c r="B514" s="1">
        <v>42983</v>
      </c>
      <c r="C514">
        <v>328634</v>
      </c>
      <c r="D514">
        <v>158959</v>
      </c>
      <c r="F514" s="2">
        <f t="shared" si="72"/>
        <v>0.32600755137994186</v>
      </c>
      <c r="I514">
        <v>326621</v>
      </c>
      <c r="J514">
        <v>156636</v>
      </c>
      <c r="L514" s="2">
        <f t="shared" si="73"/>
        <v>0.32412567226134337</v>
      </c>
      <c r="N514">
        <v>494210</v>
      </c>
      <c r="O514">
        <v>64036</v>
      </c>
      <c r="Q514" s="2">
        <f t="shared" si="74"/>
        <v>0.1147092858703869</v>
      </c>
      <c r="T514">
        <v>486018</v>
      </c>
      <c r="U514">
        <v>72281</v>
      </c>
      <c r="W514" s="2">
        <f t="shared" si="75"/>
        <v>0.12946646868434297</v>
      </c>
      <c r="Z514">
        <f t="shared" si="70"/>
        <v>822844</v>
      </c>
      <c r="AA514">
        <f t="shared" si="71"/>
        <v>222995</v>
      </c>
      <c r="AC514" s="2">
        <f t="shared" si="76"/>
        <v>0.21322115545509396</v>
      </c>
      <c r="AD514" s="2"/>
      <c r="AE514">
        <f t="shared" si="77"/>
        <v>812639</v>
      </c>
      <c r="AF514">
        <f t="shared" si="78"/>
        <v>228917</v>
      </c>
      <c r="AH514" s="2">
        <f t="shared" si="79"/>
        <v>0.21978366981708136</v>
      </c>
      <c r="AI514" s="2"/>
      <c r="AJ514" s="2"/>
    </row>
    <row r="515" spans="2:36" x14ac:dyDescent="0.25">
      <c r="B515" s="1">
        <v>42990</v>
      </c>
      <c r="C515">
        <v>310596</v>
      </c>
      <c r="D515">
        <v>156518</v>
      </c>
      <c r="F515" s="2">
        <f t="shared" si="72"/>
        <v>0.3350745214230359</v>
      </c>
      <c r="I515">
        <v>309541</v>
      </c>
      <c r="J515">
        <v>151650</v>
      </c>
      <c r="L515" s="2">
        <f t="shared" si="73"/>
        <v>0.32882254857531912</v>
      </c>
      <c r="N515">
        <v>510025</v>
      </c>
      <c r="O515">
        <v>60889</v>
      </c>
      <c r="Q515" s="2">
        <f t="shared" si="74"/>
        <v>0.10665178993683812</v>
      </c>
      <c r="T515">
        <v>499969</v>
      </c>
      <c r="U515">
        <v>69270</v>
      </c>
      <c r="W515" s="2">
        <f t="shared" si="75"/>
        <v>0.12168878098654519</v>
      </c>
      <c r="Z515">
        <f t="shared" si="70"/>
        <v>820621</v>
      </c>
      <c r="AA515">
        <f t="shared" si="71"/>
        <v>217407</v>
      </c>
      <c r="AC515" s="2">
        <f t="shared" si="76"/>
        <v>0.20944232718192574</v>
      </c>
      <c r="AD515" s="2"/>
      <c r="AE515">
        <f t="shared" si="77"/>
        <v>809510</v>
      </c>
      <c r="AF515">
        <f t="shared" si="78"/>
        <v>220920</v>
      </c>
      <c r="AH515" s="2">
        <f t="shared" si="79"/>
        <v>0.21439593179546404</v>
      </c>
      <c r="AI515" s="2"/>
      <c r="AJ515" s="2"/>
    </row>
    <row r="516" spans="2:36" x14ac:dyDescent="0.25">
      <c r="B516" s="1">
        <v>42997</v>
      </c>
      <c r="C516">
        <v>337800</v>
      </c>
      <c r="D516">
        <v>129341</v>
      </c>
      <c r="F516" s="2">
        <f t="shared" si="72"/>
        <v>0.27687785914745228</v>
      </c>
      <c r="I516">
        <v>336970</v>
      </c>
      <c r="J516">
        <v>128678</v>
      </c>
      <c r="L516" s="2">
        <f t="shared" si="73"/>
        <v>0.27634178607016457</v>
      </c>
      <c r="N516">
        <v>546741</v>
      </c>
      <c r="O516">
        <v>59821</v>
      </c>
      <c r="Q516" s="2">
        <f t="shared" si="74"/>
        <v>9.8623059143170849E-2</v>
      </c>
      <c r="T516">
        <v>533414</v>
      </c>
      <c r="U516">
        <v>68434</v>
      </c>
      <c r="W516" s="2">
        <f t="shared" si="75"/>
        <v>0.11370645079820818</v>
      </c>
      <c r="Z516">
        <f t="shared" si="70"/>
        <v>884541</v>
      </c>
      <c r="AA516">
        <f t="shared" si="71"/>
        <v>189162</v>
      </c>
      <c r="AC516" s="2">
        <f t="shared" si="76"/>
        <v>0.17617721101645428</v>
      </c>
      <c r="AD516" s="2"/>
      <c r="AE516">
        <f t="shared" si="77"/>
        <v>870384</v>
      </c>
      <c r="AF516">
        <f t="shared" si="78"/>
        <v>197112</v>
      </c>
      <c r="AH516" s="2">
        <f t="shared" si="79"/>
        <v>0.18464893545268554</v>
      </c>
      <c r="AI516" s="2"/>
      <c r="AJ516" s="2"/>
    </row>
    <row r="517" spans="2:36" x14ac:dyDescent="0.25">
      <c r="B517" s="1">
        <v>43004</v>
      </c>
      <c r="C517">
        <v>363758</v>
      </c>
      <c r="D517">
        <v>102651</v>
      </c>
      <c r="F517" s="2">
        <f t="shared" si="72"/>
        <v>0.22008794856016931</v>
      </c>
      <c r="I517">
        <v>358810</v>
      </c>
      <c r="J517">
        <v>107022</v>
      </c>
      <c r="L517" s="2">
        <f t="shared" si="73"/>
        <v>0.22974377028628346</v>
      </c>
      <c r="N517">
        <v>583897</v>
      </c>
      <c r="O517">
        <v>60196</v>
      </c>
      <c r="Q517" s="2">
        <f t="shared" si="74"/>
        <v>9.3458553345557235E-2</v>
      </c>
      <c r="T517">
        <v>577738</v>
      </c>
      <c r="U517">
        <v>69093</v>
      </c>
      <c r="W517" s="2">
        <f t="shared" si="75"/>
        <v>0.10681770045034947</v>
      </c>
      <c r="Z517">
        <f t="shared" si="70"/>
        <v>947655</v>
      </c>
      <c r="AA517">
        <f t="shared" si="71"/>
        <v>162847</v>
      </c>
      <c r="AC517" s="2">
        <f t="shared" si="76"/>
        <v>0.14664268952239617</v>
      </c>
      <c r="AD517" s="2"/>
      <c r="AE517">
        <f t="shared" si="77"/>
        <v>936548</v>
      </c>
      <c r="AF517">
        <f t="shared" si="78"/>
        <v>176115</v>
      </c>
      <c r="AH517" s="2">
        <f t="shared" si="79"/>
        <v>0.15828242693430086</v>
      </c>
      <c r="AI517" s="2"/>
      <c r="AJ517" s="2"/>
    </row>
    <row r="518" spans="2:36" x14ac:dyDescent="0.25">
      <c r="B518" s="1">
        <v>43011</v>
      </c>
      <c r="C518">
        <v>360904</v>
      </c>
      <c r="D518">
        <v>110731</v>
      </c>
      <c r="F518" s="2">
        <f t="shared" si="72"/>
        <v>0.23478113371569115</v>
      </c>
      <c r="I518">
        <v>360723</v>
      </c>
      <c r="J518">
        <v>111400</v>
      </c>
      <c r="L518" s="2">
        <f t="shared" si="73"/>
        <v>0.23595546075916657</v>
      </c>
      <c r="N518">
        <v>579351</v>
      </c>
      <c r="O518">
        <v>55046</v>
      </c>
      <c r="Q518" s="2">
        <f t="shared" si="74"/>
        <v>8.676901057224419E-2</v>
      </c>
      <c r="T518">
        <v>570577</v>
      </c>
      <c r="U518">
        <v>66314</v>
      </c>
      <c r="W518" s="2">
        <f t="shared" si="75"/>
        <v>0.10412142737140265</v>
      </c>
      <c r="Z518">
        <f t="shared" si="70"/>
        <v>940255</v>
      </c>
      <c r="AA518">
        <f t="shared" si="71"/>
        <v>165777</v>
      </c>
      <c r="AC518" s="2">
        <f t="shared" si="76"/>
        <v>0.14988445180609603</v>
      </c>
      <c r="AD518" s="2"/>
      <c r="AE518">
        <f t="shared" si="77"/>
        <v>931300</v>
      </c>
      <c r="AF518">
        <f t="shared" si="78"/>
        <v>177714</v>
      </c>
      <c r="AH518" s="2">
        <f t="shared" si="79"/>
        <v>0.16024504650076554</v>
      </c>
      <c r="AI518" s="2"/>
      <c r="AJ518" s="2"/>
    </row>
    <row r="519" spans="2:36" x14ac:dyDescent="0.25">
      <c r="B519" s="1">
        <v>43018</v>
      </c>
      <c r="C519">
        <v>361328</v>
      </c>
      <c r="D519">
        <v>122704</v>
      </c>
      <c r="F519" s="2">
        <f t="shared" si="72"/>
        <v>0.25350390056855743</v>
      </c>
      <c r="I519">
        <v>362982</v>
      </c>
      <c r="J519">
        <v>124425</v>
      </c>
      <c r="L519" s="2">
        <f t="shared" si="73"/>
        <v>0.25527946869864404</v>
      </c>
      <c r="N519">
        <v>564573</v>
      </c>
      <c r="O519">
        <v>55175</v>
      </c>
      <c r="Q519" s="2">
        <f t="shared" si="74"/>
        <v>8.9028121107288763E-2</v>
      </c>
      <c r="T519">
        <v>557081</v>
      </c>
      <c r="U519">
        <v>68927</v>
      </c>
      <c r="W519" s="2">
        <f t="shared" si="75"/>
        <v>0.11010562165339741</v>
      </c>
      <c r="Z519">
        <f t="shared" si="70"/>
        <v>925901</v>
      </c>
      <c r="AA519">
        <f t="shared" si="71"/>
        <v>177879</v>
      </c>
      <c r="AC519" s="2">
        <f t="shared" si="76"/>
        <v>0.16115439670948922</v>
      </c>
      <c r="AD519" s="2"/>
      <c r="AE519">
        <f t="shared" si="77"/>
        <v>920063</v>
      </c>
      <c r="AF519">
        <f t="shared" si="78"/>
        <v>193352</v>
      </c>
      <c r="AH519" s="2">
        <f t="shared" si="79"/>
        <v>0.17365672278530467</v>
      </c>
      <c r="AI519" s="2"/>
      <c r="AJ519" s="2"/>
    </row>
    <row r="520" spans="2:36" x14ac:dyDescent="0.25">
      <c r="B520" s="1">
        <v>43025</v>
      </c>
      <c r="C520">
        <v>365292</v>
      </c>
      <c r="D520">
        <v>143158</v>
      </c>
      <c r="F520" s="2">
        <f t="shared" si="72"/>
        <v>0.28155767528763892</v>
      </c>
      <c r="I520">
        <v>365723</v>
      </c>
      <c r="J520">
        <v>146646</v>
      </c>
      <c r="L520" s="2">
        <f t="shared" si="73"/>
        <v>0.28621169508693928</v>
      </c>
      <c r="N520">
        <v>564764</v>
      </c>
      <c r="O520">
        <v>49870</v>
      </c>
      <c r="Q520" s="2">
        <f t="shared" si="74"/>
        <v>8.1137717731202638E-2</v>
      </c>
      <c r="T520">
        <v>558131</v>
      </c>
      <c r="U520">
        <v>63992</v>
      </c>
      <c r="W520" s="2">
        <f t="shared" si="75"/>
        <v>0.10286068832047682</v>
      </c>
      <c r="Z520">
        <f t="shared" si="70"/>
        <v>930056</v>
      </c>
      <c r="AA520">
        <f t="shared" si="71"/>
        <v>193028</v>
      </c>
      <c r="AC520" s="2">
        <f t="shared" si="76"/>
        <v>0.17187316353896948</v>
      </c>
      <c r="AD520" s="2"/>
      <c r="AE520">
        <f t="shared" si="77"/>
        <v>923854</v>
      </c>
      <c r="AF520">
        <f t="shared" si="78"/>
        <v>210638</v>
      </c>
      <c r="AH520" s="2">
        <f t="shared" si="79"/>
        <v>0.18566724137323137</v>
      </c>
      <c r="AI520" s="2"/>
      <c r="AJ520" s="2"/>
    </row>
    <row r="521" spans="2:36" x14ac:dyDescent="0.25">
      <c r="B521" s="1">
        <v>43032</v>
      </c>
      <c r="C521">
        <v>376389</v>
      </c>
      <c r="D521">
        <v>136425</v>
      </c>
      <c r="F521" s="2">
        <f t="shared" si="72"/>
        <v>0.26603212860803332</v>
      </c>
      <c r="I521">
        <v>375397</v>
      </c>
      <c r="J521">
        <v>140519</v>
      </c>
      <c r="L521" s="2">
        <f t="shared" si="73"/>
        <v>0.27236798238472931</v>
      </c>
      <c r="N521">
        <v>575157</v>
      </c>
      <c r="O521">
        <v>45939</v>
      </c>
      <c r="Q521" s="2">
        <f t="shared" si="74"/>
        <v>7.3964411298736432E-2</v>
      </c>
      <c r="T521">
        <v>566493</v>
      </c>
      <c r="U521">
        <v>59756</v>
      </c>
      <c r="W521" s="2">
        <f t="shared" si="75"/>
        <v>9.5418914840582583E-2</v>
      </c>
      <c r="Z521">
        <f t="shared" ref="Z521:Z584" si="80">IFERROR(+C521+N521,C521)</f>
        <v>951546</v>
      </c>
      <c r="AA521">
        <f t="shared" ref="AA521:AA584" si="81">IFERROR(+D521+O521,D521)</f>
        <v>182364</v>
      </c>
      <c r="AC521" s="2">
        <f t="shared" si="76"/>
        <v>0.16082757890837898</v>
      </c>
      <c r="AD521" s="2"/>
      <c r="AE521">
        <f t="shared" si="77"/>
        <v>941890</v>
      </c>
      <c r="AF521">
        <f t="shared" si="78"/>
        <v>200275</v>
      </c>
      <c r="AH521" s="2">
        <f t="shared" si="79"/>
        <v>0.17534681941750974</v>
      </c>
      <c r="AI521" s="2"/>
      <c r="AJ521" s="2"/>
    </row>
    <row r="522" spans="2:36" x14ac:dyDescent="0.25">
      <c r="B522" s="1">
        <v>43039</v>
      </c>
      <c r="C522">
        <v>396081</v>
      </c>
      <c r="D522">
        <v>100849</v>
      </c>
      <c r="F522" s="2">
        <f t="shared" ref="F522:F585" si="82">+D522/SUM(C522:D522)</f>
        <v>0.20294407663051134</v>
      </c>
      <c r="I522">
        <v>387488</v>
      </c>
      <c r="J522">
        <v>106244</v>
      </c>
      <c r="L522" s="2">
        <f t="shared" ref="L522:L585" si="83">+J522/SUM(I522:J522)</f>
        <v>0.21518556625861804</v>
      </c>
      <c r="N522">
        <v>589418</v>
      </c>
      <c r="O522">
        <v>42610</v>
      </c>
      <c r="Q522" s="2">
        <f t="shared" ref="Q522:Q585" si="84">+O522/SUM(N522:O522)</f>
        <v>6.7417899206997159E-2</v>
      </c>
      <c r="T522">
        <v>586740</v>
      </c>
      <c r="U522">
        <v>56503</v>
      </c>
      <c r="W522" s="2">
        <f t="shared" ref="W522:W585" si="85">+U522/SUM(T522:U522)</f>
        <v>8.7840831536448893E-2</v>
      </c>
      <c r="Z522">
        <f t="shared" si="80"/>
        <v>985499</v>
      </c>
      <c r="AA522">
        <f t="shared" si="81"/>
        <v>143459</v>
      </c>
      <c r="AC522" s="2">
        <f t="shared" ref="AC522:AC585" si="86">+AA522/SUM(Z522:AA522)</f>
        <v>0.12707204342411321</v>
      </c>
      <c r="AD522" s="2"/>
      <c r="AE522">
        <f t="shared" ref="AE522:AE585" si="87">IFERROR(+I522+T522,I522)</f>
        <v>974228</v>
      </c>
      <c r="AF522">
        <f t="shared" ref="AF522:AF585" si="88">IFERROR(+J522+U522,J522)</f>
        <v>162747</v>
      </c>
      <c r="AH522" s="2">
        <f t="shared" ref="AH522:AH585" si="89">+AF522/SUM(AE522:AF522)</f>
        <v>0.14314035049143561</v>
      </c>
      <c r="AI522" s="2"/>
      <c r="AJ522" s="2"/>
    </row>
    <row r="523" spans="2:36" x14ac:dyDescent="0.25">
      <c r="B523" s="1">
        <v>43046</v>
      </c>
      <c r="C523">
        <v>415679</v>
      </c>
      <c r="D523">
        <v>75410</v>
      </c>
      <c r="F523" s="2">
        <f t="shared" si="82"/>
        <v>0.15355668728071695</v>
      </c>
      <c r="I523">
        <v>400792</v>
      </c>
      <c r="J523">
        <v>82986</v>
      </c>
      <c r="L523" s="2">
        <f t="shared" si="83"/>
        <v>0.17153735804439227</v>
      </c>
      <c r="N523">
        <v>592085</v>
      </c>
      <c r="O523">
        <v>42404</v>
      </c>
      <c r="Q523" s="2">
        <f t="shared" si="84"/>
        <v>6.6831733883487343E-2</v>
      </c>
      <c r="T523">
        <v>598468</v>
      </c>
      <c r="U523">
        <v>55399</v>
      </c>
      <c r="W523" s="2">
        <f t="shared" si="85"/>
        <v>8.4725181114813863E-2</v>
      </c>
      <c r="Z523">
        <f t="shared" si="80"/>
        <v>1007764</v>
      </c>
      <c r="AA523">
        <f t="shared" si="81"/>
        <v>117814</v>
      </c>
      <c r="AC523" s="2">
        <f t="shared" si="86"/>
        <v>0.10466977854933199</v>
      </c>
      <c r="AD523" s="2"/>
      <c r="AE523">
        <f t="shared" si="87"/>
        <v>999260</v>
      </c>
      <c r="AF523">
        <f t="shared" si="88"/>
        <v>138385</v>
      </c>
      <c r="AH523" s="2">
        <f t="shared" si="89"/>
        <v>0.12164163689024256</v>
      </c>
      <c r="AI523" s="2"/>
      <c r="AJ523" s="2"/>
    </row>
    <row r="524" spans="2:36" x14ac:dyDescent="0.25">
      <c r="B524" s="1">
        <v>43053</v>
      </c>
      <c r="C524">
        <v>432765</v>
      </c>
      <c r="D524">
        <v>60526</v>
      </c>
      <c r="F524" s="2">
        <f t="shared" si="82"/>
        <v>0.12269836668416817</v>
      </c>
      <c r="I524">
        <v>413359</v>
      </c>
      <c r="J524">
        <v>63647</v>
      </c>
      <c r="L524" s="2">
        <f t="shared" si="83"/>
        <v>0.13343018746095436</v>
      </c>
      <c r="N524">
        <v>596767</v>
      </c>
      <c r="O524">
        <v>48792</v>
      </c>
      <c r="Q524" s="2">
        <f t="shared" si="84"/>
        <v>7.5581008087564419E-2</v>
      </c>
      <c r="T524">
        <v>597749</v>
      </c>
      <c r="U524">
        <v>60192</v>
      </c>
      <c r="W524" s="2">
        <f t="shared" si="85"/>
        <v>9.1485406746197609E-2</v>
      </c>
      <c r="Z524">
        <f t="shared" si="80"/>
        <v>1029532</v>
      </c>
      <c r="AA524">
        <f t="shared" si="81"/>
        <v>109318</v>
      </c>
      <c r="AC524" s="2">
        <f t="shared" si="86"/>
        <v>9.5989814286341485E-2</v>
      </c>
      <c r="AD524" s="2"/>
      <c r="AE524">
        <f t="shared" si="87"/>
        <v>1011108</v>
      </c>
      <c r="AF524">
        <f t="shared" si="88"/>
        <v>123839</v>
      </c>
      <c r="AH524" s="2">
        <f t="shared" si="89"/>
        <v>0.10911434630868226</v>
      </c>
      <c r="AI524" s="2"/>
      <c r="AJ524" s="2"/>
    </row>
    <row r="525" spans="2:36" x14ac:dyDescent="0.25">
      <c r="B525" s="1">
        <v>43060</v>
      </c>
      <c r="C525">
        <v>409921</v>
      </c>
      <c r="D525">
        <v>70429</v>
      </c>
      <c r="F525" s="2">
        <f t="shared" si="82"/>
        <v>0.14662017279067346</v>
      </c>
      <c r="I525">
        <v>409864</v>
      </c>
      <c r="J525">
        <v>66024</v>
      </c>
      <c r="L525" s="2">
        <f t="shared" si="83"/>
        <v>0.13873852671216758</v>
      </c>
      <c r="N525">
        <v>580108</v>
      </c>
      <c r="O525">
        <v>46794</v>
      </c>
      <c r="Q525" s="2">
        <f t="shared" si="84"/>
        <v>7.4643245674762562E-2</v>
      </c>
      <c r="T525">
        <v>583911</v>
      </c>
      <c r="U525">
        <v>57671</v>
      </c>
      <c r="W525" s="2">
        <f t="shared" si="85"/>
        <v>8.9888743761514511E-2</v>
      </c>
      <c r="Z525">
        <f t="shared" si="80"/>
        <v>990029</v>
      </c>
      <c r="AA525">
        <f t="shared" si="81"/>
        <v>117223</v>
      </c>
      <c r="AC525" s="2">
        <f t="shared" si="86"/>
        <v>0.10586840213429283</v>
      </c>
      <c r="AD525" s="2"/>
      <c r="AE525">
        <f t="shared" si="87"/>
        <v>993775</v>
      </c>
      <c r="AF525">
        <f t="shared" si="88"/>
        <v>123695</v>
      </c>
      <c r="AH525" s="2">
        <f t="shared" si="89"/>
        <v>0.11069200962889383</v>
      </c>
      <c r="AI525" s="2"/>
      <c r="AJ525" s="2"/>
    </row>
    <row r="526" spans="2:36" x14ac:dyDescent="0.25">
      <c r="B526" s="1">
        <v>43067</v>
      </c>
      <c r="C526">
        <v>442394</v>
      </c>
      <c r="D526">
        <v>44288</v>
      </c>
      <c r="F526" s="2">
        <f t="shared" si="82"/>
        <v>9.099987260675349E-2</v>
      </c>
      <c r="I526">
        <v>436630</v>
      </c>
      <c r="J526">
        <v>40146</v>
      </c>
      <c r="L526" s="2">
        <f t="shared" si="83"/>
        <v>8.4203063912613049E-2</v>
      </c>
      <c r="N526">
        <v>574060</v>
      </c>
      <c r="O526">
        <v>44470</v>
      </c>
      <c r="Q526" s="2">
        <f t="shared" si="84"/>
        <v>7.1896270188996497E-2</v>
      </c>
      <c r="T526">
        <v>590383</v>
      </c>
      <c r="U526">
        <v>52404</v>
      </c>
      <c r="W526" s="2">
        <f t="shared" si="85"/>
        <v>8.152622875073702E-2</v>
      </c>
      <c r="Z526">
        <f t="shared" si="80"/>
        <v>1016454</v>
      </c>
      <c r="AA526">
        <f t="shared" si="81"/>
        <v>88758</v>
      </c>
      <c r="AC526" s="2">
        <f t="shared" si="86"/>
        <v>8.0308574282581077E-2</v>
      </c>
      <c r="AD526" s="2"/>
      <c r="AE526">
        <f t="shared" si="87"/>
        <v>1027013</v>
      </c>
      <c r="AF526">
        <f t="shared" si="88"/>
        <v>92550</v>
      </c>
      <c r="AH526" s="2">
        <f t="shared" si="89"/>
        <v>8.2666183144673416E-2</v>
      </c>
      <c r="AI526" s="2"/>
      <c r="AJ526" s="2"/>
    </row>
    <row r="527" spans="2:36" x14ac:dyDescent="0.25">
      <c r="B527" s="1">
        <v>43074</v>
      </c>
      <c r="C527">
        <v>443885</v>
      </c>
      <c r="D527">
        <v>48805</v>
      </c>
      <c r="F527" s="2">
        <f t="shared" si="82"/>
        <v>9.9058231342223302E-2</v>
      </c>
      <c r="I527">
        <v>439751</v>
      </c>
      <c r="J527">
        <v>47320</v>
      </c>
      <c r="L527" s="2">
        <f t="shared" si="83"/>
        <v>9.7152160567966481E-2</v>
      </c>
      <c r="N527">
        <v>582052</v>
      </c>
      <c r="O527">
        <v>54255</v>
      </c>
      <c r="Q527" s="2">
        <f t="shared" si="84"/>
        <v>8.5265445767530451E-2</v>
      </c>
      <c r="T527">
        <v>595337</v>
      </c>
      <c r="U527">
        <v>61103</v>
      </c>
      <c r="W527" s="2">
        <f t="shared" si="85"/>
        <v>9.3082383766985563E-2</v>
      </c>
      <c r="Z527">
        <f t="shared" si="80"/>
        <v>1025937</v>
      </c>
      <c r="AA527">
        <f t="shared" si="81"/>
        <v>103060</v>
      </c>
      <c r="AC527" s="2">
        <f t="shared" si="86"/>
        <v>9.1284564972271845E-2</v>
      </c>
      <c r="AD527" s="2"/>
      <c r="AE527">
        <f t="shared" si="87"/>
        <v>1035088</v>
      </c>
      <c r="AF527">
        <f t="shared" si="88"/>
        <v>108423</v>
      </c>
      <c r="AH527" s="2">
        <f t="shared" si="89"/>
        <v>9.481587846553291E-2</v>
      </c>
      <c r="AI527" s="2"/>
      <c r="AJ527" s="2"/>
    </row>
    <row r="528" spans="2:36" x14ac:dyDescent="0.25">
      <c r="B528" s="1">
        <v>43081</v>
      </c>
      <c r="C528">
        <v>436971</v>
      </c>
      <c r="D528">
        <v>46825</v>
      </c>
      <c r="F528" s="2">
        <f t="shared" si="82"/>
        <v>9.6786662146855287E-2</v>
      </c>
      <c r="I528">
        <v>435764</v>
      </c>
      <c r="J528">
        <v>44890</v>
      </c>
      <c r="L528" s="2">
        <f t="shared" si="83"/>
        <v>9.3393584574350777E-2</v>
      </c>
      <c r="N528">
        <v>591090</v>
      </c>
      <c r="O528">
        <v>53669</v>
      </c>
      <c r="Q528" s="2">
        <f t="shared" si="84"/>
        <v>8.3238853587154271E-2</v>
      </c>
      <c r="T528">
        <v>603806</v>
      </c>
      <c r="U528">
        <v>59755</v>
      </c>
      <c r="W528" s="2">
        <f t="shared" si="85"/>
        <v>9.0052007275894755E-2</v>
      </c>
      <c r="Z528">
        <f t="shared" si="80"/>
        <v>1028061</v>
      </c>
      <c r="AA528">
        <f t="shared" si="81"/>
        <v>100494</v>
      </c>
      <c r="AC528" s="2">
        <f t="shared" si="86"/>
        <v>8.9046612703855818E-2</v>
      </c>
      <c r="AD528" s="2"/>
      <c r="AE528">
        <f t="shared" si="87"/>
        <v>1039570</v>
      </c>
      <c r="AF528">
        <f t="shared" si="88"/>
        <v>104645</v>
      </c>
      <c r="AH528" s="2">
        <f t="shared" si="89"/>
        <v>9.1455714179590378E-2</v>
      </c>
      <c r="AI528" s="2"/>
      <c r="AJ528" s="2"/>
    </row>
    <row r="529" spans="2:36" x14ac:dyDescent="0.25">
      <c r="B529" s="1">
        <v>43088</v>
      </c>
      <c r="C529">
        <v>423689</v>
      </c>
      <c r="D529">
        <v>48064</v>
      </c>
      <c r="F529" s="2">
        <f t="shared" si="82"/>
        <v>0.10188382479814649</v>
      </c>
      <c r="I529">
        <v>430450</v>
      </c>
      <c r="J529">
        <v>46622</v>
      </c>
      <c r="L529" s="2">
        <f t="shared" si="83"/>
        <v>9.7725290941409262E-2</v>
      </c>
      <c r="N529">
        <v>581623</v>
      </c>
      <c r="O529">
        <v>59198</v>
      </c>
      <c r="Q529" s="2">
        <f t="shared" si="84"/>
        <v>9.2378370871116902E-2</v>
      </c>
      <c r="T529">
        <v>596722</v>
      </c>
      <c r="U529">
        <v>58677</v>
      </c>
      <c r="W529" s="2">
        <f t="shared" si="85"/>
        <v>8.9528668795649677E-2</v>
      </c>
      <c r="Z529">
        <f t="shared" si="80"/>
        <v>1005312</v>
      </c>
      <c r="AA529">
        <f t="shared" si="81"/>
        <v>107262</v>
      </c>
      <c r="AC529" s="2">
        <f t="shared" si="86"/>
        <v>9.640886808428023E-2</v>
      </c>
      <c r="AD529" s="2"/>
      <c r="AE529">
        <f t="shared" si="87"/>
        <v>1027172</v>
      </c>
      <c r="AF529">
        <f t="shared" si="88"/>
        <v>105299</v>
      </c>
      <c r="AH529" s="2">
        <f t="shared" si="89"/>
        <v>9.298163043468663E-2</v>
      </c>
      <c r="AI529" s="2"/>
      <c r="AJ529" s="2"/>
    </row>
    <row r="530" spans="2:36" x14ac:dyDescent="0.25">
      <c r="B530" s="1">
        <v>43095</v>
      </c>
      <c r="C530">
        <v>444833</v>
      </c>
      <c r="D530">
        <v>40595</v>
      </c>
      <c r="F530" s="2">
        <f t="shared" si="82"/>
        <v>8.3627232050891176E-2</v>
      </c>
      <c r="I530">
        <v>453470</v>
      </c>
      <c r="J530">
        <v>41498</v>
      </c>
      <c r="L530" s="2">
        <f t="shared" si="83"/>
        <v>8.3839763378642657E-2</v>
      </c>
      <c r="N530">
        <v>610681</v>
      </c>
      <c r="O530">
        <v>54062</v>
      </c>
      <c r="Q530" s="2">
        <f t="shared" si="84"/>
        <v>8.1327670994655071E-2</v>
      </c>
      <c r="T530">
        <v>622607</v>
      </c>
      <c r="U530">
        <v>61323</v>
      </c>
      <c r="W530" s="2">
        <f t="shared" si="85"/>
        <v>8.9662684777681925E-2</v>
      </c>
      <c r="Z530">
        <f t="shared" si="80"/>
        <v>1055514</v>
      </c>
      <c r="AA530">
        <f t="shared" si="81"/>
        <v>94657</v>
      </c>
      <c r="AC530" s="2">
        <f t="shared" si="86"/>
        <v>8.2298197398473785E-2</v>
      </c>
      <c r="AD530" s="2"/>
      <c r="AE530">
        <f t="shared" si="87"/>
        <v>1076077</v>
      </c>
      <c r="AF530">
        <f t="shared" si="88"/>
        <v>102821</v>
      </c>
      <c r="AH530" s="2">
        <f t="shared" si="89"/>
        <v>8.7217893320711379E-2</v>
      </c>
      <c r="AI530" s="2"/>
      <c r="AJ530" s="2"/>
    </row>
    <row r="531" spans="2:36" x14ac:dyDescent="0.25">
      <c r="B531" s="1">
        <v>43102</v>
      </c>
      <c r="C531">
        <v>426682</v>
      </c>
      <c r="D531">
        <v>37546</v>
      </c>
      <c r="F531" s="2">
        <f t="shared" si="82"/>
        <v>8.0878361494782738E-2</v>
      </c>
      <c r="I531">
        <v>436115</v>
      </c>
      <c r="J531">
        <v>39734</v>
      </c>
      <c r="L531" s="2">
        <f t="shared" si="83"/>
        <v>8.350127876700382E-2</v>
      </c>
      <c r="N531">
        <v>617628</v>
      </c>
      <c r="O531">
        <v>56738</v>
      </c>
      <c r="Q531" s="2">
        <f t="shared" si="84"/>
        <v>8.4135321175741365E-2</v>
      </c>
      <c r="T531">
        <v>626515</v>
      </c>
      <c r="U531">
        <v>61056</v>
      </c>
      <c r="W531" s="2">
        <f t="shared" si="85"/>
        <v>8.8799556700326215E-2</v>
      </c>
      <c r="Z531">
        <f t="shared" si="80"/>
        <v>1044310</v>
      </c>
      <c r="AA531">
        <f t="shared" si="81"/>
        <v>94284</v>
      </c>
      <c r="AC531" s="2">
        <f t="shared" si="86"/>
        <v>8.2807392275033948E-2</v>
      </c>
      <c r="AD531" s="2"/>
      <c r="AE531">
        <f t="shared" si="87"/>
        <v>1062630</v>
      </c>
      <c r="AF531">
        <f t="shared" si="88"/>
        <v>100790</v>
      </c>
      <c r="AH531" s="2">
        <f t="shared" si="89"/>
        <v>8.6632514483161713E-2</v>
      </c>
      <c r="AI531" s="2"/>
      <c r="AJ531" s="2"/>
    </row>
    <row r="532" spans="2:36" x14ac:dyDescent="0.25">
      <c r="B532" s="1">
        <v>43109</v>
      </c>
      <c r="C532">
        <v>463262</v>
      </c>
      <c r="D532">
        <v>30612</v>
      </c>
      <c r="F532" s="2">
        <f t="shared" si="82"/>
        <v>6.198342087253024E-2</v>
      </c>
      <c r="I532">
        <v>473103</v>
      </c>
      <c r="J532">
        <v>35333</v>
      </c>
      <c r="L532" s="2">
        <f t="shared" si="83"/>
        <v>6.9493505573956213E-2</v>
      </c>
      <c r="N532">
        <v>629610</v>
      </c>
      <c r="O532">
        <v>61758</v>
      </c>
      <c r="Q532" s="2">
        <f t="shared" si="84"/>
        <v>8.9327246849724026E-2</v>
      </c>
      <c r="T532">
        <v>641958</v>
      </c>
      <c r="U532">
        <v>67806</v>
      </c>
      <c r="W532" s="2">
        <f t="shared" si="85"/>
        <v>9.5533163135915602E-2</v>
      </c>
      <c r="Z532">
        <f t="shared" si="80"/>
        <v>1092872</v>
      </c>
      <c r="AA532">
        <f t="shared" si="81"/>
        <v>92370</v>
      </c>
      <c r="AC532" s="2">
        <f t="shared" si="86"/>
        <v>7.7933451565165596E-2</v>
      </c>
      <c r="AD532" s="2"/>
      <c r="AE532">
        <f t="shared" si="87"/>
        <v>1115061</v>
      </c>
      <c r="AF532">
        <f t="shared" si="88"/>
        <v>103139</v>
      </c>
      <c r="AH532" s="2">
        <f t="shared" si="89"/>
        <v>8.4665079625677223E-2</v>
      </c>
      <c r="AI532" s="2"/>
      <c r="AJ532" s="2"/>
    </row>
    <row r="533" spans="2:36" x14ac:dyDescent="0.25">
      <c r="B533" s="1">
        <v>43116</v>
      </c>
      <c r="C533">
        <v>514642</v>
      </c>
      <c r="D533">
        <v>30813</v>
      </c>
      <c r="F533" s="2">
        <f t="shared" si="82"/>
        <v>5.6490452924622563E-2</v>
      </c>
      <c r="I533">
        <v>517824</v>
      </c>
      <c r="J533">
        <v>35526</v>
      </c>
      <c r="L533" s="2">
        <f t="shared" si="83"/>
        <v>6.4201680672268904E-2</v>
      </c>
      <c r="N533">
        <v>625316</v>
      </c>
      <c r="O533">
        <v>59948</v>
      </c>
      <c r="Q533" s="2">
        <f t="shared" si="84"/>
        <v>8.7481612925821295E-2</v>
      </c>
      <c r="T533">
        <v>637252</v>
      </c>
      <c r="U533">
        <v>66457</v>
      </c>
      <c r="W533" s="2">
        <f t="shared" si="85"/>
        <v>9.4438183965247002E-2</v>
      </c>
      <c r="Z533">
        <f t="shared" si="80"/>
        <v>1139958</v>
      </c>
      <c r="AA533">
        <f t="shared" si="81"/>
        <v>90761</v>
      </c>
      <c r="AC533" s="2">
        <f t="shared" si="86"/>
        <v>7.3746322271777714E-2</v>
      </c>
      <c r="AD533" s="2"/>
      <c r="AE533">
        <f t="shared" si="87"/>
        <v>1155076</v>
      </c>
      <c r="AF533">
        <f t="shared" si="88"/>
        <v>101983</v>
      </c>
      <c r="AH533" s="2">
        <f t="shared" si="89"/>
        <v>8.1128252532299591E-2</v>
      </c>
      <c r="AI533" s="2"/>
      <c r="AJ533" s="2"/>
    </row>
    <row r="534" spans="2:36" x14ac:dyDescent="0.25">
      <c r="B534" s="1">
        <v>43123</v>
      </c>
      <c r="C534">
        <v>514887</v>
      </c>
      <c r="D534">
        <v>36330</v>
      </c>
      <c r="F534" s="2">
        <f t="shared" si="82"/>
        <v>6.5908707460038421E-2</v>
      </c>
      <c r="I534">
        <v>532919</v>
      </c>
      <c r="J534">
        <v>36808</v>
      </c>
      <c r="L534" s="2">
        <f t="shared" si="83"/>
        <v>6.4606381652967129E-2</v>
      </c>
      <c r="N534">
        <v>632922</v>
      </c>
      <c r="O534">
        <v>53662</v>
      </c>
      <c r="Q534" s="2">
        <f t="shared" si="84"/>
        <v>7.8157952996283045E-2</v>
      </c>
      <c r="T534">
        <v>643426</v>
      </c>
      <c r="U534">
        <v>58719</v>
      </c>
      <c r="W534" s="2">
        <f t="shared" si="85"/>
        <v>8.3628025550278082E-2</v>
      </c>
      <c r="Z534">
        <f t="shared" si="80"/>
        <v>1147809</v>
      </c>
      <c r="AA534">
        <f t="shared" si="81"/>
        <v>89992</v>
      </c>
      <c r="AC534" s="2">
        <f t="shared" si="86"/>
        <v>7.2703124330970814E-2</v>
      </c>
      <c r="AD534" s="2"/>
      <c r="AE534">
        <f t="shared" si="87"/>
        <v>1176345</v>
      </c>
      <c r="AF534">
        <f t="shared" si="88"/>
        <v>95527</v>
      </c>
      <c r="AH534" s="2">
        <f t="shared" si="89"/>
        <v>7.5107400744729033E-2</v>
      </c>
      <c r="AI534" s="2"/>
      <c r="AJ534" s="2"/>
    </row>
    <row r="535" spans="2:36" x14ac:dyDescent="0.25">
      <c r="B535" s="1">
        <v>43130</v>
      </c>
      <c r="C535">
        <v>519545</v>
      </c>
      <c r="D535">
        <v>36765</v>
      </c>
      <c r="F535" s="2">
        <f t="shared" si="82"/>
        <v>6.6087253509733782E-2</v>
      </c>
      <c r="I535">
        <v>535102</v>
      </c>
      <c r="J535">
        <v>39127</v>
      </c>
      <c r="L535" s="2">
        <f t="shared" si="83"/>
        <v>6.8138321122757639E-2</v>
      </c>
      <c r="N535">
        <v>618968</v>
      </c>
      <c r="O535">
        <v>36403</v>
      </c>
      <c r="Q535" s="2">
        <f t="shared" si="84"/>
        <v>5.5545637509136048E-2</v>
      </c>
      <c r="T535">
        <v>620699</v>
      </c>
      <c r="U535">
        <v>42501</v>
      </c>
      <c r="W535" s="2">
        <f t="shared" si="85"/>
        <v>6.4084740651387209E-2</v>
      </c>
      <c r="Z535">
        <f t="shared" si="80"/>
        <v>1138513</v>
      </c>
      <c r="AA535">
        <f t="shared" si="81"/>
        <v>73168</v>
      </c>
      <c r="AC535" s="2">
        <f t="shared" si="86"/>
        <v>6.0385530515044798E-2</v>
      </c>
      <c r="AD535" s="2"/>
      <c r="AE535">
        <f t="shared" si="87"/>
        <v>1155801</v>
      </c>
      <c r="AF535">
        <f t="shared" si="88"/>
        <v>81628</v>
      </c>
      <c r="AH535" s="2">
        <f t="shared" si="89"/>
        <v>6.5965804906786565E-2</v>
      </c>
      <c r="AI535" s="2"/>
      <c r="AJ535" s="2"/>
    </row>
    <row r="536" spans="2:36" x14ac:dyDescent="0.25">
      <c r="B536" s="1">
        <v>43137</v>
      </c>
      <c r="C536">
        <v>500141</v>
      </c>
      <c r="D536">
        <v>32358</v>
      </c>
      <c r="F536" s="2">
        <f t="shared" si="82"/>
        <v>6.0766311298237181E-2</v>
      </c>
      <c r="I536">
        <v>512946</v>
      </c>
      <c r="J536">
        <v>40154</v>
      </c>
      <c r="L536" s="2">
        <f t="shared" si="83"/>
        <v>7.2598083529199053E-2</v>
      </c>
      <c r="N536">
        <v>615118</v>
      </c>
      <c r="O536">
        <v>33269</v>
      </c>
      <c r="Q536" s="2">
        <f t="shared" si="84"/>
        <v>5.1310405668219754E-2</v>
      </c>
      <c r="T536">
        <v>615311</v>
      </c>
      <c r="U536">
        <v>40322</v>
      </c>
      <c r="W536" s="2">
        <f t="shared" si="85"/>
        <v>6.1500870151441428E-2</v>
      </c>
      <c r="Z536">
        <f t="shared" si="80"/>
        <v>1115259</v>
      </c>
      <c r="AA536">
        <f t="shared" si="81"/>
        <v>65627</v>
      </c>
      <c r="AC536" s="2">
        <f t="shared" si="86"/>
        <v>5.5574373817625068E-2</v>
      </c>
      <c r="AD536" s="2"/>
      <c r="AE536">
        <f t="shared" si="87"/>
        <v>1128257</v>
      </c>
      <c r="AF536">
        <f t="shared" si="88"/>
        <v>80476</v>
      </c>
      <c r="AH536" s="2">
        <f t="shared" si="89"/>
        <v>6.6578806072143309E-2</v>
      </c>
      <c r="AI536" s="2"/>
      <c r="AJ536" s="2"/>
    </row>
    <row r="537" spans="2:36" x14ac:dyDescent="0.25">
      <c r="B537" s="1">
        <v>43144</v>
      </c>
      <c r="C537">
        <v>477670</v>
      </c>
      <c r="D537">
        <v>29270</v>
      </c>
      <c r="F537" s="2">
        <f t="shared" si="82"/>
        <v>5.7738588393103724E-2</v>
      </c>
      <c r="I537">
        <v>486927</v>
      </c>
      <c r="J537">
        <v>36286</v>
      </c>
      <c r="L537" s="2">
        <f t="shared" si="83"/>
        <v>6.9352252333179792E-2</v>
      </c>
      <c r="N537">
        <v>584347</v>
      </c>
      <c r="O537">
        <v>30519</v>
      </c>
      <c r="Q537" s="2">
        <f t="shared" si="84"/>
        <v>4.9635205069071958E-2</v>
      </c>
      <c r="T537">
        <v>579551</v>
      </c>
      <c r="U537">
        <v>36616</v>
      </c>
      <c r="W537" s="2">
        <f t="shared" si="85"/>
        <v>5.942544797108576E-2</v>
      </c>
      <c r="Z537">
        <f t="shared" si="80"/>
        <v>1062017</v>
      </c>
      <c r="AA537">
        <f t="shared" si="81"/>
        <v>59789</v>
      </c>
      <c r="AC537" s="2">
        <f t="shared" si="86"/>
        <v>5.3297094149968888E-2</v>
      </c>
      <c r="AD537" s="2"/>
      <c r="AE537">
        <f t="shared" si="87"/>
        <v>1066478</v>
      </c>
      <c r="AF537">
        <f t="shared" si="88"/>
        <v>72902</v>
      </c>
      <c r="AH537" s="2">
        <f t="shared" si="89"/>
        <v>6.3983921079885556E-2</v>
      </c>
      <c r="AI537" s="2"/>
      <c r="AJ537" s="2"/>
    </row>
    <row r="538" spans="2:36" x14ac:dyDescent="0.25">
      <c r="B538" s="1">
        <v>43151</v>
      </c>
      <c r="C538">
        <v>460261</v>
      </c>
      <c r="D538">
        <v>22330</v>
      </c>
      <c r="F538" s="2">
        <f t="shared" si="82"/>
        <v>4.6271065975121789E-2</v>
      </c>
      <c r="I538">
        <v>474011</v>
      </c>
      <c r="J538">
        <v>29641</v>
      </c>
      <c r="L538" s="2">
        <f t="shared" si="83"/>
        <v>5.8852143940657436E-2</v>
      </c>
      <c r="N538">
        <v>557592</v>
      </c>
      <c r="O538">
        <v>32552</v>
      </c>
      <c r="Q538" s="2">
        <f t="shared" si="84"/>
        <v>5.5159418718143366E-2</v>
      </c>
      <c r="T538">
        <v>565549</v>
      </c>
      <c r="U538">
        <v>42254</v>
      </c>
      <c r="W538" s="2">
        <f t="shared" si="85"/>
        <v>6.951923567340075E-2</v>
      </c>
      <c r="Z538">
        <f t="shared" si="80"/>
        <v>1017853</v>
      </c>
      <c r="AA538">
        <f t="shared" si="81"/>
        <v>54882</v>
      </c>
      <c r="AC538" s="2">
        <f t="shared" si="86"/>
        <v>5.116081790936252E-2</v>
      </c>
      <c r="AD538" s="2"/>
      <c r="AE538">
        <f t="shared" si="87"/>
        <v>1039560</v>
      </c>
      <c r="AF538">
        <f t="shared" si="88"/>
        <v>71895</v>
      </c>
      <c r="AH538" s="2">
        <f t="shared" si="89"/>
        <v>6.4685479843988286E-2</v>
      </c>
      <c r="AI538" s="2"/>
      <c r="AJ538" s="2"/>
    </row>
    <row r="539" spans="2:36" x14ac:dyDescent="0.25">
      <c r="B539" s="1">
        <v>43158</v>
      </c>
      <c r="C539">
        <v>480874</v>
      </c>
      <c r="D539">
        <v>20537</v>
      </c>
      <c r="F539" s="2">
        <f t="shared" si="82"/>
        <v>4.0958415351877005E-2</v>
      </c>
      <c r="I539">
        <v>495303</v>
      </c>
      <c r="J539">
        <v>29478</v>
      </c>
      <c r="L539" s="2">
        <f t="shared" si="83"/>
        <v>5.6172003178468731E-2</v>
      </c>
      <c r="N539">
        <v>571911</v>
      </c>
      <c r="O539">
        <v>33803</v>
      </c>
      <c r="Q539" s="2">
        <f t="shared" si="84"/>
        <v>5.5806865946634879E-2</v>
      </c>
      <c r="T539">
        <v>585416</v>
      </c>
      <c r="U539">
        <v>41044</v>
      </c>
      <c r="W539" s="2">
        <f t="shared" si="85"/>
        <v>6.5517351466973156E-2</v>
      </c>
      <c r="Z539">
        <f t="shared" si="80"/>
        <v>1052785</v>
      </c>
      <c r="AA539">
        <f t="shared" si="81"/>
        <v>54340</v>
      </c>
      <c r="AC539" s="2">
        <f t="shared" si="86"/>
        <v>4.9082081969064016E-2</v>
      </c>
      <c r="AD539" s="2"/>
      <c r="AE539">
        <f t="shared" si="87"/>
        <v>1080719</v>
      </c>
      <c r="AF539">
        <f t="shared" si="88"/>
        <v>70522</v>
      </c>
      <c r="AH539" s="2">
        <f t="shared" si="89"/>
        <v>6.1257373564701047E-2</v>
      </c>
      <c r="AI539" s="2"/>
      <c r="AJ539" s="2"/>
    </row>
    <row r="540" spans="2:36" x14ac:dyDescent="0.25">
      <c r="B540" s="1">
        <v>43165</v>
      </c>
      <c r="C540">
        <v>469822</v>
      </c>
      <c r="D540">
        <v>28698</v>
      </c>
      <c r="F540" s="2">
        <f t="shared" si="82"/>
        <v>5.7566396533739871E-2</v>
      </c>
      <c r="I540">
        <v>479887</v>
      </c>
      <c r="J540">
        <v>33864</v>
      </c>
      <c r="L540" s="2">
        <f t="shared" si="83"/>
        <v>6.59152001650605E-2</v>
      </c>
      <c r="N540">
        <v>571550</v>
      </c>
      <c r="O540">
        <v>40007</v>
      </c>
      <c r="Q540" s="2">
        <f t="shared" si="84"/>
        <v>6.5418268452490935E-2</v>
      </c>
      <c r="T540">
        <v>587077</v>
      </c>
      <c r="U540">
        <v>47293</v>
      </c>
      <c r="W540" s="2">
        <f t="shared" si="85"/>
        <v>7.4551129467030283E-2</v>
      </c>
      <c r="Z540">
        <f t="shared" si="80"/>
        <v>1041372</v>
      </c>
      <c r="AA540">
        <f t="shared" si="81"/>
        <v>68705</v>
      </c>
      <c r="AC540" s="2">
        <f t="shared" si="86"/>
        <v>6.189210298024371E-2</v>
      </c>
      <c r="AD540" s="2"/>
      <c r="AE540">
        <f t="shared" si="87"/>
        <v>1066964</v>
      </c>
      <c r="AF540">
        <f t="shared" si="88"/>
        <v>81157</v>
      </c>
      <c r="AH540" s="2">
        <f t="shared" si="89"/>
        <v>7.0686800433055405E-2</v>
      </c>
      <c r="AI540" s="2"/>
      <c r="AJ540" s="2"/>
    </row>
    <row r="541" spans="2:36" x14ac:dyDescent="0.25">
      <c r="B541" s="1">
        <v>43172</v>
      </c>
      <c r="C541">
        <v>455113</v>
      </c>
      <c r="D541">
        <v>30106</v>
      </c>
      <c r="F541" s="2">
        <f t="shared" si="82"/>
        <v>6.2046210061848364E-2</v>
      </c>
      <c r="I541">
        <v>462561</v>
      </c>
      <c r="J541">
        <v>36643</v>
      </c>
      <c r="L541" s="2">
        <f t="shared" si="83"/>
        <v>7.3402857348899453E-2</v>
      </c>
      <c r="N541">
        <v>574363</v>
      </c>
      <c r="O541">
        <v>34233</v>
      </c>
      <c r="Q541" s="2">
        <f t="shared" si="84"/>
        <v>5.6249137358773307E-2</v>
      </c>
      <c r="T541">
        <v>581340</v>
      </c>
      <c r="U541">
        <v>40962</v>
      </c>
      <c r="W541" s="2">
        <f t="shared" si="85"/>
        <v>6.5823346220966666E-2</v>
      </c>
      <c r="Z541">
        <f t="shared" si="80"/>
        <v>1029476</v>
      </c>
      <c r="AA541">
        <f t="shared" si="81"/>
        <v>64339</v>
      </c>
      <c r="AC541" s="2">
        <f t="shared" si="86"/>
        <v>5.8820732939299604E-2</v>
      </c>
      <c r="AD541" s="2"/>
      <c r="AE541">
        <f t="shared" si="87"/>
        <v>1043901</v>
      </c>
      <c r="AF541">
        <f t="shared" si="88"/>
        <v>77605</v>
      </c>
      <c r="AH541" s="2">
        <f t="shared" si="89"/>
        <v>6.9197133140616277E-2</v>
      </c>
      <c r="AI541" s="2"/>
      <c r="AJ541" s="2"/>
    </row>
    <row r="542" spans="2:36" x14ac:dyDescent="0.25">
      <c r="B542" s="1">
        <v>43179</v>
      </c>
      <c r="C542">
        <v>479798</v>
      </c>
      <c r="D542">
        <v>23570</v>
      </c>
      <c r="F542" s="2">
        <f t="shared" si="82"/>
        <v>4.682458956469223E-2</v>
      </c>
      <c r="I542">
        <v>486297</v>
      </c>
      <c r="J542">
        <v>27688</v>
      </c>
      <c r="L542" s="2">
        <f t="shared" si="83"/>
        <v>5.3869276340749242E-2</v>
      </c>
      <c r="N542">
        <v>599562</v>
      </c>
      <c r="O542">
        <v>38354</v>
      </c>
      <c r="Q542" s="2">
        <f t="shared" si="84"/>
        <v>6.0123903460643724E-2</v>
      </c>
      <c r="T542">
        <v>614812</v>
      </c>
      <c r="U542">
        <v>47718</v>
      </c>
      <c r="W542" s="2">
        <f t="shared" si="85"/>
        <v>7.2023908351319943E-2</v>
      </c>
      <c r="Z542">
        <f t="shared" si="80"/>
        <v>1079360</v>
      </c>
      <c r="AA542">
        <f t="shared" si="81"/>
        <v>61924</v>
      </c>
      <c r="AC542" s="2">
        <f t="shared" si="86"/>
        <v>5.4258186393570752E-2</v>
      </c>
      <c r="AD542" s="2"/>
      <c r="AE542">
        <f t="shared" si="87"/>
        <v>1101109</v>
      </c>
      <c r="AF542">
        <f t="shared" si="88"/>
        <v>75406</v>
      </c>
      <c r="AH542" s="2">
        <f t="shared" si="89"/>
        <v>6.4092680501311075E-2</v>
      </c>
      <c r="AI542" s="2"/>
      <c r="AJ542" s="2"/>
    </row>
    <row r="543" spans="2:36" x14ac:dyDescent="0.25">
      <c r="B543" s="1">
        <v>43186</v>
      </c>
      <c r="C543">
        <v>493496</v>
      </c>
      <c r="D543">
        <v>30072</v>
      </c>
      <c r="F543" s="2">
        <f t="shared" si="82"/>
        <v>5.7436665342419702E-2</v>
      </c>
      <c r="I543">
        <v>498539</v>
      </c>
      <c r="J543">
        <v>30524</v>
      </c>
      <c r="L543" s="2">
        <f t="shared" si="83"/>
        <v>5.7694452267499335E-2</v>
      </c>
      <c r="N543">
        <v>624565</v>
      </c>
      <c r="O543">
        <v>28969</v>
      </c>
      <c r="Q543" s="2">
        <f t="shared" si="84"/>
        <v>4.4326691495775276E-2</v>
      </c>
      <c r="T543">
        <v>658060</v>
      </c>
      <c r="U543">
        <v>42400</v>
      </c>
      <c r="W543" s="2">
        <f t="shared" si="85"/>
        <v>6.0531650629586271E-2</v>
      </c>
      <c r="Z543">
        <f t="shared" si="80"/>
        <v>1118061</v>
      </c>
      <c r="AA543">
        <f t="shared" si="81"/>
        <v>59041</v>
      </c>
      <c r="AC543" s="2">
        <f t="shared" si="86"/>
        <v>5.0157930238840812E-2</v>
      </c>
      <c r="AD543" s="2"/>
      <c r="AE543">
        <f t="shared" si="87"/>
        <v>1156599</v>
      </c>
      <c r="AF543">
        <f t="shared" si="88"/>
        <v>72924</v>
      </c>
      <c r="AH543" s="2">
        <f t="shared" si="89"/>
        <v>5.9310805897896987E-2</v>
      </c>
      <c r="AI543" s="2"/>
      <c r="AJ543" s="2"/>
    </row>
    <row r="544" spans="2:36" x14ac:dyDescent="0.25">
      <c r="B544" s="1">
        <v>43193</v>
      </c>
      <c r="C544">
        <v>454856</v>
      </c>
      <c r="D544">
        <v>33792</v>
      </c>
      <c r="F544" s="2">
        <f t="shared" si="82"/>
        <v>6.9154074098328452E-2</v>
      </c>
      <c r="I544">
        <v>461828</v>
      </c>
      <c r="J544">
        <v>37572</v>
      </c>
      <c r="L544" s="2">
        <f t="shared" si="83"/>
        <v>7.5234281137364842E-2</v>
      </c>
      <c r="N544">
        <v>622174</v>
      </c>
      <c r="O544">
        <v>21655</v>
      </c>
      <c r="Q544" s="2">
        <f t="shared" si="84"/>
        <v>3.3634707352418108E-2</v>
      </c>
      <c r="T544">
        <v>642790</v>
      </c>
      <c r="U544">
        <v>30855</v>
      </c>
      <c r="W544" s="2">
        <f t="shared" si="85"/>
        <v>4.5803056506023204E-2</v>
      </c>
      <c r="Z544">
        <f t="shared" si="80"/>
        <v>1077030</v>
      </c>
      <c r="AA544">
        <f t="shared" si="81"/>
        <v>55447</v>
      </c>
      <c r="AC544" s="2">
        <f t="shared" si="86"/>
        <v>4.8960817747291996E-2</v>
      </c>
      <c r="AD544" s="2"/>
      <c r="AE544">
        <f t="shared" si="87"/>
        <v>1104618</v>
      </c>
      <c r="AF544">
        <f t="shared" si="88"/>
        <v>68427</v>
      </c>
      <c r="AH544" s="2">
        <f t="shared" si="89"/>
        <v>5.8332800531948906E-2</v>
      </c>
      <c r="AI544" s="2"/>
      <c r="AJ544" s="2"/>
    </row>
    <row r="545" spans="2:36" x14ac:dyDescent="0.25">
      <c r="B545" s="1">
        <v>43200</v>
      </c>
      <c r="C545">
        <v>450579</v>
      </c>
      <c r="D545">
        <v>33777</v>
      </c>
      <c r="F545" s="2">
        <f t="shared" si="82"/>
        <v>6.9735896737110725E-2</v>
      </c>
      <c r="I545">
        <v>453890</v>
      </c>
      <c r="J545">
        <v>36240</v>
      </c>
      <c r="L545" s="2">
        <f t="shared" si="83"/>
        <v>7.3939567053638827E-2</v>
      </c>
      <c r="N545">
        <v>634302</v>
      </c>
      <c r="O545">
        <v>19687</v>
      </c>
      <c r="Q545" s="2">
        <f t="shared" si="84"/>
        <v>3.0102952801958443E-2</v>
      </c>
      <c r="T545">
        <v>665130</v>
      </c>
      <c r="U545">
        <v>32676</v>
      </c>
      <c r="W545" s="2">
        <f t="shared" si="85"/>
        <v>4.682676847146628E-2</v>
      </c>
      <c r="Z545">
        <f t="shared" si="80"/>
        <v>1084881</v>
      </c>
      <c r="AA545">
        <f t="shared" si="81"/>
        <v>53464</v>
      </c>
      <c r="AC545" s="2">
        <f t="shared" si="86"/>
        <v>4.6966429333813564E-2</v>
      </c>
      <c r="AD545" s="2"/>
      <c r="AE545">
        <f t="shared" si="87"/>
        <v>1119020</v>
      </c>
      <c r="AF545">
        <f t="shared" si="88"/>
        <v>68916</v>
      </c>
      <c r="AH545" s="2">
        <f t="shared" si="89"/>
        <v>5.801322630175363E-2</v>
      </c>
      <c r="AI545" s="2"/>
      <c r="AJ545" s="2"/>
    </row>
    <row r="546" spans="2:36" x14ac:dyDescent="0.25">
      <c r="B546" s="1">
        <v>43207</v>
      </c>
      <c r="C546">
        <v>460778</v>
      </c>
      <c r="D546">
        <v>29221</v>
      </c>
      <c r="F546" s="2">
        <f t="shared" si="82"/>
        <v>5.9634815581256287E-2</v>
      </c>
      <c r="I546">
        <v>475518</v>
      </c>
      <c r="J546">
        <v>33110</v>
      </c>
      <c r="L546" s="2">
        <f t="shared" si="83"/>
        <v>6.509669149162059E-2</v>
      </c>
      <c r="N546">
        <v>629847</v>
      </c>
      <c r="O546">
        <v>22796</v>
      </c>
      <c r="Q546" s="2">
        <f t="shared" si="84"/>
        <v>3.4928743585696927E-2</v>
      </c>
      <c r="T546">
        <v>652258</v>
      </c>
      <c r="U546">
        <v>32376</v>
      </c>
      <c r="W546" s="2">
        <f t="shared" si="85"/>
        <v>4.7289500667509941E-2</v>
      </c>
      <c r="Z546">
        <f t="shared" si="80"/>
        <v>1090625</v>
      </c>
      <c r="AA546">
        <f t="shared" si="81"/>
        <v>52017</v>
      </c>
      <c r="AC546" s="2">
        <f t="shared" si="86"/>
        <v>4.5523444788481429E-2</v>
      </c>
      <c r="AD546" s="2"/>
      <c r="AE546">
        <f t="shared" si="87"/>
        <v>1127776</v>
      </c>
      <c r="AF546">
        <f t="shared" si="88"/>
        <v>65486</v>
      </c>
      <c r="AH546" s="2">
        <f t="shared" si="89"/>
        <v>5.4879816838213233E-2</v>
      </c>
      <c r="AI546" s="2"/>
      <c r="AJ546" s="2"/>
    </row>
    <row r="547" spans="2:36" x14ac:dyDescent="0.25">
      <c r="B547" s="1">
        <v>43214</v>
      </c>
      <c r="C547">
        <v>455634</v>
      </c>
      <c r="D547">
        <v>31038</v>
      </c>
      <c r="F547" s="2">
        <f t="shared" si="82"/>
        <v>6.377601341355163E-2</v>
      </c>
      <c r="I547">
        <v>468606</v>
      </c>
      <c r="J547">
        <v>35488</v>
      </c>
      <c r="L547" s="2">
        <f t="shared" si="83"/>
        <v>7.0399568334477303E-2</v>
      </c>
      <c r="N547">
        <v>624320</v>
      </c>
      <c r="O547">
        <v>24679</v>
      </c>
      <c r="Q547" s="2">
        <f t="shared" si="84"/>
        <v>3.8026252736907143E-2</v>
      </c>
      <c r="T547">
        <v>644839</v>
      </c>
      <c r="U547">
        <v>32353</v>
      </c>
      <c r="W547" s="2">
        <f t="shared" si="85"/>
        <v>4.7775224751621402E-2</v>
      </c>
      <c r="Z547">
        <f t="shared" si="80"/>
        <v>1079954</v>
      </c>
      <c r="AA547">
        <f t="shared" si="81"/>
        <v>55717</v>
      </c>
      <c r="AC547" s="2">
        <f t="shared" si="86"/>
        <v>4.9060863577567802E-2</v>
      </c>
      <c r="AD547" s="2"/>
      <c r="AE547">
        <f t="shared" si="87"/>
        <v>1113445</v>
      </c>
      <c r="AF547">
        <f t="shared" si="88"/>
        <v>67841</v>
      </c>
      <c r="AH547" s="2">
        <f t="shared" si="89"/>
        <v>5.7429784150493615E-2</v>
      </c>
      <c r="AI547" s="2"/>
      <c r="AJ547" s="2"/>
    </row>
    <row r="548" spans="2:36" x14ac:dyDescent="0.25">
      <c r="B548" s="1">
        <v>43221</v>
      </c>
      <c r="C548">
        <v>440176</v>
      </c>
      <c r="D548">
        <v>34075</v>
      </c>
      <c r="F548" s="2">
        <f t="shared" si="82"/>
        <v>7.1850138428806692E-2</v>
      </c>
      <c r="I548">
        <v>453111</v>
      </c>
      <c r="J548">
        <v>35064</v>
      </c>
      <c r="L548" s="2">
        <f t="shared" si="83"/>
        <v>7.1826701490244282E-2</v>
      </c>
      <c r="N548">
        <v>600249</v>
      </c>
      <c r="O548">
        <v>25332</v>
      </c>
      <c r="Q548" s="2">
        <f t="shared" si="84"/>
        <v>4.0493557189236883E-2</v>
      </c>
      <c r="T548">
        <v>628595</v>
      </c>
      <c r="U548">
        <v>37138</v>
      </c>
      <c r="W548" s="2">
        <f t="shared" si="85"/>
        <v>5.5785127070462182E-2</v>
      </c>
      <c r="Z548">
        <f t="shared" si="80"/>
        <v>1040425</v>
      </c>
      <c r="AA548">
        <f t="shared" si="81"/>
        <v>59407</v>
      </c>
      <c r="AC548" s="2">
        <f t="shared" si="86"/>
        <v>5.4014613140916067E-2</v>
      </c>
      <c r="AD548" s="2"/>
      <c r="AE548">
        <f t="shared" si="87"/>
        <v>1081706</v>
      </c>
      <c r="AF548">
        <f t="shared" si="88"/>
        <v>72202</v>
      </c>
      <c r="AH548" s="2">
        <f t="shared" si="89"/>
        <v>6.2571712822859366E-2</v>
      </c>
      <c r="AI548" s="2"/>
      <c r="AJ548" s="2"/>
    </row>
    <row r="549" spans="2:36" x14ac:dyDescent="0.25">
      <c r="B549" s="1">
        <v>43228</v>
      </c>
      <c r="C549">
        <v>428558</v>
      </c>
      <c r="D549">
        <v>25437</v>
      </c>
      <c r="F549" s="2">
        <f t="shared" si="82"/>
        <v>5.6029251423473828E-2</v>
      </c>
      <c r="I549">
        <v>438576</v>
      </c>
      <c r="J549">
        <v>27968</v>
      </c>
      <c r="L549" s="2">
        <f t="shared" si="83"/>
        <v>5.9947186117493743E-2</v>
      </c>
      <c r="N549">
        <v>579445</v>
      </c>
      <c r="O549">
        <v>31040</v>
      </c>
      <c r="Q549" s="2">
        <f t="shared" si="84"/>
        <v>5.0844820102050006E-2</v>
      </c>
      <c r="T549">
        <v>611377</v>
      </c>
      <c r="U549">
        <v>41929</v>
      </c>
      <c r="W549" s="2">
        <f t="shared" si="85"/>
        <v>6.4179725886491165E-2</v>
      </c>
      <c r="Z549">
        <f t="shared" si="80"/>
        <v>1008003</v>
      </c>
      <c r="AA549">
        <f t="shared" si="81"/>
        <v>56477</v>
      </c>
      <c r="AC549" s="2">
        <f t="shared" si="86"/>
        <v>5.3055952202014131E-2</v>
      </c>
      <c r="AD549" s="2"/>
      <c r="AE549">
        <f t="shared" si="87"/>
        <v>1049953</v>
      </c>
      <c r="AF549">
        <f t="shared" si="88"/>
        <v>69897</v>
      </c>
      <c r="AH549" s="2">
        <f t="shared" si="89"/>
        <v>6.2416395052908871E-2</v>
      </c>
      <c r="AI549" s="2"/>
      <c r="AJ549" s="2"/>
    </row>
    <row r="550" spans="2:36" x14ac:dyDescent="0.25">
      <c r="B550" s="1">
        <v>43235</v>
      </c>
      <c r="C550">
        <v>406139</v>
      </c>
      <c r="D550">
        <v>28683</v>
      </c>
      <c r="F550" s="2">
        <f t="shared" si="82"/>
        <v>6.5964923577923842E-2</v>
      </c>
      <c r="I550">
        <v>417321</v>
      </c>
      <c r="J550">
        <v>32038</v>
      </c>
      <c r="L550" s="2">
        <f t="shared" si="83"/>
        <v>7.129711433397351E-2</v>
      </c>
      <c r="N550">
        <v>573057</v>
      </c>
      <c r="O550">
        <v>54122</v>
      </c>
      <c r="Q550" s="2">
        <f t="shared" si="84"/>
        <v>8.6294343401166179E-2</v>
      </c>
      <c r="T550">
        <v>614877</v>
      </c>
      <c r="U550">
        <v>66322</v>
      </c>
      <c r="W550" s="2">
        <f t="shared" si="85"/>
        <v>9.7360683148389818E-2</v>
      </c>
      <c r="Z550">
        <f t="shared" si="80"/>
        <v>979196</v>
      </c>
      <c r="AA550">
        <f t="shared" si="81"/>
        <v>82805</v>
      </c>
      <c r="AC550" s="2">
        <f t="shared" si="86"/>
        <v>7.7970736374071217E-2</v>
      </c>
      <c r="AD550" s="2"/>
      <c r="AE550">
        <f t="shared" si="87"/>
        <v>1032198</v>
      </c>
      <c r="AF550">
        <f t="shared" si="88"/>
        <v>98360</v>
      </c>
      <c r="AH550" s="2">
        <f t="shared" si="89"/>
        <v>8.7001286090585356E-2</v>
      </c>
      <c r="AI550" s="2"/>
      <c r="AJ550" s="2"/>
    </row>
    <row r="551" spans="2:36" x14ac:dyDescent="0.25">
      <c r="B551" s="1">
        <v>43242</v>
      </c>
      <c r="C551">
        <v>385874</v>
      </c>
      <c r="D551">
        <v>31593</v>
      </c>
      <c r="F551" s="2">
        <f t="shared" si="82"/>
        <v>7.5677838008752787E-2</v>
      </c>
      <c r="I551">
        <v>416945</v>
      </c>
      <c r="J551">
        <v>39425</v>
      </c>
      <c r="L551" s="2">
        <f t="shared" si="83"/>
        <v>8.6388237614216531E-2</v>
      </c>
      <c r="N551">
        <v>540521</v>
      </c>
      <c r="O551">
        <v>66655</v>
      </c>
      <c r="Q551" s="2">
        <f t="shared" si="84"/>
        <v>0.10977871325612343</v>
      </c>
      <c r="T551">
        <v>582525</v>
      </c>
      <c r="U551">
        <v>80891</v>
      </c>
      <c r="W551" s="2">
        <f t="shared" si="85"/>
        <v>0.12193103573022056</v>
      </c>
      <c r="Z551">
        <f t="shared" si="80"/>
        <v>926395</v>
      </c>
      <c r="AA551">
        <f t="shared" si="81"/>
        <v>98248</v>
      </c>
      <c r="AC551" s="2">
        <f t="shared" si="86"/>
        <v>9.5885103396988025E-2</v>
      </c>
      <c r="AD551" s="2"/>
      <c r="AE551">
        <f t="shared" si="87"/>
        <v>999470</v>
      </c>
      <c r="AF551">
        <f t="shared" si="88"/>
        <v>120316</v>
      </c>
      <c r="AH551" s="2">
        <f t="shared" si="89"/>
        <v>0.10744552977086694</v>
      </c>
      <c r="AI551" s="2"/>
      <c r="AJ551" s="2"/>
    </row>
    <row r="552" spans="2:36" x14ac:dyDescent="0.25">
      <c r="B552" s="1">
        <v>43249</v>
      </c>
      <c r="C552">
        <v>351076</v>
      </c>
      <c r="D552">
        <v>50089</v>
      </c>
      <c r="F552" s="2">
        <f t="shared" si="82"/>
        <v>0.12485884860344247</v>
      </c>
      <c r="I552">
        <v>374904</v>
      </c>
      <c r="J552">
        <v>50669</v>
      </c>
      <c r="L552" s="2">
        <f t="shared" si="83"/>
        <v>0.11906065469378932</v>
      </c>
      <c r="N552">
        <v>507705</v>
      </c>
      <c r="O552">
        <v>72430</v>
      </c>
      <c r="Q552" s="2">
        <f t="shared" si="84"/>
        <v>0.12485025037275807</v>
      </c>
      <c r="T552">
        <v>536253</v>
      </c>
      <c r="U552">
        <v>84257</v>
      </c>
      <c r="W552" s="2">
        <f t="shared" si="85"/>
        <v>0.13578669159239981</v>
      </c>
      <c r="Z552">
        <f t="shared" si="80"/>
        <v>858781</v>
      </c>
      <c r="AA552">
        <f t="shared" si="81"/>
        <v>122519</v>
      </c>
      <c r="AC552" s="2">
        <f t="shared" si="86"/>
        <v>0.12485376541322735</v>
      </c>
      <c r="AD552" s="2"/>
      <c r="AE552">
        <f t="shared" si="87"/>
        <v>911157</v>
      </c>
      <c r="AF552">
        <f t="shared" si="88"/>
        <v>134926</v>
      </c>
      <c r="AH552" s="2">
        <f t="shared" si="89"/>
        <v>0.12898211709778287</v>
      </c>
      <c r="AI552" s="2"/>
      <c r="AJ552" s="2"/>
    </row>
    <row r="553" spans="2:36" x14ac:dyDescent="0.25">
      <c r="B553" s="1">
        <v>43256</v>
      </c>
      <c r="C553">
        <v>341644</v>
      </c>
      <c r="D553">
        <v>55468</v>
      </c>
      <c r="F553" s="2">
        <f t="shared" si="82"/>
        <v>0.13967847861560467</v>
      </c>
      <c r="I553">
        <v>362727</v>
      </c>
      <c r="J553">
        <v>49277</v>
      </c>
      <c r="L553" s="2">
        <f t="shared" si="83"/>
        <v>0.11960320773584722</v>
      </c>
      <c r="N553">
        <v>490030</v>
      </c>
      <c r="O553">
        <v>70082</v>
      </c>
      <c r="Q553" s="2">
        <f t="shared" si="84"/>
        <v>0.12512140429057045</v>
      </c>
      <c r="T553">
        <v>514585</v>
      </c>
      <c r="U553">
        <v>76399</v>
      </c>
      <c r="W553" s="2">
        <f t="shared" si="85"/>
        <v>0.12927422739025082</v>
      </c>
      <c r="Z553">
        <f t="shared" si="80"/>
        <v>831674</v>
      </c>
      <c r="AA553">
        <f t="shared" si="81"/>
        <v>125550</v>
      </c>
      <c r="AC553" s="2">
        <f t="shared" si="86"/>
        <v>0.13116052251092744</v>
      </c>
      <c r="AD553" s="2"/>
      <c r="AE553">
        <f t="shared" si="87"/>
        <v>877312</v>
      </c>
      <c r="AF553">
        <f t="shared" si="88"/>
        <v>125676</v>
      </c>
      <c r="AH553" s="2">
        <f t="shared" si="89"/>
        <v>0.12530159882271771</v>
      </c>
      <c r="AI553" s="2"/>
      <c r="AJ553" s="2"/>
    </row>
    <row r="554" spans="2:36" x14ac:dyDescent="0.25">
      <c r="B554" s="1">
        <v>43263</v>
      </c>
      <c r="C554">
        <v>351619</v>
      </c>
      <c r="D554">
        <v>61152</v>
      </c>
      <c r="F554" s="2">
        <f t="shared" si="82"/>
        <v>0.1481499427043082</v>
      </c>
      <c r="I554">
        <v>366478</v>
      </c>
      <c r="J554">
        <v>51415</v>
      </c>
      <c r="L554" s="2">
        <f t="shared" si="83"/>
        <v>0.12303388666476825</v>
      </c>
      <c r="N554">
        <v>502154</v>
      </c>
      <c r="O554">
        <v>64969</v>
      </c>
      <c r="Q554" s="2">
        <f t="shared" si="84"/>
        <v>0.11455892284389806</v>
      </c>
      <c r="T554">
        <v>529596</v>
      </c>
      <c r="U554">
        <v>73653</v>
      </c>
      <c r="W554" s="2">
        <f t="shared" si="85"/>
        <v>0.12209386173868501</v>
      </c>
      <c r="Z554">
        <f t="shared" si="80"/>
        <v>853773</v>
      </c>
      <c r="AA554">
        <f t="shared" si="81"/>
        <v>126121</v>
      </c>
      <c r="AC554" s="2">
        <f t="shared" si="86"/>
        <v>0.12870881952537724</v>
      </c>
      <c r="AD554" s="2"/>
      <c r="AE554">
        <f t="shared" si="87"/>
        <v>896074</v>
      </c>
      <c r="AF554">
        <f t="shared" si="88"/>
        <v>125068</v>
      </c>
      <c r="AH554" s="2">
        <f t="shared" si="89"/>
        <v>0.12247855831999858</v>
      </c>
      <c r="AI554" s="2"/>
      <c r="AJ554" s="2"/>
    </row>
    <row r="555" spans="2:36" x14ac:dyDescent="0.25">
      <c r="B555" s="1">
        <v>43270</v>
      </c>
      <c r="C555">
        <v>349807</v>
      </c>
      <c r="D555">
        <v>53944</v>
      </c>
      <c r="F555" s="2">
        <f t="shared" si="82"/>
        <v>0.13360709942514074</v>
      </c>
      <c r="I555">
        <v>364196</v>
      </c>
      <c r="J555">
        <v>50329</v>
      </c>
      <c r="L555" s="2">
        <f t="shared" si="83"/>
        <v>0.12141366624449672</v>
      </c>
      <c r="N555">
        <v>499818</v>
      </c>
      <c r="O555">
        <v>57639</v>
      </c>
      <c r="Q555" s="2">
        <f t="shared" si="84"/>
        <v>0.10339631576964681</v>
      </c>
      <c r="T555">
        <v>526935</v>
      </c>
      <c r="U555">
        <v>68486</v>
      </c>
      <c r="W555" s="2">
        <f t="shared" si="85"/>
        <v>0.11502113630523612</v>
      </c>
      <c r="Z555">
        <f t="shared" si="80"/>
        <v>849625</v>
      </c>
      <c r="AA555">
        <f t="shared" si="81"/>
        <v>111583</v>
      </c>
      <c r="AC555" s="2">
        <f t="shared" si="86"/>
        <v>0.11608621651089046</v>
      </c>
      <c r="AD555" s="2"/>
      <c r="AE555">
        <f t="shared" si="87"/>
        <v>891131</v>
      </c>
      <c r="AF555">
        <f t="shared" si="88"/>
        <v>118815</v>
      </c>
      <c r="AH555" s="2">
        <f t="shared" si="89"/>
        <v>0.11764490378693514</v>
      </c>
      <c r="AI555" s="2"/>
      <c r="AJ555" s="2"/>
    </row>
    <row r="556" spans="2:36" x14ac:dyDescent="0.25">
      <c r="B556" s="1">
        <v>43277</v>
      </c>
      <c r="C556">
        <v>398030</v>
      </c>
      <c r="D556">
        <v>19159</v>
      </c>
      <c r="F556" s="2">
        <f t="shared" si="82"/>
        <v>4.5924029636447747E-2</v>
      </c>
      <c r="I556">
        <v>410760</v>
      </c>
      <c r="J556">
        <v>19965</v>
      </c>
      <c r="L556" s="2">
        <f t="shared" si="83"/>
        <v>4.6352080794010098E-2</v>
      </c>
      <c r="N556">
        <v>491429</v>
      </c>
      <c r="O556">
        <v>58621</v>
      </c>
      <c r="Q556" s="2">
        <f t="shared" si="84"/>
        <v>0.10657394782292519</v>
      </c>
      <c r="T556">
        <v>519257</v>
      </c>
      <c r="U556">
        <v>66039</v>
      </c>
      <c r="W556" s="2">
        <f t="shared" si="85"/>
        <v>0.11283008939066728</v>
      </c>
      <c r="Z556">
        <f t="shared" si="80"/>
        <v>889459</v>
      </c>
      <c r="AA556">
        <f t="shared" si="81"/>
        <v>77780</v>
      </c>
      <c r="AC556" s="2">
        <f t="shared" si="86"/>
        <v>8.0414458060520722E-2</v>
      </c>
      <c r="AD556" s="2"/>
      <c r="AE556">
        <f t="shared" si="87"/>
        <v>930017</v>
      </c>
      <c r="AF556">
        <f t="shared" si="88"/>
        <v>86004</v>
      </c>
      <c r="AH556" s="2">
        <f t="shared" si="89"/>
        <v>8.4647856688001524E-2</v>
      </c>
      <c r="AI556" s="2"/>
      <c r="AJ556" s="2"/>
    </row>
    <row r="557" spans="2:36" x14ac:dyDescent="0.25">
      <c r="B557" s="1">
        <v>43284</v>
      </c>
      <c r="C557">
        <v>445884</v>
      </c>
      <c r="D557">
        <v>15056</v>
      </c>
      <c r="F557" s="2">
        <f t="shared" si="82"/>
        <v>3.266368724779798E-2</v>
      </c>
      <c r="I557">
        <v>451576</v>
      </c>
      <c r="J557">
        <v>17387</v>
      </c>
      <c r="L557" s="2">
        <f t="shared" si="83"/>
        <v>3.7075419596002246E-2</v>
      </c>
      <c r="N557">
        <v>484048</v>
      </c>
      <c r="O557">
        <v>50090</v>
      </c>
      <c r="Q557" s="2">
        <f t="shared" si="84"/>
        <v>9.3777263553613488E-2</v>
      </c>
      <c r="T557">
        <v>520119</v>
      </c>
      <c r="U557">
        <v>62731</v>
      </c>
      <c r="W557" s="2">
        <f t="shared" si="85"/>
        <v>0.10762803465728747</v>
      </c>
      <c r="Z557">
        <f t="shared" si="80"/>
        <v>929932</v>
      </c>
      <c r="AA557">
        <f t="shared" si="81"/>
        <v>65146</v>
      </c>
      <c r="AC557" s="2">
        <f t="shared" si="86"/>
        <v>6.5468234650951987E-2</v>
      </c>
      <c r="AD557" s="2"/>
      <c r="AE557">
        <f t="shared" si="87"/>
        <v>971695</v>
      </c>
      <c r="AF557">
        <f t="shared" si="88"/>
        <v>80118</v>
      </c>
      <c r="AH557" s="2">
        <f t="shared" si="89"/>
        <v>7.6171334638381535E-2</v>
      </c>
      <c r="AI557" s="2"/>
      <c r="AJ557" s="2"/>
    </row>
    <row r="558" spans="2:36" x14ac:dyDescent="0.25">
      <c r="B558" s="1">
        <v>43291</v>
      </c>
      <c r="C558">
        <v>447069</v>
      </c>
      <c r="D558">
        <v>17353</v>
      </c>
      <c r="F558" s="2">
        <f t="shared" si="82"/>
        <v>3.7364724323998434E-2</v>
      </c>
      <c r="I558">
        <v>452688</v>
      </c>
      <c r="J558">
        <v>18750</v>
      </c>
      <c r="L558" s="2">
        <f t="shared" si="83"/>
        <v>3.9771931834090592E-2</v>
      </c>
      <c r="N558">
        <v>473856</v>
      </c>
      <c r="O558">
        <v>47996</v>
      </c>
      <c r="Q558" s="2">
        <f t="shared" si="84"/>
        <v>9.1972436629542478E-2</v>
      </c>
      <c r="T558">
        <v>509068</v>
      </c>
      <c r="U558">
        <v>61267</v>
      </c>
      <c r="W558" s="2">
        <f t="shared" si="85"/>
        <v>0.10742283044175792</v>
      </c>
      <c r="Z558">
        <f t="shared" si="80"/>
        <v>920925</v>
      </c>
      <c r="AA558">
        <f t="shared" si="81"/>
        <v>65349</v>
      </c>
      <c r="AC558" s="2">
        <f t="shared" si="86"/>
        <v>6.6258463672366902E-2</v>
      </c>
      <c r="AD558" s="2"/>
      <c r="AE558">
        <f t="shared" si="87"/>
        <v>961756</v>
      </c>
      <c r="AF558">
        <f t="shared" si="88"/>
        <v>80017</v>
      </c>
      <c r="AH558" s="2">
        <f t="shared" si="89"/>
        <v>7.6808479390423831E-2</v>
      </c>
      <c r="AI558" s="2"/>
      <c r="AJ558" s="2"/>
    </row>
    <row r="559" spans="2:36" x14ac:dyDescent="0.25">
      <c r="B559" s="1">
        <v>43298</v>
      </c>
      <c r="C559">
        <v>404894</v>
      </c>
      <c r="D559">
        <v>14132</v>
      </c>
      <c r="F559" s="2">
        <f t="shared" si="82"/>
        <v>3.3725830855364583E-2</v>
      </c>
      <c r="I559">
        <v>419043</v>
      </c>
      <c r="J559">
        <v>17353</v>
      </c>
      <c r="L559" s="2">
        <f t="shared" si="83"/>
        <v>3.9764342477932889E-2</v>
      </c>
      <c r="N559">
        <v>412258</v>
      </c>
      <c r="O559">
        <v>71243</v>
      </c>
      <c r="Q559" s="2">
        <f t="shared" si="84"/>
        <v>0.14734819576381433</v>
      </c>
      <c r="T559">
        <v>415529</v>
      </c>
      <c r="U559">
        <v>62284</v>
      </c>
      <c r="W559" s="2">
        <f t="shared" si="85"/>
        <v>0.13035225077593118</v>
      </c>
      <c r="Z559">
        <f t="shared" si="80"/>
        <v>817152</v>
      </c>
      <c r="AA559">
        <f t="shared" si="81"/>
        <v>85375</v>
      </c>
      <c r="AC559" s="2">
        <f t="shared" si="86"/>
        <v>9.4595507946022672E-2</v>
      </c>
      <c r="AD559" s="2"/>
      <c r="AE559">
        <f t="shared" si="87"/>
        <v>834572</v>
      </c>
      <c r="AF559">
        <f t="shared" si="88"/>
        <v>79637</v>
      </c>
      <c r="AH559" s="2">
        <f t="shared" si="89"/>
        <v>8.7110277846750572E-2</v>
      </c>
      <c r="AI559" s="2"/>
      <c r="AJ559" s="2"/>
    </row>
    <row r="560" spans="2:36" x14ac:dyDescent="0.25">
      <c r="B560" s="1">
        <v>43305</v>
      </c>
      <c r="C560">
        <v>399534</v>
      </c>
      <c r="D560">
        <v>15889</v>
      </c>
      <c r="F560" s="2">
        <f t="shared" si="82"/>
        <v>3.8247761919778155E-2</v>
      </c>
      <c r="I560">
        <v>412030</v>
      </c>
      <c r="J560">
        <v>19883</v>
      </c>
      <c r="L560" s="2">
        <f t="shared" si="83"/>
        <v>4.6034733846862678E-2</v>
      </c>
      <c r="N560">
        <v>406374</v>
      </c>
      <c r="O560">
        <v>51946</v>
      </c>
      <c r="Q560" s="2">
        <f t="shared" si="84"/>
        <v>0.11334002443707453</v>
      </c>
      <c r="T560">
        <v>425663</v>
      </c>
      <c r="U560">
        <v>58023</v>
      </c>
      <c r="W560" s="2">
        <f t="shared" si="85"/>
        <v>0.11996005673101971</v>
      </c>
      <c r="Z560">
        <f t="shared" si="80"/>
        <v>805908</v>
      </c>
      <c r="AA560">
        <f t="shared" si="81"/>
        <v>67835</v>
      </c>
      <c r="AC560" s="2">
        <f t="shared" si="86"/>
        <v>7.7637245734729771E-2</v>
      </c>
      <c r="AD560" s="2"/>
      <c r="AE560">
        <f t="shared" si="87"/>
        <v>837693</v>
      </c>
      <c r="AF560">
        <f t="shared" si="88"/>
        <v>77906</v>
      </c>
      <c r="AH560" s="2">
        <f t="shared" si="89"/>
        <v>8.5087467330130326E-2</v>
      </c>
      <c r="AI560" s="2"/>
      <c r="AJ560" s="2"/>
    </row>
    <row r="561" spans="2:36" x14ac:dyDescent="0.25">
      <c r="B561" s="1">
        <v>43312</v>
      </c>
      <c r="C561">
        <v>402496</v>
      </c>
      <c r="D561">
        <v>18051</v>
      </c>
      <c r="F561" s="2">
        <f t="shared" si="82"/>
        <v>4.2922669761049304E-2</v>
      </c>
      <c r="I561">
        <v>408336</v>
      </c>
      <c r="J561">
        <v>21572</v>
      </c>
      <c r="L561" s="2">
        <f t="shared" si="83"/>
        <v>5.0178177656614906E-2</v>
      </c>
      <c r="N561">
        <v>397721</v>
      </c>
      <c r="O561">
        <v>39736</v>
      </c>
      <c r="Q561" s="2">
        <f t="shared" si="84"/>
        <v>9.0834070548648213E-2</v>
      </c>
      <c r="T561">
        <v>420481</v>
      </c>
      <c r="U561">
        <v>48135</v>
      </c>
      <c r="W561" s="2">
        <f t="shared" si="85"/>
        <v>0.10271736347030404</v>
      </c>
      <c r="Z561">
        <f t="shared" si="80"/>
        <v>800217</v>
      </c>
      <c r="AA561">
        <f t="shared" si="81"/>
        <v>57787</v>
      </c>
      <c r="AC561" s="2">
        <f t="shared" si="86"/>
        <v>6.7350501862462178E-2</v>
      </c>
      <c r="AD561" s="2"/>
      <c r="AE561">
        <f t="shared" si="87"/>
        <v>828817</v>
      </c>
      <c r="AF561">
        <f t="shared" si="88"/>
        <v>69707</v>
      </c>
      <c r="AH561" s="2">
        <f t="shared" si="89"/>
        <v>7.7579452524362172E-2</v>
      </c>
      <c r="AI561" s="2"/>
      <c r="AJ561" s="2"/>
    </row>
    <row r="562" spans="2:36" x14ac:dyDescent="0.25">
      <c r="B562" s="1">
        <v>43319</v>
      </c>
      <c r="C562">
        <v>396109</v>
      </c>
      <c r="D562">
        <v>16864</v>
      </c>
      <c r="F562" s="2">
        <f t="shared" si="82"/>
        <v>4.0835599421753965E-2</v>
      </c>
      <c r="I562">
        <v>401085</v>
      </c>
      <c r="J562">
        <v>22498</v>
      </c>
      <c r="L562" s="2">
        <f t="shared" si="83"/>
        <v>5.3113557437385356E-2</v>
      </c>
      <c r="N562">
        <v>387947</v>
      </c>
      <c r="O562">
        <v>43945</v>
      </c>
      <c r="Q562" s="2">
        <f t="shared" si="84"/>
        <v>0.10174997453066971</v>
      </c>
      <c r="T562">
        <v>402550</v>
      </c>
      <c r="U562">
        <v>48645</v>
      </c>
      <c r="W562" s="2">
        <f t="shared" si="85"/>
        <v>0.10781369474395772</v>
      </c>
      <c r="Z562">
        <f t="shared" si="80"/>
        <v>784056</v>
      </c>
      <c r="AA562">
        <f t="shared" si="81"/>
        <v>60809</v>
      </c>
      <c r="AC562" s="2">
        <f t="shared" si="86"/>
        <v>7.1974812544015915E-2</v>
      </c>
      <c r="AD562" s="2"/>
      <c r="AE562">
        <f t="shared" si="87"/>
        <v>803635</v>
      </c>
      <c r="AF562">
        <f t="shared" si="88"/>
        <v>71143</v>
      </c>
      <c r="AH562" s="2">
        <f t="shared" si="89"/>
        <v>8.1326919515579951E-2</v>
      </c>
      <c r="AI562" s="2"/>
      <c r="AJ562" s="2"/>
    </row>
    <row r="563" spans="2:36" x14ac:dyDescent="0.25">
      <c r="B563" s="1">
        <v>43326</v>
      </c>
      <c r="C563">
        <v>353696</v>
      </c>
      <c r="D563">
        <v>21188</v>
      </c>
      <c r="F563" s="2">
        <f t="shared" si="82"/>
        <v>5.6518816487233385E-2</v>
      </c>
      <c r="I563">
        <v>362681</v>
      </c>
      <c r="J563">
        <v>21285</v>
      </c>
      <c r="L563" s="2">
        <f t="shared" si="83"/>
        <v>5.5434595771500603E-2</v>
      </c>
      <c r="N563">
        <v>378272</v>
      </c>
      <c r="O563">
        <v>45066</v>
      </c>
      <c r="Q563" s="2">
        <f t="shared" si="84"/>
        <v>0.10645394460218549</v>
      </c>
      <c r="T563">
        <v>381402</v>
      </c>
      <c r="U563">
        <v>44986</v>
      </c>
      <c r="W563" s="2">
        <f t="shared" si="85"/>
        <v>0.10550484535212061</v>
      </c>
      <c r="Z563">
        <f t="shared" si="80"/>
        <v>731968</v>
      </c>
      <c r="AA563">
        <f t="shared" si="81"/>
        <v>66254</v>
      </c>
      <c r="AC563" s="2">
        <f t="shared" si="86"/>
        <v>8.3001971882508879E-2</v>
      </c>
      <c r="AD563" s="2"/>
      <c r="AE563">
        <f t="shared" si="87"/>
        <v>744083</v>
      </c>
      <c r="AF563">
        <f t="shared" si="88"/>
        <v>66271</v>
      </c>
      <c r="AH563" s="2">
        <f t="shared" si="89"/>
        <v>8.1780308359062831E-2</v>
      </c>
      <c r="AI563" s="2"/>
      <c r="AJ563" s="2"/>
    </row>
    <row r="564" spans="2:36" x14ac:dyDescent="0.25">
      <c r="B564" s="1">
        <v>43333</v>
      </c>
      <c r="C564">
        <v>364895</v>
      </c>
      <c r="D564">
        <v>33235</v>
      </c>
      <c r="F564" s="2">
        <f t="shared" si="82"/>
        <v>8.3477758521086076E-2</v>
      </c>
      <c r="I564">
        <v>364143</v>
      </c>
      <c r="J564">
        <v>36401</v>
      </c>
      <c r="L564" s="2">
        <f t="shared" si="83"/>
        <v>9.087890468962212E-2</v>
      </c>
      <c r="N564">
        <v>357969</v>
      </c>
      <c r="O564">
        <v>39473</v>
      </c>
      <c r="Q564" s="2">
        <f t="shared" si="84"/>
        <v>9.9317636284036406E-2</v>
      </c>
      <c r="T564">
        <v>365011</v>
      </c>
      <c r="U564">
        <v>40580</v>
      </c>
      <c r="W564" s="2">
        <f t="shared" si="85"/>
        <v>0.10005152974301698</v>
      </c>
      <c r="Z564">
        <f t="shared" si="80"/>
        <v>722864</v>
      </c>
      <c r="AA564">
        <f t="shared" si="81"/>
        <v>72708</v>
      </c>
      <c r="AC564" s="2">
        <f t="shared" si="86"/>
        <v>9.1390848345592857E-2</v>
      </c>
      <c r="AD564" s="2"/>
      <c r="AE564">
        <f t="shared" si="87"/>
        <v>729154</v>
      </c>
      <c r="AF564">
        <f t="shared" si="88"/>
        <v>76981</v>
      </c>
      <c r="AH564" s="2">
        <f t="shared" si="89"/>
        <v>9.5493930917278119E-2</v>
      </c>
      <c r="AI564" s="2"/>
      <c r="AJ564" s="2"/>
    </row>
    <row r="565" spans="2:36" x14ac:dyDescent="0.25">
      <c r="B565" s="1">
        <v>43340</v>
      </c>
      <c r="C565">
        <v>378229</v>
      </c>
      <c r="D565">
        <v>19992</v>
      </c>
      <c r="F565" s="2">
        <f t="shared" si="82"/>
        <v>5.0203279083724864E-2</v>
      </c>
      <c r="I565">
        <v>373790</v>
      </c>
      <c r="J565">
        <v>22309</v>
      </c>
      <c r="L565" s="2">
        <f t="shared" si="83"/>
        <v>5.6321778141323255E-2</v>
      </c>
      <c r="N565">
        <v>411733</v>
      </c>
      <c r="O565">
        <v>29981</v>
      </c>
      <c r="Q565" s="2">
        <f t="shared" si="84"/>
        <v>6.7874235364964661E-2</v>
      </c>
      <c r="T565">
        <v>427939</v>
      </c>
      <c r="U565">
        <v>38873</v>
      </c>
      <c r="W565" s="2">
        <f t="shared" si="85"/>
        <v>8.3273352013230162E-2</v>
      </c>
      <c r="Z565">
        <f t="shared" si="80"/>
        <v>789962</v>
      </c>
      <c r="AA565">
        <f t="shared" si="81"/>
        <v>49973</v>
      </c>
      <c r="AC565" s="2">
        <f t="shared" si="86"/>
        <v>5.9496270544744531E-2</v>
      </c>
      <c r="AD565" s="2"/>
      <c r="AE565">
        <f t="shared" si="87"/>
        <v>801729</v>
      </c>
      <c r="AF565">
        <f t="shared" si="88"/>
        <v>61182</v>
      </c>
      <c r="AH565" s="2">
        <f t="shared" si="89"/>
        <v>7.090186589346989E-2</v>
      </c>
      <c r="AI565" s="2"/>
      <c r="AJ565" s="2"/>
    </row>
    <row r="566" spans="2:36" x14ac:dyDescent="0.25">
      <c r="B566" s="1">
        <v>43347</v>
      </c>
      <c r="C566">
        <v>396983</v>
      </c>
      <c r="D566">
        <v>19242</v>
      </c>
      <c r="F566" s="2">
        <f t="shared" si="82"/>
        <v>4.6229803591807318E-2</v>
      </c>
      <c r="I566">
        <v>391474</v>
      </c>
      <c r="J566">
        <v>26464</v>
      </c>
      <c r="L566" s="2">
        <f t="shared" si="83"/>
        <v>6.332039680526777E-2</v>
      </c>
      <c r="N566">
        <v>440530</v>
      </c>
      <c r="O566">
        <v>30270</v>
      </c>
      <c r="Q566" s="2">
        <f t="shared" si="84"/>
        <v>6.4294817332200507E-2</v>
      </c>
      <c r="T566">
        <v>457716</v>
      </c>
      <c r="U566">
        <v>40974</v>
      </c>
      <c r="W566" s="2">
        <f t="shared" si="85"/>
        <v>8.2163267761535222E-2</v>
      </c>
      <c r="Z566">
        <f t="shared" si="80"/>
        <v>837513</v>
      </c>
      <c r="AA566">
        <f t="shared" si="81"/>
        <v>49512</v>
      </c>
      <c r="AC566" s="2">
        <f t="shared" si="86"/>
        <v>5.5818043459879937E-2</v>
      </c>
      <c r="AD566" s="2"/>
      <c r="AE566">
        <f t="shared" si="87"/>
        <v>849190</v>
      </c>
      <c r="AF566">
        <f t="shared" si="88"/>
        <v>67438</v>
      </c>
      <c r="AH566" s="2">
        <f t="shared" si="89"/>
        <v>7.3571830666311747E-2</v>
      </c>
      <c r="AI566" s="2"/>
      <c r="AJ566" s="2"/>
    </row>
    <row r="567" spans="2:36" x14ac:dyDescent="0.25">
      <c r="B567" s="1">
        <v>43354</v>
      </c>
      <c r="C567">
        <v>373377</v>
      </c>
      <c r="D567">
        <v>24809</v>
      </c>
      <c r="F567" s="2">
        <f t="shared" si="82"/>
        <v>6.2305053417247215E-2</v>
      </c>
      <c r="I567">
        <v>371940</v>
      </c>
      <c r="J567">
        <v>25613</v>
      </c>
      <c r="L567" s="2">
        <f t="shared" si="83"/>
        <v>6.4426629908465038E-2</v>
      </c>
      <c r="N567">
        <v>459740</v>
      </c>
      <c r="O567">
        <v>26253</v>
      </c>
      <c r="Q567" s="2">
        <f t="shared" si="84"/>
        <v>5.4019296574230491E-2</v>
      </c>
      <c r="T567">
        <v>478694</v>
      </c>
      <c r="U567">
        <v>38620</v>
      </c>
      <c r="W567" s="2">
        <f t="shared" si="85"/>
        <v>7.4654851792141722E-2</v>
      </c>
      <c r="Z567">
        <f t="shared" si="80"/>
        <v>833117</v>
      </c>
      <c r="AA567">
        <f t="shared" si="81"/>
        <v>51062</v>
      </c>
      <c r="AC567" s="2">
        <f t="shared" si="86"/>
        <v>5.7750749565416051E-2</v>
      </c>
      <c r="AD567" s="2"/>
      <c r="AE567">
        <f t="shared" si="87"/>
        <v>850634</v>
      </c>
      <c r="AF567">
        <f t="shared" si="88"/>
        <v>64233</v>
      </c>
      <c r="AH567" s="2">
        <f t="shared" si="89"/>
        <v>7.0210205417836694E-2</v>
      </c>
      <c r="AI567" s="2"/>
      <c r="AJ567" s="2"/>
    </row>
    <row r="568" spans="2:36" x14ac:dyDescent="0.25">
      <c r="B568" s="1">
        <v>43361</v>
      </c>
      <c r="C568">
        <v>352604</v>
      </c>
      <c r="D568">
        <v>25847</v>
      </c>
      <c r="F568" s="2">
        <f t="shared" si="82"/>
        <v>6.8296820460244517E-2</v>
      </c>
      <c r="I568">
        <v>357288</v>
      </c>
      <c r="J568">
        <v>24180</v>
      </c>
      <c r="L568" s="2">
        <f t="shared" si="83"/>
        <v>6.3386706093302714E-2</v>
      </c>
      <c r="N568">
        <v>477655</v>
      </c>
      <c r="O568">
        <v>26442</v>
      </c>
      <c r="Q568" s="2">
        <f t="shared" si="84"/>
        <v>5.2454190364156106E-2</v>
      </c>
      <c r="T568">
        <v>499224</v>
      </c>
      <c r="U568">
        <v>31346</v>
      </c>
      <c r="W568" s="2">
        <f t="shared" si="85"/>
        <v>5.9079857511732663E-2</v>
      </c>
      <c r="Z568">
        <f t="shared" si="80"/>
        <v>830259</v>
      </c>
      <c r="AA568">
        <f t="shared" si="81"/>
        <v>52289</v>
      </c>
      <c r="AC568" s="2">
        <f t="shared" si="86"/>
        <v>5.9247768959875269E-2</v>
      </c>
      <c r="AD568" s="2"/>
      <c r="AE568">
        <f t="shared" si="87"/>
        <v>856512</v>
      </c>
      <c r="AF568">
        <f t="shared" si="88"/>
        <v>55526</v>
      </c>
      <c r="AH568" s="2">
        <f t="shared" si="89"/>
        <v>6.088123521169074E-2</v>
      </c>
      <c r="AI568" s="2"/>
      <c r="AJ568" s="2"/>
    </row>
    <row r="569" spans="2:36" x14ac:dyDescent="0.25">
      <c r="B569" s="1">
        <v>43368</v>
      </c>
      <c r="C569">
        <v>358204</v>
      </c>
      <c r="D569">
        <v>24563</v>
      </c>
      <c r="F569" s="2">
        <f t="shared" si="82"/>
        <v>6.4172198752766044E-2</v>
      </c>
      <c r="I569">
        <v>358317</v>
      </c>
      <c r="J569">
        <v>26174</v>
      </c>
      <c r="L569" s="2">
        <f t="shared" si="83"/>
        <v>6.8074415265896984E-2</v>
      </c>
      <c r="N569">
        <v>503758</v>
      </c>
      <c r="O569">
        <v>21568</v>
      </c>
      <c r="Q569" s="2">
        <f t="shared" si="84"/>
        <v>4.1056410685935969E-2</v>
      </c>
      <c r="T569">
        <v>523613</v>
      </c>
      <c r="U569">
        <v>27270</v>
      </c>
      <c r="W569" s="2">
        <f t="shared" si="85"/>
        <v>4.9502344417961711E-2</v>
      </c>
      <c r="Z569">
        <f t="shared" si="80"/>
        <v>861962</v>
      </c>
      <c r="AA569">
        <f t="shared" si="81"/>
        <v>46131</v>
      </c>
      <c r="AC569" s="2">
        <f t="shared" si="86"/>
        <v>5.0799863009625669E-2</v>
      </c>
      <c r="AD569" s="2"/>
      <c r="AE569">
        <f t="shared" si="87"/>
        <v>881930</v>
      </c>
      <c r="AF569">
        <f t="shared" si="88"/>
        <v>53444</v>
      </c>
      <c r="AH569" s="2">
        <f t="shared" si="89"/>
        <v>5.7136503687295136E-2</v>
      </c>
      <c r="AI569" s="2"/>
      <c r="AJ569" s="2"/>
    </row>
    <row r="570" spans="2:36" x14ac:dyDescent="0.25">
      <c r="B570" s="1">
        <v>43375</v>
      </c>
      <c r="C570">
        <v>359337</v>
      </c>
      <c r="D570">
        <v>29838</v>
      </c>
      <c r="F570" s="2">
        <f t="shared" si="82"/>
        <v>7.6669878589323573E-2</v>
      </c>
      <c r="I570">
        <v>351186</v>
      </c>
      <c r="J570">
        <v>31509</v>
      </c>
      <c r="L570" s="2">
        <f t="shared" si="83"/>
        <v>8.233449613922314E-2</v>
      </c>
      <c r="N570">
        <v>496822</v>
      </c>
      <c r="O570">
        <v>27911</v>
      </c>
      <c r="Q570" s="2">
        <f t="shared" si="84"/>
        <v>5.3190860875912127E-2</v>
      </c>
      <c r="T570">
        <v>515637</v>
      </c>
      <c r="U570">
        <v>33692</v>
      </c>
      <c r="W570" s="2">
        <f t="shared" si="85"/>
        <v>6.1333008088049236E-2</v>
      </c>
      <c r="Z570">
        <f t="shared" si="80"/>
        <v>856159</v>
      </c>
      <c r="AA570">
        <f t="shared" si="81"/>
        <v>57749</v>
      </c>
      <c r="AC570" s="2">
        <f t="shared" si="86"/>
        <v>6.3189073736087217E-2</v>
      </c>
      <c r="AD570" s="2"/>
      <c r="AE570">
        <f t="shared" si="87"/>
        <v>866823</v>
      </c>
      <c r="AF570">
        <f t="shared" si="88"/>
        <v>65201</v>
      </c>
      <c r="AH570" s="2">
        <f t="shared" si="89"/>
        <v>6.9956353055286136E-2</v>
      </c>
      <c r="AI570" s="2"/>
      <c r="AJ570" s="2"/>
    </row>
    <row r="571" spans="2:36" x14ac:dyDescent="0.25">
      <c r="B571" s="1">
        <v>43382</v>
      </c>
      <c r="C571">
        <v>334714</v>
      </c>
      <c r="D571">
        <v>38037</v>
      </c>
      <c r="F571" s="2">
        <f t="shared" si="82"/>
        <v>0.10204399183369059</v>
      </c>
      <c r="I571">
        <v>323416</v>
      </c>
      <c r="J571">
        <v>41584</v>
      </c>
      <c r="L571" s="2">
        <f t="shared" si="83"/>
        <v>0.11392876712328767</v>
      </c>
      <c r="N571">
        <v>490357</v>
      </c>
      <c r="O571">
        <v>26462</v>
      </c>
      <c r="Q571" s="2">
        <f t="shared" si="84"/>
        <v>5.1201677956886259E-2</v>
      </c>
      <c r="T571">
        <v>512049</v>
      </c>
      <c r="U571">
        <v>36528</v>
      </c>
      <c r="W571" s="2">
        <f t="shared" si="85"/>
        <v>6.658682372757152E-2</v>
      </c>
      <c r="Z571">
        <f t="shared" si="80"/>
        <v>825071</v>
      </c>
      <c r="AA571">
        <f t="shared" si="81"/>
        <v>64499</v>
      </c>
      <c r="AC571" s="2">
        <f t="shared" si="86"/>
        <v>7.2505817417403917E-2</v>
      </c>
      <c r="AD571" s="2"/>
      <c r="AE571">
        <f t="shared" si="87"/>
        <v>835465</v>
      </c>
      <c r="AF571">
        <f t="shared" si="88"/>
        <v>78112</v>
      </c>
      <c r="AH571" s="2">
        <f t="shared" si="89"/>
        <v>8.5501276849132585E-2</v>
      </c>
      <c r="AI571" s="2"/>
      <c r="AJ571" s="2"/>
    </row>
    <row r="572" spans="2:36" x14ac:dyDescent="0.25">
      <c r="B572" s="1">
        <v>43389</v>
      </c>
      <c r="C572">
        <v>307049</v>
      </c>
      <c r="D572">
        <v>57497</v>
      </c>
      <c r="F572" s="2">
        <f t="shared" si="82"/>
        <v>0.1577222078969458</v>
      </c>
      <c r="I572">
        <v>300365</v>
      </c>
      <c r="J572">
        <v>57510</v>
      </c>
      <c r="L572" s="2">
        <f t="shared" si="83"/>
        <v>0.16069856793573176</v>
      </c>
      <c r="N572">
        <v>430348</v>
      </c>
      <c r="O572">
        <v>28157</v>
      </c>
      <c r="Q572" s="2">
        <f t="shared" si="84"/>
        <v>6.1410453539219853E-2</v>
      </c>
      <c r="T572">
        <v>447097</v>
      </c>
      <c r="U572">
        <v>37979</v>
      </c>
      <c r="W572" s="2">
        <f t="shared" si="85"/>
        <v>7.8294947595840658E-2</v>
      </c>
      <c r="Z572">
        <f t="shared" si="80"/>
        <v>737397</v>
      </c>
      <c r="AA572">
        <f t="shared" si="81"/>
        <v>85654</v>
      </c>
      <c r="AC572" s="2">
        <f t="shared" si="86"/>
        <v>0.10406888516021486</v>
      </c>
      <c r="AD572" s="2"/>
      <c r="AE572">
        <f t="shared" si="87"/>
        <v>747462</v>
      </c>
      <c r="AF572">
        <f t="shared" si="88"/>
        <v>95489</v>
      </c>
      <c r="AH572" s="2">
        <f t="shared" si="89"/>
        <v>0.1132794195629402</v>
      </c>
      <c r="AI572" s="2"/>
      <c r="AJ572" s="2"/>
    </row>
    <row r="573" spans="2:36" x14ac:dyDescent="0.25">
      <c r="B573" s="1">
        <v>43396</v>
      </c>
      <c r="C573">
        <v>269291</v>
      </c>
      <c r="D573">
        <v>69842</v>
      </c>
      <c r="F573" s="2">
        <f t="shared" si="82"/>
        <v>0.20594280120188835</v>
      </c>
      <c r="I573">
        <v>271077</v>
      </c>
      <c r="J573">
        <v>64782</v>
      </c>
      <c r="L573" s="2">
        <f t="shared" si="83"/>
        <v>0.19288451403714058</v>
      </c>
      <c r="N573">
        <v>401814</v>
      </c>
      <c r="O573">
        <v>43235</v>
      </c>
      <c r="Q573" s="2">
        <f t="shared" si="84"/>
        <v>9.7146606328741336E-2</v>
      </c>
      <c r="T573">
        <v>407933</v>
      </c>
      <c r="U573">
        <v>47148</v>
      </c>
      <c r="W573" s="2">
        <f t="shared" si="85"/>
        <v>0.10360353431586904</v>
      </c>
      <c r="Z573">
        <f t="shared" si="80"/>
        <v>671105</v>
      </c>
      <c r="AA573">
        <f t="shared" si="81"/>
        <v>113077</v>
      </c>
      <c r="AC573" s="2">
        <f t="shared" si="86"/>
        <v>0.14419739295214631</v>
      </c>
      <c r="AD573" s="2"/>
      <c r="AE573">
        <f t="shared" si="87"/>
        <v>679010</v>
      </c>
      <c r="AF573">
        <f t="shared" si="88"/>
        <v>111930</v>
      </c>
      <c r="AH573" s="2">
        <f t="shared" si="89"/>
        <v>0.14151515917768731</v>
      </c>
      <c r="AI573" s="2"/>
      <c r="AJ573" s="2"/>
    </row>
    <row r="574" spans="2:36" x14ac:dyDescent="0.25">
      <c r="B574" s="1">
        <v>43403</v>
      </c>
      <c r="C574">
        <v>255238</v>
      </c>
      <c r="D574">
        <v>68728</v>
      </c>
      <c r="F574" s="2">
        <f t="shared" si="82"/>
        <v>0.21214571899520321</v>
      </c>
      <c r="I574">
        <v>261019</v>
      </c>
      <c r="J574">
        <v>64823</v>
      </c>
      <c r="L574" s="2">
        <f t="shared" si="83"/>
        <v>0.19893997704408886</v>
      </c>
      <c r="N574">
        <v>378879</v>
      </c>
      <c r="O574">
        <v>68935</v>
      </c>
      <c r="Q574" s="2">
        <f t="shared" si="84"/>
        <v>0.15393667906764863</v>
      </c>
      <c r="T574">
        <v>378555</v>
      </c>
      <c r="U574">
        <v>71443</v>
      </c>
      <c r="W574" s="2">
        <f t="shared" si="85"/>
        <v>0.15876292783523482</v>
      </c>
      <c r="Z574">
        <f t="shared" si="80"/>
        <v>634117</v>
      </c>
      <c r="AA574">
        <f t="shared" si="81"/>
        <v>137663</v>
      </c>
      <c r="AC574" s="2">
        <f t="shared" si="86"/>
        <v>0.17837077923760658</v>
      </c>
      <c r="AD574" s="2"/>
      <c r="AE574">
        <f t="shared" si="87"/>
        <v>639574</v>
      </c>
      <c r="AF574">
        <f t="shared" si="88"/>
        <v>136266</v>
      </c>
      <c r="AH574" s="2">
        <f t="shared" si="89"/>
        <v>0.1756367292225201</v>
      </c>
      <c r="AI574" s="2"/>
      <c r="AJ574" s="2"/>
    </row>
    <row r="575" spans="2:36" x14ac:dyDescent="0.25">
      <c r="B575" s="1">
        <v>43410</v>
      </c>
      <c r="C575">
        <v>241906</v>
      </c>
      <c r="D575">
        <v>93737</v>
      </c>
      <c r="F575" s="2">
        <f t="shared" si="82"/>
        <v>0.27927589730755592</v>
      </c>
      <c r="I575">
        <v>243707</v>
      </c>
      <c r="J575">
        <v>83416</v>
      </c>
      <c r="L575" s="2">
        <f t="shared" si="83"/>
        <v>0.2549988842117491</v>
      </c>
      <c r="N575">
        <v>343344</v>
      </c>
      <c r="O575">
        <v>77174</v>
      </c>
      <c r="Q575" s="2">
        <f t="shared" si="84"/>
        <v>0.18352127614037925</v>
      </c>
      <c r="T575">
        <v>337219</v>
      </c>
      <c r="U575">
        <v>77171</v>
      </c>
      <c r="W575" s="2">
        <f t="shared" si="85"/>
        <v>0.18622794951615629</v>
      </c>
      <c r="Z575">
        <f t="shared" si="80"/>
        <v>585250</v>
      </c>
      <c r="AA575">
        <f t="shared" si="81"/>
        <v>170911</v>
      </c>
      <c r="AC575" s="2">
        <f t="shared" si="86"/>
        <v>0.22602461645072941</v>
      </c>
      <c r="AD575" s="2"/>
      <c r="AE575">
        <f t="shared" si="87"/>
        <v>580926</v>
      </c>
      <c r="AF575">
        <f t="shared" si="88"/>
        <v>160587</v>
      </c>
      <c r="AH575" s="2">
        <f t="shared" si="89"/>
        <v>0.2165666684198389</v>
      </c>
      <c r="AI575" s="2"/>
      <c r="AJ575" s="2"/>
    </row>
    <row r="576" spans="2:36" x14ac:dyDescent="0.25">
      <c r="B576" s="1">
        <v>43417</v>
      </c>
      <c r="C576">
        <v>244987</v>
      </c>
      <c r="D576">
        <v>109306</v>
      </c>
      <c r="F576" s="2">
        <f t="shared" si="82"/>
        <v>0.30851865546313362</v>
      </c>
      <c r="I576">
        <v>245524</v>
      </c>
      <c r="J576">
        <v>93540</v>
      </c>
      <c r="L576" s="2">
        <f t="shared" si="83"/>
        <v>0.27587712054361418</v>
      </c>
      <c r="N576">
        <v>312808</v>
      </c>
      <c r="O576">
        <v>94442</v>
      </c>
      <c r="Q576" s="2">
        <f t="shared" si="84"/>
        <v>0.23190178023327196</v>
      </c>
      <c r="T576">
        <v>304917</v>
      </c>
      <c r="U576">
        <v>90085</v>
      </c>
      <c r="W576" s="2">
        <f t="shared" si="85"/>
        <v>0.22806213639424611</v>
      </c>
      <c r="Z576">
        <f t="shared" si="80"/>
        <v>557795</v>
      </c>
      <c r="AA576">
        <f t="shared" si="81"/>
        <v>203748</v>
      </c>
      <c r="AC576" s="2">
        <f t="shared" si="86"/>
        <v>0.26754628432012373</v>
      </c>
      <c r="AD576" s="2"/>
      <c r="AE576">
        <f t="shared" si="87"/>
        <v>550441</v>
      </c>
      <c r="AF576">
        <f t="shared" si="88"/>
        <v>183625</v>
      </c>
      <c r="AH576" s="2">
        <f t="shared" si="89"/>
        <v>0.25014780687295146</v>
      </c>
      <c r="AI576" s="2"/>
      <c r="AJ576" s="2"/>
    </row>
    <row r="577" spans="2:36" x14ac:dyDescent="0.25">
      <c r="B577" s="1">
        <v>43424</v>
      </c>
      <c r="C577">
        <v>235546</v>
      </c>
      <c r="D577">
        <v>102596</v>
      </c>
      <c r="F577" s="2">
        <f t="shared" si="82"/>
        <v>0.30341099301476893</v>
      </c>
      <c r="I577">
        <v>238639</v>
      </c>
      <c r="J577">
        <v>87553</v>
      </c>
      <c r="L577" s="2">
        <f t="shared" si="83"/>
        <v>0.26840940305096384</v>
      </c>
      <c r="N577">
        <v>290315</v>
      </c>
      <c r="O577">
        <v>105218</v>
      </c>
      <c r="Q577" s="2">
        <f t="shared" si="84"/>
        <v>0.26601573067228274</v>
      </c>
      <c r="T577">
        <v>278611</v>
      </c>
      <c r="U577">
        <v>96042</v>
      </c>
      <c r="W577" s="2">
        <f t="shared" si="85"/>
        <v>0.25634920846756865</v>
      </c>
      <c r="Z577">
        <f t="shared" si="80"/>
        <v>525861</v>
      </c>
      <c r="AA577">
        <f t="shared" si="81"/>
        <v>207814</v>
      </c>
      <c r="AC577" s="2">
        <f t="shared" si="86"/>
        <v>0.28325075816948919</v>
      </c>
      <c r="AD577" s="2"/>
      <c r="AE577">
        <f t="shared" si="87"/>
        <v>517250</v>
      </c>
      <c r="AF577">
        <f t="shared" si="88"/>
        <v>183595</v>
      </c>
      <c r="AH577" s="2">
        <f t="shared" si="89"/>
        <v>0.26196234545441577</v>
      </c>
      <c r="AI577" s="2"/>
      <c r="AJ577" s="2"/>
    </row>
    <row r="578" spans="2:36" x14ac:dyDescent="0.25">
      <c r="B578" s="1">
        <v>43431</v>
      </c>
      <c r="C578">
        <v>222409</v>
      </c>
      <c r="D578">
        <v>93965</v>
      </c>
      <c r="F578" s="2">
        <f t="shared" si="82"/>
        <v>0.29700607508834481</v>
      </c>
      <c r="I578">
        <v>232857</v>
      </c>
      <c r="J578">
        <v>77834</v>
      </c>
      <c r="L578" s="2">
        <f t="shared" si="83"/>
        <v>0.25051900441274449</v>
      </c>
      <c r="N578">
        <v>285565</v>
      </c>
      <c r="O578">
        <v>110132</v>
      </c>
      <c r="Q578" s="2">
        <f t="shared" si="84"/>
        <v>0.27832407119588981</v>
      </c>
      <c r="T578">
        <v>271729</v>
      </c>
      <c r="U578">
        <v>103217</v>
      </c>
      <c r="W578" s="2">
        <f t="shared" si="85"/>
        <v>0.27528497436964255</v>
      </c>
      <c r="Z578">
        <f t="shared" si="80"/>
        <v>507974</v>
      </c>
      <c r="AA578">
        <f t="shared" si="81"/>
        <v>204097</v>
      </c>
      <c r="AC578" s="2">
        <f t="shared" si="86"/>
        <v>0.28662450794934774</v>
      </c>
      <c r="AD578" s="2"/>
      <c r="AE578">
        <f t="shared" si="87"/>
        <v>504586</v>
      </c>
      <c r="AF578">
        <f t="shared" si="88"/>
        <v>181051</v>
      </c>
      <c r="AH578" s="2">
        <f t="shared" si="89"/>
        <v>0.26406247037426511</v>
      </c>
      <c r="AI578" s="2"/>
      <c r="AJ578" s="2"/>
    </row>
    <row r="579" spans="2:36" x14ac:dyDescent="0.25">
      <c r="B579" s="1">
        <v>43438</v>
      </c>
      <c r="C579">
        <v>210034</v>
      </c>
      <c r="D579">
        <v>106054</v>
      </c>
      <c r="F579" s="2">
        <f t="shared" si="82"/>
        <v>0.33552048796537676</v>
      </c>
      <c r="I579">
        <v>217562</v>
      </c>
      <c r="J579">
        <v>89249</v>
      </c>
      <c r="L579" s="2">
        <f t="shared" si="83"/>
        <v>0.29089243866745323</v>
      </c>
      <c r="N579">
        <v>268931</v>
      </c>
      <c r="O579">
        <v>123211</v>
      </c>
      <c r="Q579" s="2">
        <f t="shared" si="84"/>
        <v>0.31419995817841495</v>
      </c>
      <c r="T579">
        <v>253702</v>
      </c>
      <c r="U579">
        <v>117236</v>
      </c>
      <c r="W579" s="2">
        <f t="shared" si="85"/>
        <v>0.31605281745197311</v>
      </c>
      <c r="Z579">
        <f t="shared" si="80"/>
        <v>478965</v>
      </c>
      <c r="AA579">
        <f t="shared" si="81"/>
        <v>229265</v>
      </c>
      <c r="AC579" s="2">
        <f t="shared" si="86"/>
        <v>0.32371545966705734</v>
      </c>
      <c r="AD579" s="2"/>
      <c r="AE579">
        <f t="shared" si="87"/>
        <v>471264</v>
      </c>
      <c r="AF579">
        <f t="shared" si="88"/>
        <v>206485</v>
      </c>
      <c r="AH579" s="2">
        <f t="shared" si="89"/>
        <v>0.30466293568858088</v>
      </c>
      <c r="AI579" s="2"/>
      <c r="AJ579" s="2"/>
    </row>
    <row r="580" spans="2:36" x14ac:dyDescent="0.25">
      <c r="B580" s="1">
        <v>43445</v>
      </c>
      <c r="C580">
        <v>206987</v>
      </c>
      <c r="D580">
        <v>112347</v>
      </c>
      <c r="F580" s="2">
        <f t="shared" si="82"/>
        <v>0.35181659328477394</v>
      </c>
      <c r="I580">
        <v>215907</v>
      </c>
      <c r="J580">
        <v>96232</v>
      </c>
      <c r="L580" s="2">
        <f t="shared" si="83"/>
        <v>0.30829854648089472</v>
      </c>
      <c r="N580">
        <v>276063</v>
      </c>
      <c r="O580">
        <v>128219</v>
      </c>
      <c r="Q580" s="2">
        <f t="shared" si="84"/>
        <v>0.31715238373214738</v>
      </c>
      <c r="T580">
        <v>261433</v>
      </c>
      <c r="U580">
        <v>121836</v>
      </c>
      <c r="W580" s="2">
        <f t="shared" si="85"/>
        <v>0.31788639310771288</v>
      </c>
      <c r="Z580">
        <f t="shared" si="80"/>
        <v>483050</v>
      </c>
      <c r="AA580">
        <f t="shared" si="81"/>
        <v>240566</v>
      </c>
      <c r="AC580" s="2">
        <f t="shared" si="86"/>
        <v>0.33244980763277759</v>
      </c>
      <c r="AD580" s="2"/>
      <c r="AE580">
        <f t="shared" si="87"/>
        <v>477340</v>
      </c>
      <c r="AF580">
        <f t="shared" si="88"/>
        <v>218068</v>
      </c>
      <c r="AH580" s="2">
        <f t="shared" si="89"/>
        <v>0.31358281756896672</v>
      </c>
      <c r="AI580" s="2"/>
      <c r="AJ580" s="2"/>
    </row>
    <row r="581" spans="2:36" x14ac:dyDescent="0.25">
      <c r="B581" s="1">
        <v>43452</v>
      </c>
      <c r="C581">
        <v>195923</v>
      </c>
      <c r="D581">
        <v>128627</v>
      </c>
      <c r="F581" s="2">
        <f t="shared" si="82"/>
        <v>0.39632414111847175</v>
      </c>
      <c r="I581">
        <v>216708</v>
      </c>
      <c r="J581">
        <v>115975</v>
      </c>
      <c r="L581" s="2">
        <f t="shared" si="83"/>
        <v>0.34860512860591014</v>
      </c>
      <c r="N581">
        <v>274451</v>
      </c>
      <c r="O581">
        <v>114891</v>
      </c>
      <c r="Q581" s="2">
        <f t="shared" si="84"/>
        <v>0.29509017778713831</v>
      </c>
      <c r="T581">
        <v>260466</v>
      </c>
      <c r="U581">
        <v>108466</v>
      </c>
      <c r="W581" s="2">
        <f t="shared" si="85"/>
        <v>0.29399997831578717</v>
      </c>
      <c r="Z581">
        <f t="shared" si="80"/>
        <v>470374</v>
      </c>
      <c r="AA581">
        <f t="shared" si="81"/>
        <v>243518</v>
      </c>
      <c r="AC581" s="2">
        <f t="shared" si="86"/>
        <v>0.34111322160775021</v>
      </c>
      <c r="AD581" s="2"/>
      <c r="AE581">
        <f t="shared" si="87"/>
        <v>477174</v>
      </c>
      <c r="AF581">
        <f t="shared" si="88"/>
        <v>224441</v>
      </c>
      <c r="AH581" s="2">
        <f t="shared" si="89"/>
        <v>0.31989196354125837</v>
      </c>
      <c r="AI581" s="2"/>
      <c r="AJ581" s="2"/>
    </row>
    <row r="582" spans="2:36" x14ac:dyDescent="0.25">
      <c r="B582" s="1">
        <v>43459</v>
      </c>
      <c r="C582">
        <v>196962</v>
      </c>
      <c r="D582">
        <v>120752</v>
      </c>
      <c r="F582" s="2">
        <f t="shared" si="82"/>
        <v>0.38006508998659172</v>
      </c>
      <c r="I582">
        <v>223718</v>
      </c>
      <c r="J582">
        <v>106117</v>
      </c>
      <c r="L582" s="2">
        <f t="shared" si="83"/>
        <v>0.32172753043188262</v>
      </c>
      <c r="N582">
        <v>268886</v>
      </c>
      <c r="O582">
        <v>103833</v>
      </c>
      <c r="Q582" s="2">
        <f t="shared" si="84"/>
        <v>0.27858252463652244</v>
      </c>
      <c r="T582">
        <v>261718</v>
      </c>
      <c r="U582">
        <v>99469</v>
      </c>
      <c r="W582" s="2">
        <f t="shared" si="85"/>
        <v>0.27539474012076848</v>
      </c>
      <c r="Z582">
        <f t="shared" si="80"/>
        <v>465848</v>
      </c>
      <c r="AA582">
        <f t="shared" si="81"/>
        <v>224585</v>
      </c>
      <c r="AC582" s="2">
        <f t="shared" si="86"/>
        <v>0.32528138139399476</v>
      </c>
      <c r="AD582" s="2"/>
      <c r="AE582">
        <f t="shared" si="87"/>
        <v>485436</v>
      </c>
      <c r="AF582">
        <f t="shared" si="88"/>
        <v>205586</v>
      </c>
      <c r="AH582" s="2">
        <f t="shared" si="89"/>
        <v>0.29751006480256781</v>
      </c>
      <c r="AI582" s="2"/>
      <c r="AJ582" s="2"/>
    </row>
    <row r="583" spans="2:36" x14ac:dyDescent="0.25">
      <c r="B583" s="1">
        <v>43466</v>
      </c>
      <c r="C583">
        <v>203415</v>
      </c>
      <c r="D583">
        <v>125298</v>
      </c>
      <c r="F583" s="2">
        <f t="shared" si="82"/>
        <v>0.38117750134615913</v>
      </c>
      <c r="I583">
        <v>222503</v>
      </c>
      <c r="J583">
        <v>109077</v>
      </c>
      <c r="L583" s="2">
        <f t="shared" si="83"/>
        <v>0.32896133663067734</v>
      </c>
      <c r="N583">
        <v>263088</v>
      </c>
      <c r="O583">
        <v>105997</v>
      </c>
      <c r="Q583" s="2">
        <f t="shared" si="84"/>
        <v>0.28718858799463537</v>
      </c>
      <c r="T583">
        <v>254893</v>
      </c>
      <c r="U583">
        <v>102568</v>
      </c>
      <c r="W583" s="2">
        <f t="shared" si="85"/>
        <v>0.28693479848151265</v>
      </c>
      <c r="Z583">
        <f t="shared" si="80"/>
        <v>466503</v>
      </c>
      <c r="AA583">
        <f t="shared" si="81"/>
        <v>231295</v>
      </c>
      <c r="AC583" s="2">
        <f t="shared" si="86"/>
        <v>0.33146411998887931</v>
      </c>
      <c r="AD583" s="2"/>
      <c r="AE583">
        <f t="shared" si="87"/>
        <v>477396</v>
      </c>
      <c r="AF583">
        <f t="shared" si="88"/>
        <v>211645</v>
      </c>
      <c r="AH583" s="2">
        <f t="shared" si="89"/>
        <v>0.30715879026066661</v>
      </c>
      <c r="AI583" s="2"/>
      <c r="AJ583" s="2"/>
    </row>
    <row r="584" spans="2:36" x14ac:dyDescent="0.25">
      <c r="B584" s="1">
        <v>43473</v>
      </c>
      <c r="C584">
        <v>202408</v>
      </c>
      <c r="D584">
        <v>142709</v>
      </c>
      <c r="F584" s="2">
        <f t="shared" si="82"/>
        <v>0.41350904186116594</v>
      </c>
      <c r="I584">
        <v>214186</v>
      </c>
      <c r="J584">
        <v>132674</v>
      </c>
      <c r="L584" s="2">
        <f t="shared" si="83"/>
        <v>0.3825001441503777</v>
      </c>
      <c r="N584">
        <v>266757</v>
      </c>
      <c r="O584">
        <v>101603</v>
      </c>
      <c r="Q584" s="2">
        <f t="shared" si="84"/>
        <v>0.27582527961776521</v>
      </c>
      <c r="T584">
        <v>257022</v>
      </c>
      <c r="U584">
        <v>98876</v>
      </c>
      <c r="W584" s="2">
        <f t="shared" si="85"/>
        <v>0.27782117348228985</v>
      </c>
      <c r="Z584">
        <f t="shared" si="80"/>
        <v>469165</v>
      </c>
      <c r="AA584">
        <f t="shared" si="81"/>
        <v>244312</v>
      </c>
      <c r="AC584" s="2">
        <f t="shared" si="86"/>
        <v>0.34242449301098704</v>
      </c>
      <c r="AD584" s="2"/>
      <c r="AE584">
        <f t="shared" si="87"/>
        <v>471208</v>
      </c>
      <c r="AF584">
        <f t="shared" si="88"/>
        <v>231550</v>
      </c>
      <c r="AH584" s="2">
        <f t="shared" si="89"/>
        <v>0.32948753340410214</v>
      </c>
      <c r="AI584" s="2"/>
      <c r="AJ584" s="2"/>
    </row>
    <row r="585" spans="2:36" x14ac:dyDescent="0.25">
      <c r="B585" s="1">
        <v>43480</v>
      </c>
      <c r="C585">
        <v>204610</v>
      </c>
      <c r="D585">
        <v>108148</v>
      </c>
      <c r="F585" s="2">
        <f t="shared" si="82"/>
        <v>0.3457881173303321</v>
      </c>
      <c r="I585">
        <v>211270</v>
      </c>
      <c r="J585">
        <v>102829</v>
      </c>
      <c r="L585" s="2">
        <f t="shared" si="83"/>
        <v>0.32737767391809591</v>
      </c>
      <c r="N585">
        <v>272667</v>
      </c>
      <c r="O585">
        <v>91566</v>
      </c>
      <c r="Q585" s="2">
        <f t="shared" si="84"/>
        <v>0.25139402525306603</v>
      </c>
      <c r="T585">
        <v>261587</v>
      </c>
      <c r="U585">
        <v>88682</v>
      </c>
      <c r="W585" s="2">
        <f t="shared" si="85"/>
        <v>0.25318255397994111</v>
      </c>
      <c r="Z585">
        <f t="shared" ref="Z585:Z648" si="90">IFERROR(+C585+N585,C585)</f>
        <v>477277</v>
      </c>
      <c r="AA585">
        <f t="shared" ref="AA585:AA648" si="91">IFERROR(+D585+O585,D585)</f>
        <v>199714</v>
      </c>
      <c r="AC585" s="2">
        <f t="shared" si="86"/>
        <v>0.29500244464106612</v>
      </c>
      <c r="AD585" s="2"/>
      <c r="AE585">
        <f t="shared" si="87"/>
        <v>472857</v>
      </c>
      <c r="AF585">
        <f t="shared" si="88"/>
        <v>191511</v>
      </c>
      <c r="AH585" s="2">
        <f t="shared" si="89"/>
        <v>0.28826042193483131</v>
      </c>
      <c r="AI585" s="2"/>
      <c r="AJ585" s="2"/>
    </row>
    <row r="586" spans="2:36" x14ac:dyDescent="0.25">
      <c r="B586" s="1">
        <v>43487</v>
      </c>
      <c r="C586">
        <v>214399</v>
      </c>
      <c r="D586">
        <v>89168</v>
      </c>
      <c r="F586" s="2">
        <f t="shared" ref="F586:F649" si="92">+D586/SUM(C586:D586)</f>
        <v>0.29373416741608938</v>
      </c>
      <c r="I586">
        <v>218325</v>
      </c>
      <c r="J586">
        <v>88734</v>
      </c>
      <c r="L586" s="2">
        <f t="shared" ref="L586:L649" si="93">+J586/SUM(I586:J586)</f>
        <v>0.28898029368948641</v>
      </c>
      <c r="N586">
        <v>278049</v>
      </c>
      <c r="O586">
        <v>68153</v>
      </c>
      <c r="Q586" s="2">
        <f t="shared" ref="Q586:Q649" si="94">+O586/SUM(N586:O586)</f>
        <v>0.19685905916199214</v>
      </c>
      <c r="T586">
        <v>268570</v>
      </c>
      <c r="U586">
        <v>65636</v>
      </c>
      <c r="W586" s="2">
        <f t="shared" ref="W586:W649" si="95">+U586/SUM(T586:U586)</f>
        <v>0.19639384092445977</v>
      </c>
      <c r="Z586">
        <f t="shared" si="90"/>
        <v>492448</v>
      </c>
      <c r="AA586">
        <f t="shared" si="91"/>
        <v>157321</v>
      </c>
      <c r="AC586" s="2">
        <f t="shared" ref="AC586:AC649" si="96">+AA586/SUM(Z586:AA586)</f>
        <v>0.24211835283000574</v>
      </c>
      <c r="AD586" s="2"/>
      <c r="AE586">
        <f t="shared" ref="AE586:AE649" si="97">IFERROR(+I586+T586,I586)</f>
        <v>486895</v>
      </c>
      <c r="AF586">
        <f t="shared" ref="AF586:AF649" si="98">IFERROR(+J586+U586,J586)</f>
        <v>154370</v>
      </c>
      <c r="AH586" s="2">
        <f t="shared" ref="AH586:AH649" si="99">+AF586/SUM(AE586:AF586)</f>
        <v>0.2407273124215418</v>
      </c>
      <c r="AI586" s="2"/>
      <c r="AJ586" s="2"/>
    </row>
    <row r="587" spans="2:36" x14ac:dyDescent="0.25">
      <c r="B587" s="1">
        <v>43494</v>
      </c>
      <c r="C587">
        <v>224573</v>
      </c>
      <c r="D587">
        <v>70931</v>
      </c>
      <c r="F587" s="2">
        <f t="shared" si="92"/>
        <v>0.24003397585142672</v>
      </c>
      <c r="I587">
        <v>227336</v>
      </c>
      <c r="J587">
        <v>71461</v>
      </c>
      <c r="L587" s="2">
        <f t="shared" si="93"/>
        <v>0.23916237445489746</v>
      </c>
      <c r="N587">
        <v>291953</v>
      </c>
      <c r="O587">
        <v>46261</v>
      </c>
      <c r="Q587" s="2">
        <f t="shared" si="94"/>
        <v>0.13678026338353824</v>
      </c>
      <c r="T587">
        <v>280509</v>
      </c>
      <c r="U587">
        <v>47806</v>
      </c>
      <c r="W587" s="2">
        <f t="shared" si="95"/>
        <v>0.14561016097345536</v>
      </c>
      <c r="Z587">
        <f t="shared" si="90"/>
        <v>516526</v>
      </c>
      <c r="AA587">
        <f t="shared" si="91"/>
        <v>117192</v>
      </c>
      <c r="AC587" s="2">
        <f t="shared" si="96"/>
        <v>0.18492768076652391</v>
      </c>
      <c r="AD587" s="2"/>
      <c r="AE587">
        <f t="shared" si="97"/>
        <v>507845</v>
      </c>
      <c r="AF587">
        <f t="shared" si="98"/>
        <v>119267</v>
      </c>
      <c r="AH587" s="2">
        <f t="shared" si="99"/>
        <v>0.1901845284414905</v>
      </c>
      <c r="AI587" s="2"/>
      <c r="AJ587" s="2"/>
    </row>
    <row r="588" spans="2:36" x14ac:dyDescent="0.25">
      <c r="B588" s="1">
        <v>43501</v>
      </c>
      <c r="C588">
        <v>229031</v>
      </c>
      <c r="D588">
        <v>81026</v>
      </c>
      <c r="F588" s="2">
        <f t="shared" si="92"/>
        <v>0.26132614325753006</v>
      </c>
      <c r="I588">
        <v>228095</v>
      </c>
      <c r="J588">
        <v>81114</v>
      </c>
      <c r="L588" s="2">
        <f t="shared" si="93"/>
        <v>0.26232742255238367</v>
      </c>
      <c r="N588">
        <v>306928</v>
      </c>
      <c r="O588">
        <v>60575</v>
      </c>
      <c r="Q588" s="2">
        <f t="shared" si="94"/>
        <v>0.16482858643330803</v>
      </c>
      <c r="T588">
        <v>295150</v>
      </c>
      <c r="U588">
        <v>61155</v>
      </c>
      <c r="W588" s="2">
        <f t="shared" si="95"/>
        <v>0.17163665960342964</v>
      </c>
      <c r="Z588">
        <f t="shared" si="90"/>
        <v>535959</v>
      </c>
      <c r="AA588">
        <f t="shared" si="91"/>
        <v>141601</v>
      </c>
      <c r="AC588" s="2">
        <f t="shared" si="96"/>
        <v>0.20898665800814689</v>
      </c>
      <c r="AD588" s="2"/>
      <c r="AE588">
        <f t="shared" si="97"/>
        <v>523245</v>
      </c>
      <c r="AF588">
        <f t="shared" si="98"/>
        <v>142269</v>
      </c>
      <c r="AH588" s="2">
        <f t="shared" si="99"/>
        <v>0.21377311371361082</v>
      </c>
      <c r="AI588" s="2"/>
      <c r="AJ588" s="2"/>
    </row>
    <row r="589" spans="2:36" x14ac:dyDescent="0.25">
      <c r="B589" s="1">
        <v>43508</v>
      </c>
      <c r="C589">
        <v>219088</v>
      </c>
      <c r="D589">
        <v>82705</v>
      </c>
      <c r="F589" s="2">
        <f t="shared" si="92"/>
        <v>0.27404545499729949</v>
      </c>
      <c r="I589">
        <v>217549</v>
      </c>
      <c r="J589">
        <v>81739</v>
      </c>
      <c r="L589" s="2">
        <f t="shared" si="93"/>
        <v>0.27311151800272648</v>
      </c>
      <c r="N589">
        <v>335680</v>
      </c>
      <c r="O589">
        <v>57056</v>
      </c>
      <c r="Q589" s="2">
        <f t="shared" si="94"/>
        <v>0.14527825307585757</v>
      </c>
      <c r="T589">
        <v>323851</v>
      </c>
      <c r="U589">
        <v>57794</v>
      </c>
      <c r="W589" s="2">
        <f t="shared" si="95"/>
        <v>0.15143392419657012</v>
      </c>
      <c r="Z589">
        <f t="shared" si="90"/>
        <v>554768</v>
      </c>
      <c r="AA589">
        <f t="shared" si="91"/>
        <v>139761</v>
      </c>
      <c r="AC589" s="2">
        <f t="shared" si="96"/>
        <v>0.20123133807227633</v>
      </c>
      <c r="AD589" s="2"/>
      <c r="AE589">
        <f t="shared" si="97"/>
        <v>541400</v>
      </c>
      <c r="AF589">
        <f t="shared" si="98"/>
        <v>139533</v>
      </c>
      <c r="AH589" s="2">
        <f t="shared" si="99"/>
        <v>0.20491443357863401</v>
      </c>
      <c r="AI589" s="2"/>
      <c r="AJ589" s="2"/>
    </row>
    <row r="590" spans="2:36" x14ac:dyDescent="0.25">
      <c r="B590" s="1">
        <v>43515</v>
      </c>
      <c r="C590">
        <v>222647</v>
      </c>
      <c r="D590">
        <v>79198</v>
      </c>
      <c r="F590" s="2">
        <f t="shared" si="92"/>
        <v>0.2623796981894681</v>
      </c>
      <c r="I590">
        <v>204640</v>
      </c>
      <c r="J590">
        <v>83376</v>
      </c>
      <c r="L590" s="2">
        <f t="shared" si="93"/>
        <v>0.28948391756013553</v>
      </c>
      <c r="N590">
        <v>350296</v>
      </c>
      <c r="O590">
        <v>54925</v>
      </c>
      <c r="Q590" s="2">
        <f t="shared" si="94"/>
        <v>0.13554332080519024</v>
      </c>
      <c r="T590">
        <v>334641</v>
      </c>
      <c r="U590">
        <v>59192</v>
      </c>
      <c r="W590" s="2">
        <f t="shared" si="95"/>
        <v>0.15029720719188083</v>
      </c>
      <c r="Z590">
        <f t="shared" si="90"/>
        <v>572943</v>
      </c>
      <c r="AA590">
        <f t="shared" si="91"/>
        <v>134123</v>
      </c>
      <c r="AC590" s="2">
        <f t="shared" si="96"/>
        <v>0.18968950564728046</v>
      </c>
      <c r="AD590" s="2"/>
      <c r="AE590">
        <f t="shared" si="97"/>
        <v>539281</v>
      </c>
      <c r="AF590">
        <f t="shared" si="98"/>
        <v>142568</v>
      </c>
      <c r="AH590" s="2">
        <f t="shared" si="99"/>
        <v>0.20909028245256647</v>
      </c>
      <c r="AI590" s="2"/>
      <c r="AJ590" s="2"/>
    </row>
    <row r="591" spans="2:36" x14ac:dyDescent="0.25">
      <c r="B591" s="1">
        <v>43522</v>
      </c>
      <c r="C591">
        <v>224313</v>
      </c>
      <c r="D591">
        <v>76399</v>
      </c>
      <c r="F591" s="2">
        <f t="shared" si="92"/>
        <v>0.25406036340418742</v>
      </c>
      <c r="I591">
        <v>208433</v>
      </c>
      <c r="J591">
        <v>77111</v>
      </c>
      <c r="L591" s="2">
        <f t="shared" si="93"/>
        <v>0.27004944947188525</v>
      </c>
      <c r="N591">
        <v>364681</v>
      </c>
      <c r="O591">
        <v>54329</v>
      </c>
      <c r="Q591" s="2">
        <f t="shared" si="94"/>
        <v>0.12966038996682658</v>
      </c>
      <c r="T591">
        <v>348402</v>
      </c>
      <c r="U591">
        <v>57066</v>
      </c>
      <c r="W591" s="2">
        <f t="shared" si="95"/>
        <v>0.14074106957885701</v>
      </c>
      <c r="Z591">
        <f t="shared" si="90"/>
        <v>588994</v>
      </c>
      <c r="AA591">
        <f t="shared" si="91"/>
        <v>130728</v>
      </c>
      <c r="AC591" s="2">
        <f t="shared" si="96"/>
        <v>0.18163679865281318</v>
      </c>
      <c r="AD591" s="2"/>
      <c r="AE591">
        <f t="shared" si="97"/>
        <v>556835</v>
      </c>
      <c r="AF591">
        <f t="shared" si="98"/>
        <v>134177</v>
      </c>
      <c r="AH591" s="2">
        <f t="shared" si="99"/>
        <v>0.19417463083130249</v>
      </c>
      <c r="AI591" s="2"/>
      <c r="AJ591" s="2"/>
    </row>
    <row r="592" spans="2:36" x14ac:dyDescent="0.25">
      <c r="B592" s="1">
        <v>43529</v>
      </c>
      <c r="C592">
        <v>239723</v>
      </c>
      <c r="D592">
        <v>63656</v>
      </c>
      <c r="F592" s="2">
        <f t="shared" si="92"/>
        <v>0.20982335626394708</v>
      </c>
      <c r="I592">
        <v>218827</v>
      </c>
      <c r="J592">
        <v>67267</v>
      </c>
      <c r="L592" s="2">
        <f t="shared" si="93"/>
        <v>0.23512202283165673</v>
      </c>
      <c r="N592">
        <v>357702</v>
      </c>
      <c r="O592">
        <v>53888</v>
      </c>
      <c r="Q592" s="2">
        <f t="shared" si="94"/>
        <v>0.13092640734711727</v>
      </c>
      <c r="T592">
        <v>343080</v>
      </c>
      <c r="U592">
        <v>55252</v>
      </c>
      <c r="W592" s="2">
        <f t="shared" si="95"/>
        <v>0.1387084140867417</v>
      </c>
      <c r="Z592">
        <f t="shared" si="90"/>
        <v>597425</v>
      </c>
      <c r="AA592">
        <f t="shared" si="91"/>
        <v>117544</v>
      </c>
      <c r="AC592" s="2">
        <f t="shared" si="96"/>
        <v>0.16440433081714032</v>
      </c>
      <c r="AD592" s="2"/>
      <c r="AE592">
        <f t="shared" si="97"/>
        <v>561907</v>
      </c>
      <c r="AF592">
        <f t="shared" si="98"/>
        <v>122519</v>
      </c>
      <c r="AH592" s="2">
        <f t="shared" si="99"/>
        <v>0.17900985643444287</v>
      </c>
      <c r="AI592" s="2"/>
      <c r="AJ592" s="2"/>
    </row>
    <row r="593" spans="2:36" x14ac:dyDescent="0.25">
      <c r="B593" s="1">
        <v>43536</v>
      </c>
      <c r="C593">
        <v>242177</v>
      </c>
      <c r="D593">
        <v>58369</v>
      </c>
      <c r="F593" s="2">
        <f t="shared" si="92"/>
        <v>0.19420987136744458</v>
      </c>
      <c r="I593">
        <v>220186</v>
      </c>
      <c r="J593">
        <v>62538</v>
      </c>
      <c r="L593" s="2">
        <f t="shared" si="93"/>
        <v>0.2211980588842829</v>
      </c>
      <c r="N593">
        <v>364683</v>
      </c>
      <c r="O593">
        <v>58311</v>
      </c>
      <c r="Q593" s="2">
        <f t="shared" si="94"/>
        <v>0.13785301919176157</v>
      </c>
      <c r="T593">
        <v>352399</v>
      </c>
      <c r="U593">
        <v>59727</v>
      </c>
      <c r="W593" s="2">
        <f t="shared" si="95"/>
        <v>0.14492412514619316</v>
      </c>
      <c r="Z593">
        <f t="shared" si="90"/>
        <v>606860</v>
      </c>
      <c r="AA593">
        <f t="shared" si="91"/>
        <v>116680</v>
      </c>
      <c r="AC593" s="2">
        <f t="shared" si="96"/>
        <v>0.16126268070873759</v>
      </c>
      <c r="AD593" s="2"/>
      <c r="AE593">
        <f t="shared" si="97"/>
        <v>572585</v>
      </c>
      <c r="AF593">
        <f t="shared" si="98"/>
        <v>122265</v>
      </c>
      <c r="AH593" s="2">
        <f t="shared" si="99"/>
        <v>0.17595884003741816</v>
      </c>
      <c r="AI593" s="2"/>
      <c r="AJ593" s="2"/>
    </row>
    <row r="594" spans="2:36" x14ac:dyDescent="0.25">
      <c r="B594" s="1">
        <v>43543</v>
      </c>
      <c r="C594">
        <v>284974</v>
      </c>
      <c r="D594">
        <v>46309</v>
      </c>
      <c r="F594" s="2">
        <f t="shared" si="92"/>
        <v>0.13978682878384946</v>
      </c>
      <c r="I594">
        <v>263096</v>
      </c>
      <c r="J594">
        <v>50779</v>
      </c>
      <c r="L594" s="2">
        <f t="shared" si="93"/>
        <v>0.16178096375945838</v>
      </c>
      <c r="N594">
        <v>374478</v>
      </c>
      <c r="O594">
        <v>54950</v>
      </c>
      <c r="Q594" s="2">
        <f t="shared" si="94"/>
        <v>0.12796091545031996</v>
      </c>
      <c r="T594">
        <v>363349</v>
      </c>
      <c r="U594">
        <v>54743</v>
      </c>
      <c r="W594" s="2">
        <f t="shared" si="95"/>
        <v>0.13093529653760416</v>
      </c>
      <c r="Z594">
        <f t="shared" si="90"/>
        <v>659452</v>
      </c>
      <c r="AA594">
        <f t="shared" si="91"/>
        <v>101259</v>
      </c>
      <c r="AC594" s="2">
        <f t="shared" si="96"/>
        <v>0.13311099747473087</v>
      </c>
      <c r="AD594" s="2"/>
      <c r="AE594">
        <f t="shared" si="97"/>
        <v>626445</v>
      </c>
      <c r="AF594">
        <f t="shared" si="98"/>
        <v>105522</v>
      </c>
      <c r="AH594" s="2">
        <f t="shared" si="99"/>
        <v>0.14416223682215182</v>
      </c>
      <c r="AI594" s="2"/>
      <c r="AJ594" s="2"/>
    </row>
    <row r="595" spans="2:36" x14ac:dyDescent="0.25">
      <c r="B595" s="1">
        <v>43550</v>
      </c>
      <c r="C595">
        <v>305594</v>
      </c>
      <c r="D595">
        <v>38543</v>
      </c>
      <c r="F595" s="2">
        <f t="shared" si="92"/>
        <v>0.11199900039809726</v>
      </c>
      <c r="I595">
        <v>280748</v>
      </c>
      <c r="J595">
        <v>42543</v>
      </c>
      <c r="L595" s="2">
        <f t="shared" si="93"/>
        <v>0.13159351791420112</v>
      </c>
      <c r="N595">
        <v>387829</v>
      </c>
      <c r="O595">
        <v>55767</v>
      </c>
      <c r="Q595" s="2">
        <f t="shared" si="94"/>
        <v>0.12571574135023761</v>
      </c>
      <c r="T595">
        <v>376125</v>
      </c>
      <c r="U595">
        <v>54090</v>
      </c>
      <c r="W595" s="2">
        <f t="shared" si="95"/>
        <v>0.12572783375753985</v>
      </c>
      <c r="Z595">
        <f t="shared" si="90"/>
        <v>693423</v>
      </c>
      <c r="AA595">
        <f t="shared" si="91"/>
        <v>94310</v>
      </c>
      <c r="AC595" s="2">
        <f t="shared" si="96"/>
        <v>0.11972330726274004</v>
      </c>
      <c r="AD595" s="2"/>
      <c r="AE595">
        <f t="shared" si="97"/>
        <v>656873</v>
      </c>
      <c r="AF595">
        <f t="shared" si="98"/>
        <v>96633</v>
      </c>
      <c r="AH595" s="2">
        <f t="shared" si="99"/>
        <v>0.1282444997120129</v>
      </c>
      <c r="AI595" s="2"/>
      <c r="AJ595" s="2"/>
    </row>
    <row r="596" spans="2:36" x14ac:dyDescent="0.25">
      <c r="B596" s="1">
        <v>43557</v>
      </c>
      <c r="C596">
        <v>318080</v>
      </c>
      <c r="D596">
        <v>32378</v>
      </c>
      <c r="F596" s="2">
        <f t="shared" si="92"/>
        <v>9.2387675555986731E-2</v>
      </c>
      <c r="I596">
        <v>283063</v>
      </c>
      <c r="J596">
        <v>38256</v>
      </c>
      <c r="L596" s="2">
        <f t="shared" si="93"/>
        <v>0.11905925264301208</v>
      </c>
      <c r="N596">
        <v>414337</v>
      </c>
      <c r="O596">
        <v>48654</v>
      </c>
      <c r="Q596" s="2">
        <f t="shared" si="94"/>
        <v>0.10508627597512694</v>
      </c>
      <c r="T596">
        <v>395210</v>
      </c>
      <c r="U596">
        <v>46550</v>
      </c>
      <c r="W596" s="2">
        <f t="shared" si="95"/>
        <v>0.1053739587106121</v>
      </c>
      <c r="Z596">
        <f t="shared" si="90"/>
        <v>732417</v>
      </c>
      <c r="AA596">
        <f t="shared" si="91"/>
        <v>81032</v>
      </c>
      <c r="AC596" s="2">
        <f t="shared" si="96"/>
        <v>9.9615341588716683E-2</v>
      </c>
      <c r="AD596" s="2"/>
      <c r="AE596">
        <f t="shared" si="97"/>
        <v>678273</v>
      </c>
      <c r="AF596">
        <f t="shared" si="98"/>
        <v>84806</v>
      </c>
      <c r="AH596" s="2">
        <f t="shared" si="99"/>
        <v>0.11113659267258043</v>
      </c>
      <c r="AI596" s="2"/>
      <c r="AJ596" s="2"/>
    </row>
    <row r="597" spans="2:36" x14ac:dyDescent="0.25">
      <c r="B597" s="1">
        <v>43564</v>
      </c>
      <c r="C597">
        <v>344229</v>
      </c>
      <c r="D597">
        <v>24171</v>
      </c>
      <c r="F597" s="2">
        <f t="shared" si="92"/>
        <v>6.5610749185667755E-2</v>
      </c>
      <c r="I597">
        <v>307292</v>
      </c>
      <c r="J597">
        <v>31763</v>
      </c>
      <c r="L597" s="2">
        <f t="shared" si="93"/>
        <v>9.3680966214920877E-2</v>
      </c>
      <c r="N597">
        <v>419059</v>
      </c>
      <c r="O597">
        <v>40103</v>
      </c>
      <c r="Q597" s="2">
        <f t="shared" si="94"/>
        <v>8.7339544648729645E-2</v>
      </c>
      <c r="T597">
        <v>396440</v>
      </c>
      <c r="U597">
        <v>38299</v>
      </c>
      <c r="W597" s="2">
        <f t="shared" si="95"/>
        <v>8.809653608256908E-2</v>
      </c>
      <c r="Z597">
        <f t="shared" si="90"/>
        <v>763288</v>
      </c>
      <c r="AA597">
        <f t="shared" si="91"/>
        <v>64274</v>
      </c>
      <c r="AC597" s="2">
        <f t="shared" si="96"/>
        <v>7.766668841730287E-2</v>
      </c>
      <c r="AD597" s="2"/>
      <c r="AE597">
        <f t="shared" si="97"/>
        <v>703732</v>
      </c>
      <c r="AF597">
        <f t="shared" si="98"/>
        <v>70062</v>
      </c>
      <c r="AH597" s="2">
        <f t="shared" si="99"/>
        <v>9.054347797992747E-2</v>
      </c>
      <c r="AI597" s="2"/>
      <c r="AJ597" s="2"/>
    </row>
    <row r="598" spans="2:36" x14ac:dyDescent="0.25">
      <c r="B598" s="1">
        <v>43571</v>
      </c>
      <c r="C598">
        <v>345258</v>
      </c>
      <c r="D598">
        <v>25210</v>
      </c>
      <c r="F598" s="2">
        <f t="shared" si="92"/>
        <v>6.8049062267186364E-2</v>
      </c>
      <c r="I598">
        <v>333059</v>
      </c>
      <c r="J598">
        <v>29693</v>
      </c>
      <c r="L598" s="2">
        <f t="shared" si="93"/>
        <v>8.1854820924488356E-2</v>
      </c>
      <c r="N598">
        <v>435017</v>
      </c>
      <c r="O598">
        <v>33872</v>
      </c>
      <c r="Q598" s="2">
        <f t="shared" si="94"/>
        <v>7.2238845441031888E-2</v>
      </c>
      <c r="T598">
        <v>411833</v>
      </c>
      <c r="U598">
        <v>31968</v>
      </c>
      <c r="W598" s="2">
        <f t="shared" si="95"/>
        <v>7.2032284740232669E-2</v>
      </c>
      <c r="Z598">
        <f t="shared" si="90"/>
        <v>780275</v>
      </c>
      <c r="AA598">
        <f t="shared" si="91"/>
        <v>59082</v>
      </c>
      <c r="AC598" s="2">
        <f t="shared" si="96"/>
        <v>7.0389595845391173E-2</v>
      </c>
      <c r="AD598" s="2"/>
      <c r="AE598">
        <f t="shared" si="97"/>
        <v>744892</v>
      </c>
      <c r="AF598">
        <f t="shared" si="98"/>
        <v>61661</v>
      </c>
      <c r="AH598" s="2">
        <f t="shared" si="99"/>
        <v>7.6450028702391537E-2</v>
      </c>
      <c r="AI598" s="2"/>
      <c r="AJ598" s="2"/>
    </row>
    <row r="599" spans="2:36" x14ac:dyDescent="0.25">
      <c r="B599" s="1">
        <v>43578</v>
      </c>
      <c r="C599">
        <v>352453</v>
      </c>
      <c r="D599">
        <v>22057</v>
      </c>
      <c r="F599" s="2">
        <f t="shared" si="92"/>
        <v>5.8895623614856743E-2</v>
      </c>
      <c r="I599">
        <v>338832</v>
      </c>
      <c r="J599">
        <v>24445</v>
      </c>
      <c r="L599" s="2">
        <f t="shared" si="93"/>
        <v>6.7290249589156484E-2</v>
      </c>
      <c r="N599">
        <v>454365</v>
      </c>
      <c r="O599">
        <v>28730</v>
      </c>
      <c r="Q599" s="2">
        <f t="shared" si="94"/>
        <v>5.947070451981494E-2</v>
      </c>
      <c r="T599">
        <v>428264</v>
      </c>
      <c r="U599">
        <v>31998</v>
      </c>
      <c r="W599" s="2">
        <f t="shared" si="95"/>
        <v>6.9521272666437817E-2</v>
      </c>
      <c r="Z599">
        <f t="shared" si="90"/>
        <v>806818</v>
      </c>
      <c r="AA599">
        <f t="shared" si="91"/>
        <v>50787</v>
      </c>
      <c r="AC599" s="2">
        <f t="shared" si="96"/>
        <v>5.9219570781420351E-2</v>
      </c>
      <c r="AD599" s="2"/>
      <c r="AE599">
        <f t="shared" si="97"/>
        <v>767096</v>
      </c>
      <c r="AF599">
        <f t="shared" si="98"/>
        <v>56443</v>
      </c>
      <c r="AH599" s="2">
        <f t="shared" si="99"/>
        <v>6.8537130603407978E-2</v>
      </c>
      <c r="AI599" s="2"/>
      <c r="AJ599" s="2"/>
    </row>
    <row r="600" spans="2:36" x14ac:dyDescent="0.25">
      <c r="B600" s="1">
        <v>43585</v>
      </c>
      <c r="C600">
        <v>343484</v>
      </c>
      <c r="D600">
        <v>27486</v>
      </c>
      <c r="F600" s="2">
        <f t="shared" si="92"/>
        <v>7.4092244655902098E-2</v>
      </c>
      <c r="I600">
        <v>329196</v>
      </c>
      <c r="J600">
        <v>27853</v>
      </c>
      <c r="L600" s="2">
        <f t="shared" si="93"/>
        <v>7.8008900739114234E-2</v>
      </c>
      <c r="N600">
        <v>453679</v>
      </c>
      <c r="O600">
        <v>34479</v>
      </c>
      <c r="Q600" s="2">
        <f t="shared" si="94"/>
        <v>7.0630820349149248E-2</v>
      </c>
      <c r="T600">
        <v>433588</v>
      </c>
      <c r="U600">
        <v>29219</v>
      </c>
      <c r="W600" s="2">
        <f t="shared" si="95"/>
        <v>6.3134308685910107E-2</v>
      </c>
      <c r="Z600">
        <f t="shared" si="90"/>
        <v>797163</v>
      </c>
      <c r="AA600">
        <f t="shared" si="91"/>
        <v>61965</v>
      </c>
      <c r="AC600" s="2">
        <f t="shared" si="96"/>
        <v>7.2125457440567642E-2</v>
      </c>
      <c r="AD600" s="2"/>
      <c r="AE600">
        <f t="shared" si="97"/>
        <v>762784</v>
      </c>
      <c r="AF600">
        <f t="shared" si="98"/>
        <v>57072</v>
      </c>
      <c r="AH600" s="2">
        <f t="shared" si="99"/>
        <v>6.9612224585780924E-2</v>
      </c>
      <c r="AI600" s="2"/>
      <c r="AJ600" s="2"/>
    </row>
    <row r="601" spans="2:36" x14ac:dyDescent="0.25">
      <c r="B601" s="1">
        <v>43592</v>
      </c>
      <c r="C601">
        <v>319320</v>
      </c>
      <c r="D601">
        <v>38192</v>
      </c>
      <c r="F601" s="2">
        <f t="shared" si="92"/>
        <v>0.10682718342321376</v>
      </c>
      <c r="I601">
        <v>310577</v>
      </c>
      <c r="J601">
        <v>38665</v>
      </c>
      <c r="L601" s="2">
        <f t="shared" si="93"/>
        <v>0.11071119739321159</v>
      </c>
      <c r="N601">
        <v>445251</v>
      </c>
      <c r="O601">
        <v>30365</v>
      </c>
      <c r="Q601" s="2">
        <f t="shared" si="94"/>
        <v>6.3843520823521502E-2</v>
      </c>
      <c r="T601">
        <v>434082</v>
      </c>
      <c r="U601">
        <v>27907</v>
      </c>
      <c r="W601" s="2">
        <f t="shared" si="95"/>
        <v>6.040620014762256E-2</v>
      </c>
      <c r="Z601">
        <f t="shared" si="90"/>
        <v>764571</v>
      </c>
      <c r="AA601">
        <f t="shared" si="91"/>
        <v>68557</v>
      </c>
      <c r="AC601" s="2">
        <f t="shared" si="96"/>
        <v>8.2288675929749089E-2</v>
      </c>
      <c r="AD601" s="2"/>
      <c r="AE601">
        <f t="shared" si="97"/>
        <v>744659</v>
      </c>
      <c r="AF601">
        <f t="shared" si="98"/>
        <v>66572</v>
      </c>
      <c r="AH601" s="2">
        <f t="shared" si="99"/>
        <v>8.2062938916288949E-2</v>
      </c>
      <c r="AI601" s="2"/>
      <c r="AJ601" s="2"/>
    </row>
    <row r="602" spans="2:36" x14ac:dyDescent="0.25">
      <c r="B602" s="1">
        <v>43599</v>
      </c>
      <c r="C602">
        <v>304707</v>
      </c>
      <c r="D602">
        <v>40168</v>
      </c>
      <c r="F602" s="2">
        <f t="shared" si="92"/>
        <v>0.11647118521203334</v>
      </c>
      <c r="I602">
        <v>299719</v>
      </c>
      <c r="J602">
        <v>40731</v>
      </c>
      <c r="L602" s="2">
        <f t="shared" si="93"/>
        <v>0.11963871346746953</v>
      </c>
      <c r="N602">
        <v>438349</v>
      </c>
      <c r="O602">
        <v>30190</v>
      </c>
      <c r="Q602" s="2">
        <f t="shared" si="94"/>
        <v>6.4434337376397699E-2</v>
      </c>
      <c r="T602">
        <v>424646</v>
      </c>
      <c r="U602">
        <v>27335</v>
      </c>
      <c r="W602" s="2">
        <f t="shared" si="95"/>
        <v>6.0478205942285188E-2</v>
      </c>
      <c r="Z602">
        <f t="shared" si="90"/>
        <v>743056</v>
      </c>
      <c r="AA602">
        <f t="shared" si="91"/>
        <v>70358</v>
      </c>
      <c r="AC602" s="2">
        <f t="shared" si="96"/>
        <v>8.6497158888339767E-2</v>
      </c>
      <c r="AD602" s="2"/>
      <c r="AE602">
        <f t="shared" si="97"/>
        <v>724365</v>
      </c>
      <c r="AF602">
        <f t="shared" si="98"/>
        <v>68066</v>
      </c>
      <c r="AH602" s="2">
        <f t="shared" si="99"/>
        <v>8.5895175731388607E-2</v>
      </c>
      <c r="AI602" s="2"/>
      <c r="AJ602" s="2"/>
    </row>
    <row r="603" spans="2:36" x14ac:dyDescent="0.25">
      <c r="B603" s="1">
        <v>43606</v>
      </c>
      <c r="C603">
        <v>277839</v>
      </c>
      <c r="D603">
        <v>39105</v>
      </c>
      <c r="F603" s="2">
        <f t="shared" si="92"/>
        <v>0.12338141753748297</v>
      </c>
      <c r="I603">
        <v>277883</v>
      </c>
      <c r="J603">
        <v>41474</v>
      </c>
      <c r="L603" s="2">
        <f t="shared" si="93"/>
        <v>0.12986720190883558</v>
      </c>
      <c r="N603">
        <v>439394</v>
      </c>
      <c r="O603">
        <v>33787</v>
      </c>
      <c r="Q603" s="2">
        <f t="shared" si="94"/>
        <v>7.1403965924244639E-2</v>
      </c>
      <c r="T603">
        <v>425955</v>
      </c>
      <c r="U603">
        <v>32340</v>
      </c>
      <c r="W603" s="2">
        <f t="shared" si="95"/>
        <v>7.0565901875429576E-2</v>
      </c>
      <c r="Z603">
        <f t="shared" si="90"/>
        <v>717233</v>
      </c>
      <c r="AA603">
        <f t="shared" si="91"/>
        <v>72892</v>
      </c>
      <c r="AC603" s="2">
        <f t="shared" si="96"/>
        <v>9.2253757316880236E-2</v>
      </c>
      <c r="AD603" s="2"/>
      <c r="AE603">
        <f t="shared" si="97"/>
        <v>703838</v>
      </c>
      <c r="AF603">
        <f t="shared" si="98"/>
        <v>73814</v>
      </c>
      <c r="AH603" s="2">
        <f t="shared" si="99"/>
        <v>9.4919064054358501E-2</v>
      </c>
      <c r="AI603" s="2"/>
      <c r="AJ603" s="2"/>
    </row>
    <row r="604" spans="2:36" x14ac:dyDescent="0.25">
      <c r="B604" s="1">
        <v>43613</v>
      </c>
      <c r="C604">
        <v>257197</v>
      </c>
      <c r="D604">
        <v>55890</v>
      </c>
      <c r="F604" s="2">
        <f t="shared" si="92"/>
        <v>0.17851268177854718</v>
      </c>
      <c r="I604">
        <v>252567</v>
      </c>
      <c r="J604">
        <v>52177</v>
      </c>
      <c r="L604" s="2">
        <f t="shared" si="93"/>
        <v>0.17121584018061062</v>
      </c>
      <c r="N604">
        <v>410660</v>
      </c>
      <c r="O604">
        <v>52431</v>
      </c>
      <c r="Q604" s="2">
        <f t="shared" si="94"/>
        <v>0.11321964797415626</v>
      </c>
      <c r="T604">
        <v>402320</v>
      </c>
      <c r="U604">
        <v>49584</v>
      </c>
      <c r="W604" s="2">
        <f t="shared" si="95"/>
        <v>0.10972241892083275</v>
      </c>
      <c r="Z604">
        <f t="shared" si="90"/>
        <v>667857</v>
      </c>
      <c r="AA604">
        <f t="shared" si="91"/>
        <v>108321</v>
      </c>
      <c r="AC604" s="2">
        <f t="shared" si="96"/>
        <v>0.13955690576130733</v>
      </c>
      <c r="AD604" s="2"/>
      <c r="AE604">
        <f t="shared" si="97"/>
        <v>654887</v>
      </c>
      <c r="AF604">
        <f t="shared" si="98"/>
        <v>101761</v>
      </c>
      <c r="AH604" s="2">
        <f t="shared" si="99"/>
        <v>0.13448922087945783</v>
      </c>
      <c r="AI604" s="2"/>
      <c r="AJ604" s="2"/>
    </row>
    <row r="605" spans="2:36" x14ac:dyDescent="0.25">
      <c r="B605" s="1">
        <v>43620</v>
      </c>
      <c r="C605">
        <v>239064</v>
      </c>
      <c r="D605">
        <v>68688</v>
      </c>
      <c r="F605" s="2">
        <f t="shared" si="92"/>
        <v>0.22319270061608049</v>
      </c>
      <c r="I605">
        <v>237209</v>
      </c>
      <c r="J605">
        <v>53837</v>
      </c>
      <c r="L605" s="2">
        <f t="shared" si="93"/>
        <v>0.18497763240175091</v>
      </c>
      <c r="N605">
        <v>365695</v>
      </c>
      <c r="O605">
        <v>60675</v>
      </c>
      <c r="Q605" s="2">
        <f t="shared" si="94"/>
        <v>0.14230597837558928</v>
      </c>
      <c r="T605">
        <v>351457</v>
      </c>
      <c r="U605">
        <v>47130</v>
      </c>
      <c r="W605" s="2">
        <f t="shared" si="95"/>
        <v>0.11824269231058715</v>
      </c>
      <c r="Z605">
        <f t="shared" si="90"/>
        <v>604759</v>
      </c>
      <c r="AA605">
        <f t="shared" si="91"/>
        <v>129363</v>
      </c>
      <c r="AC605" s="2">
        <f t="shared" si="96"/>
        <v>0.17621458013790622</v>
      </c>
      <c r="AD605" s="2"/>
      <c r="AE605">
        <f t="shared" si="97"/>
        <v>588666</v>
      </c>
      <c r="AF605">
        <f t="shared" si="98"/>
        <v>100967</v>
      </c>
      <c r="AH605" s="2">
        <f t="shared" si="99"/>
        <v>0.14640685698045192</v>
      </c>
      <c r="AI605" s="2"/>
      <c r="AJ605" s="2"/>
    </row>
    <row r="606" spans="2:36" x14ac:dyDescent="0.25">
      <c r="B606" s="1">
        <v>43627</v>
      </c>
      <c r="C606">
        <v>214928</v>
      </c>
      <c r="D606">
        <v>96527</v>
      </c>
      <c r="F606" s="2">
        <f t="shared" si="92"/>
        <v>0.30992278178227994</v>
      </c>
      <c r="I606">
        <v>207925</v>
      </c>
      <c r="J606">
        <v>78509</v>
      </c>
      <c r="L606" s="2">
        <f t="shared" si="93"/>
        <v>0.27409106460825183</v>
      </c>
      <c r="N606">
        <v>360283</v>
      </c>
      <c r="O606">
        <v>65056</v>
      </c>
      <c r="Q606" s="2">
        <f t="shared" si="94"/>
        <v>0.152950940308789</v>
      </c>
      <c r="T606">
        <v>346066</v>
      </c>
      <c r="U606">
        <v>54040</v>
      </c>
      <c r="W606" s="2">
        <f t="shared" si="95"/>
        <v>0.135064207984884</v>
      </c>
      <c r="Z606">
        <f t="shared" si="90"/>
        <v>575211</v>
      </c>
      <c r="AA606">
        <f t="shared" si="91"/>
        <v>161583</v>
      </c>
      <c r="AC606" s="2">
        <f t="shared" si="96"/>
        <v>0.21930553180400492</v>
      </c>
      <c r="AD606" s="2"/>
      <c r="AE606">
        <f t="shared" si="97"/>
        <v>553991</v>
      </c>
      <c r="AF606">
        <f t="shared" si="98"/>
        <v>132549</v>
      </c>
      <c r="AH606" s="2">
        <f t="shared" si="99"/>
        <v>0.19306813878288229</v>
      </c>
      <c r="AI606" s="2"/>
      <c r="AJ606" s="2"/>
    </row>
    <row r="607" spans="2:36" x14ac:dyDescent="0.25">
      <c r="B607" s="1">
        <v>43634</v>
      </c>
      <c r="C607">
        <v>223751</v>
      </c>
      <c r="D607">
        <v>71072</v>
      </c>
      <c r="F607" s="2">
        <f t="shared" si="92"/>
        <v>0.24106667390264666</v>
      </c>
      <c r="I607">
        <v>218051</v>
      </c>
      <c r="J607">
        <v>71313</v>
      </c>
      <c r="L607" s="2">
        <f t="shared" si="93"/>
        <v>0.24644738115314965</v>
      </c>
      <c r="N607">
        <v>352708</v>
      </c>
      <c r="O607">
        <v>71840</v>
      </c>
      <c r="Q607" s="2">
        <f t="shared" si="94"/>
        <v>0.16921525952306923</v>
      </c>
      <c r="T607">
        <v>333483</v>
      </c>
      <c r="U607">
        <v>61977</v>
      </c>
      <c r="W607" s="2">
        <f t="shared" si="95"/>
        <v>0.1567212866029434</v>
      </c>
      <c r="Z607">
        <f t="shared" si="90"/>
        <v>576459</v>
      </c>
      <c r="AA607">
        <f t="shared" si="91"/>
        <v>142912</v>
      </c>
      <c r="AC607" s="2">
        <f t="shared" si="96"/>
        <v>0.19866244260611007</v>
      </c>
      <c r="AD607" s="2"/>
      <c r="AE607">
        <f t="shared" si="97"/>
        <v>551534</v>
      </c>
      <c r="AF607">
        <f t="shared" si="98"/>
        <v>133290</v>
      </c>
      <c r="AH607" s="2">
        <f t="shared" si="99"/>
        <v>0.19463394974475193</v>
      </c>
      <c r="AI607" s="2"/>
      <c r="AJ607" s="2"/>
    </row>
    <row r="608" spans="2:36" x14ac:dyDescent="0.25">
      <c r="B608" s="1">
        <v>43641</v>
      </c>
      <c r="C608">
        <v>215133</v>
      </c>
      <c r="D608">
        <v>53922</v>
      </c>
      <c r="F608" s="2">
        <f t="shared" si="92"/>
        <v>0.2004125550537994</v>
      </c>
      <c r="I608">
        <v>204712</v>
      </c>
      <c r="J608">
        <v>59273</v>
      </c>
      <c r="L608" s="2">
        <f t="shared" si="93"/>
        <v>0.22453169687671648</v>
      </c>
      <c r="N608">
        <v>340307</v>
      </c>
      <c r="O608">
        <v>74526</v>
      </c>
      <c r="Q608" s="2">
        <f t="shared" si="94"/>
        <v>0.17965301699720129</v>
      </c>
      <c r="T608">
        <v>326480</v>
      </c>
      <c r="U608">
        <v>71726</v>
      </c>
      <c r="W608" s="2">
        <f t="shared" si="95"/>
        <v>0.18012285098667524</v>
      </c>
      <c r="Z608">
        <f t="shared" si="90"/>
        <v>555440</v>
      </c>
      <c r="AA608">
        <f t="shared" si="91"/>
        <v>128448</v>
      </c>
      <c r="AC608" s="2">
        <f t="shared" si="96"/>
        <v>0.18782022787356994</v>
      </c>
      <c r="AD608" s="2"/>
      <c r="AE608">
        <f t="shared" si="97"/>
        <v>531192</v>
      </c>
      <c r="AF608">
        <f t="shared" si="98"/>
        <v>130999</v>
      </c>
      <c r="AH608" s="2">
        <f t="shared" si="99"/>
        <v>0.19782660893911275</v>
      </c>
      <c r="AI608" s="2"/>
      <c r="AJ608" s="2"/>
    </row>
    <row r="609" spans="2:36" x14ac:dyDescent="0.25">
      <c r="B609" s="1">
        <v>43648</v>
      </c>
      <c r="C609">
        <v>225003</v>
      </c>
      <c r="D609">
        <v>51394</v>
      </c>
      <c r="F609" s="2">
        <f t="shared" si="92"/>
        <v>0.18594268389309579</v>
      </c>
      <c r="I609">
        <v>213681</v>
      </c>
      <c r="J609">
        <v>52464</v>
      </c>
      <c r="L609" s="2">
        <f t="shared" si="93"/>
        <v>0.19712562700783406</v>
      </c>
      <c r="N609">
        <v>331336</v>
      </c>
      <c r="O609">
        <v>77528</v>
      </c>
      <c r="Q609" s="2">
        <f t="shared" si="94"/>
        <v>0.18961806370822573</v>
      </c>
      <c r="T609">
        <v>320816</v>
      </c>
      <c r="U609">
        <v>72810</v>
      </c>
      <c r="W609" s="2">
        <f t="shared" si="95"/>
        <v>0.18497253738320132</v>
      </c>
      <c r="Z609">
        <f t="shared" si="90"/>
        <v>556339</v>
      </c>
      <c r="AA609">
        <f t="shared" si="91"/>
        <v>128922</v>
      </c>
      <c r="AC609" s="2">
        <f t="shared" si="96"/>
        <v>0.18813561548081681</v>
      </c>
      <c r="AD609" s="2"/>
      <c r="AE609">
        <f t="shared" si="97"/>
        <v>534497</v>
      </c>
      <c r="AF609">
        <f t="shared" si="98"/>
        <v>125274</v>
      </c>
      <c r="AH609" s="2">
        <f t="shared" si="99"/>
        <v>0.18987497177050824</v>
      </c>
      <c r="AI609" s="2"/>
      <c r="AJ609" s="2"/>
    </row>
    <row r="610" spans="2:36" x14ac:dyDescent="0.25">
      <c r="B610" s="1">
        <v>43655</v>
      </c>
      <c r="C610">
        <v>224016</v>
      </c>
      <c r="D610">
        <v>46979</v>
      </c>
      <c r="F610" s="2">
        <f t="shared" si="92"/>
        <v>0.17335744201922546</v>
      </c>
      <c r="I610">
        <v>210024</v>
      </c>
      <c r="J610">
        <v>51419</v>
      </c>
      <c r="L610" s="2">
        <f t="shared" si="93"/>
        <v>0.19667384477687297</v>
      </c>
      <c r="N610">
        <v>329219</v>
      </c>
      <c r="O610">
        <v>76707</v>
      </c>
      <c r="Q610" s="2">
        <f t="shared" si="94"/>
        <v>0.18896793996935402</v>
      </c>
      <c r="T610">
        <v>319018</v>
      </c>
      <c r="U610">
        <v>74875</v>
      </c>
      <c r="W610" s="2">
        <f t="shared" si="95"/>
        <v>0.19008969440939544</v>
      </c>
      <c r="Z610">
        <f t="shared" si="90"/>
        <v>553235</v>
      </c>
      <c r="AA610">
        <f t="shared" si="91"/>
        <v>123686</v>
      </c>
      <c r="AC610" s="2">
        <f t="shared" si="96"/>
        <v>0.18271851515908061</v>
      </c>
      <c r="AD610" s="2"/>
      <c r="AE610">
        <f t="shared" si="97"/>
        <v>529042</v>
      </c>
      <c r="AF610">
        <f t="shared" si="98"/>
        <v>126294</v>
      </c>
      <c r="AH610" s="2">
        <f t="shared" si="99"/>
        <v>0.19271640807158466</v>
      </c>
      <c r="AI610" s="2"/>
      <c r="AJ610" s="2"/>
    </row>
    <row r="611" spans="2:36" x14ac:dyDescent="0.25">
      <c r="B611" s="1">
        <v>43662</v>
      </c>
      <c r="C611">
        <v>268607</v>
      </c>
      <c r="D611">
        <v>48964</v>
      </c>
      <c r="F611" s="2">
        <f t="shared" si="92"/>
        <v>0.15418284415138661</v>
      </c>
      <c r="I611">
        <v>251622</v>
      </c>
      <c r="J611">
        <v>51978</v>
      </c>
      <c r="L611" s="2">
        <f t="shared" si="93"/>
        <v>0.17120553359683793</v>
      </c>
      <c r="N611">
        <v>350620</v>
      </c>
      <c r="O611">
        <v>62573</v>
      </c>
      <c r="Q611" s="2">
        <f t="shared" si="94"/>
        <v>0.1514377058662659</v>
      </c>
      <c r="T611">
        <v>341220</v>
      </c>
      <c r="U611">
        <v>60800</v>
      </c>
      <c r="W611" s="2">
        <f t="shared" si="95"/>
        <v>0.15123625690264167</v>
      </c>
      <c r="Z611">
        <f t="shared" si="90"/>
        <v>619227</v>
      </c>
      <c r="AA611">
        <f t="shared" si="91"/>
        <v>111537</v>
      </c>
      <c r="AC611" s="2">
        <f t="shared" si="96"/>
        <v>0.15263067146164835</v>
      </c>
      <c r="AD611" s="2"/>
      <c r="AE611">
        <f t="shared" si="97"/>
        <v>592842</v>
      </c>
      <c r="AF611">
        <f t="shared" si="98"/>
        <v>112778</v>
      </c>
      <c r="AH611" s="2">
        <f t="shared" si="99"/>
        <v>0.15982823616110656</v>
      </c>
      <c r="AI611" s="2"/>
      <c r="AJ611" s="2"/>
    </row>
    <row r="612" spans="2:36" x14ac:dyDescent="0.25">
      <c r="B612" s="1">
        <v>43669</v>
      </c>
      <c r="C612">
        <v>255681</v>
      </c>
      <c r="D612">
        <v>76957</v>
      </c>
      <c r="F612" s="2">
        <f t="shared" si="92"/>
        <v>0.23135360361714535</v>
      </c>
      <c r="I612">
        <v>247637</v>
      </c>
      <c r="J612">
        <v>76797</v>
      </c>
      <c r="L612" s="2">
        <f t="shared" si="93"/>
        <v>0.23671070233082847</v>
      </c>
      <c r="N612">
        <v>329904</v>
      </c>
      <c r="O612">
        <v>68172</v>
      </c>
      <c r="Q612" s="2">
        <f t="shared" si="94"/>
        <v>0.17125373044343292</v>
      </c>
      <c r="T612">
        <v>322775</v>
      </c>
      <c r="U612">
        <v>66456</v>
      </c>
      <c r="W612" s="2">
        <f t="shared" si="95"/>
        <v>0.17073665766601323</v>
      </c>
      <c r="Z612">
        <f t="shared" si="90"/>
        <v>585585</v>
      </c>
      <c r="AA612">
        <f t="shared" si="91"/>
        <v>145129</v>
      </c>
      <c r="AC612" s="2">
        <f t="shared" si="96"/>
        <v>0.1986125898778455</v>
      </c>
      <c r="AD612" s="2"/>
      <c r="AE612">
        <f t="shared" si="97"/>
        <v>570412</v>
      </c>
      <c r="AF612">
        <f t="shared" si="98"/>
        <v>143253</v>
      </c>
      <c r="AH612" s="2">
        <f t="shared" si="99"/>
        <v>0.20072863318223536</v>
      </c>
      <c r="AI612" s="2"/>
      <c r="AJ612" s="2"/>
    </row>
    <row r="613" spans="2:36" x14ac:dyDescent="0.25">
      <c r="B613" s="1">
        <v>43676</v>
      </c>
      <c r="C613">
        <v>259812</v>
      </c>
      <c r="D613">
        <v>79192</v>
      </c>
      <c r="F613" s="2">
        <f t="shared" si="92"/>
        <v>0.23360196339866196</v>
      </c>
      <c r="I613">
        <v>250432</v>
      </c>
      <c r="J613">
        <v>82317</v>
      </c>
      <c r="L613" s="2">
        <f t="shared" si="93"/>
        <v>0.247384665318303</v>
      </c>
      <c r="N613">
        <v>351475</v>
      </c>
      <c r="O613">
        <v>76159</v>
      </c>
      <c r="Q613" s="2">
        <f t="shared" si="94"/>
        <v>0.17809388402231816</v>
      </c>
      <c r="T613">
        <v>344378</v>
      </c>
      <c r="U613">
        <v>68038</v>
      </c>
      <c r="W613" s="2">
        <f t="shared" si="95"/>
        <v>0.16497420080695221</v>
      </c>
      <c r="Z613">
        <f t="shared" si="90"/>
        <v>611287</v>
      </c>
      <c r="AA613">
        <f t="shared" si="91"/>
        <v>155351</v>
      </c>
      <c r="AC613" s="2">
        <f t="shared" si="96"/>
        <v>0.20263931607877511</v>
      </c>
      <c r="AD613" s="2"/>
      <c r="AE613">
        <f t="shared" si="97"/>
        <v>594810</v>
      </c>
      <c r="AF613">
        <f t="shared" si="98"/>
        <v>150355</v>
      </c>
      <c r="AH613" s="2">
        <f t="shared" si="99"/>
        <v>0.20177410372199445</v>
      </c>
      <c r="AI613" s="2"/>
      <c r="AJ613" s="2"/>
    </row>
    <row r="614" spans="2:36" x14ac:dyDescent="0.25">
      <c r="B614" s="1">
        <v>43683</v>
      </c>
      <c r="C614">
        <v>264936</v>
      </c>
      <c r="D614">
        <v>86287</v>
      </c>
      <c r="F614" s="2">
        <f t="shared" si="92"/>
        <v>0.24567582419146811</v>
      </c>
      <c r="I614">
        <v>259075</v>
      </c>
      <c r="J614">
        <v>81886</v>
      </c>
      <c r="L614" s="2">
        <f t="shared" si="93"/>
        <v>0.2401623646106153</v>
      </c>
      <c r="N614">
        <v>342576</v>
      </c>
      <c r="O614">
        <v>86326</v>
      </c>
      <c r="Q614" s="2">
        <f t="shared" si="94"/>
        <v>0.20127208546474487</v>
      </c>
      <c r="T614">
        <v>335929</v>
      </c>
      <c r="U614">
        <v>72429</v>
      </c>
      <c r="W614" s="2">
        <f t="shared" si="95"/>
        <v>0.17736642847697365</v>
      </c>
      <c r="Z614">
        <f t="shared" si="90"/>
        <v>607512</v>
      </c>
      <c r="AA614">
        <f t="shared" si="91"/>
        <v>172613</v>
      </c>
      <c r="AC614" s="2">
        <f t="shared" si="96"/>
        <v>0.22126325909309405</v>
      </c>
      <c r="AD614" s="2"/>
      <c r="AE614">
        <f t="shared" si="97"/>
        <v>595004</v>
      </c>
      <c r="AF614">
        <f t="shared" si="98"/>
        <v>154315</v>
      </c>
      <c r="AH614" s="2">
        <f t="shared" si="99"/>
        <v>0.20594032715038588</v>
      </c>
      <c r="AI614" s="2"/>
      <c r="AJ614" s="2"/>
    </row>
    <row r="615" spans="2:36" x14ac:dyDescent="0.25">
      <c r="B615" s="1">
        <v>43690</v>
      </c>
      <c r="C615">
        <v>277969</v>
      </c>
      <c r="D615">
        <v>67580</v>
      </c>
      <c r="F615" s="2">
        <f t="shared" si="92"/>
        <v>0.19557284205713227</v>
      </c>
      <c r="I615">
        <v>267598</v>
      </c>
      <c r="J615">
        <v>67099</v>
      </c>
      <c r="L615" s="2">
        <f t="shared" si="93"/>
        <v>0.20047684920988237</v>
      </c>
      <c r="N615">
        <v>317569</v>
      </c>
      <c r="O615">
        <v>89046</v>
      </c>
      <c r="Q615" s="2">
        <f t="shared" si="94"/>
        <v>0.21899339670204002</v>
      </c>
      <c r="T615">
        <v>309056</v>
      </c>
      <c r="U615">
        <v>82289</v>
      </c>
      <c r="W615" s="2">
        <f t="shared" si="95"/>
        <v>0.2102722661590157</v>
      </c>
      <c r="Z615">
        <f t="shared" si="90"/>
        <v>595538</v>
      </c>
      <c r="AA615">
        <f t="shared" si="91"/>
        <v>156626</v>
      </c>
      <c r="AC615" s="2">
        <f t="shared" si="96"/>
        <v>0.20823384261942873</v>
      </c>
      <c r="AD615" s="2"/>
      <c r="AE615">
        <f t="shared" si="97"/>
        <v>576654</v>
      </c>
      <c r="AF615">
        <f t="shared" si="98"/>
        <v>149388</v>
      </c>
      <c r="AH615" s="2">
        <f t="shared" si="99"/>
        <v>0.20575669176163364</v>
      </c>
      <c r="AI615" s="2"/>
      <c r="AJ615" s="2"/>
    </row>
    <row r="616" spans="2:36" x14ac:dyDescent="0.25">
      <c r="B616" s="1">
        <v>43697</v>
      </c>
      <c r="C616">
        <v>269925</v>
      </c>
      <c r="D616">
        <v>49493</v>
      </c>
      <c r="F616" s="2">
        <f t="shared" si="92"/>
        <v>0.15494743564858587</v>
      </c>
      <c r="I616">
        <v>257246</v>
      </c>
      <c r="J616">
        <v>50404</v>
      </c>
      <c r="L616" s="2">
        <f t="shared" si="93"/>
        <v>0.16383552738501544</v>
      </c>
      <c r="N616">
        <v>306768</v>
      </c>
      <c r="O616">
        <v>85898</v>
      </c>
      <c r="Q616" s="2">
        <f t="shared" si="94"/>
        <v>0.21875588922901398</v>
      </c>
      <c r="T616">
        <v>297119</v>
      </c>
      <c r="U616">
        <v>76920</v>
      </c>
      <c r="W616" s="2">
        <f t="shared" si="95"/>
        <v>0.2056470047241063</v>
      </c>
      <c r="Z616">
        <f t="shared" si="90"/>
        <v>576693</v>
      </c>
      <c r="AA616">
        <f t="shared" si="91"/>
        <v>135391</v>
      </c>
      <c r="AC616" s="2">
        <f t="shared" si="96"/>
        <v>0.19013346739991349</v>
      </c>
      <c r="AD616" s="2"/>
      <c r="AE616">
        <f t="shared" si="97"/>
        <v>554365</v>
      </c>
      <c r="AF616">
        <f t="shared" si="98"/>
        <v>127324</v>
      </c>
      <c r="AH616" s="2">
        <f t="shared" si="99"/>
        <v>0.18677725473052961</v>
      </c>
      <c r="AI616" s="2"/>
      <c r="AJ616" s="2"/>
    </row>
    <row r="617" spans="2:36" x14ac:dyDescent="0.25">
      <c r="B617" s="1">
        <v>43704</v>
      </c>
      <c r="C617">
        <v>250734</v>
      </c>
      <c r="D617">
        <v>57053</v>
      </c>
      <c r="F617" s="2">
        <f t="shared" si="92"/>
        <v>0.18536520385851254</v>
      </c>
      <c r="I617">
        <v>239866</v>
      </c>
      <c r="J617">
        <v>57416</v>
      </c>
      <c r="L617" s="2">
        <f t="shared" si="93"/>
        <v>0.19313648320449944</v>
      </c>
      <c r="N617">
        <v>320663</v>
      </c>
      <c r="O617">
        <v>92513</v>
      </c>
      <c r="Q617" s="2">
        <f t="shared" si="94"/>
        <v>0.22390700331093771</v>
      </c>
      <c r="T617">
        <v>312137</v>
      </c>
      <c r="U617">
        <v>88016</v>
      </c>
      <c r="W617" s="2">
        <f t="shared" si="95"/>
        <v>0.21995586688091806</v>
      </c>
      <c r="Z617">
        <f t="shared" si="90"/>
        <v>571397</v>
      </c>
      <c r="AA617">
        <f t="shared" si="91"/>
        <v>149566</v>
      </c>
      <c r="AC617" s="2">
        <f t="shared" si="96"/>
        <v>0.20745308705162402</v>
      </c>
      <c r="AD617" s="2"/>
      <c r="AE617">
        <f t="shared" si="97"/>
        <v>552003</v>
      </c>
      <c r="AF617">
        <f t="shared" si="98"/>
        <v>145432</v>
      </c>
      <c r="AH617" s="2">
        <f t="shared" si="99"/>
        <v>0.20852409185085349</v>
      </c>
      <c r="AI617" s="2"/>
      <c r="AJ617" s="2"/>
    </row>
    <row r="618" spans="2:36" x14ac:dyDescent="0.25">
      <c r="B618" s="1">
        <v>43711</v>
      </c>
      <c r="C618">
        <v>242150</v>
      </c>
      <c r="D618">
        <v>62554</v>
      </c>
      <c r="F618" s="2">
        <f t="shared" si="92"/>
        <v>0.20529431842049989</v>
      </c>
      <c r="I618">
        <v>232208</v>
      </c>
      <c r="J618">
        <v>63954</v>
      </c>
      <c r="L618" s="2">
        <f t="shared" si="93"/>
        <v>0.21594262599523234</v>
      </c>
      <c r="N618">
        <v>334204</v>
      </c>
      <c r="O618">
        <v>87565</v>
      </c>
      <c r="Q618" s="2">
        <f t="shared" si="94"/>
        <v>0.20761364633247109</v>
      </c>
      <c r="T618">
        <v>326458</v>
      </c>
      <c r="U618">
        <v>84219</v>
      </c>
      <c r="W618" s="2">
        <f t="shared" si="95"/>
        <v>0.20507357363572831</v>
      </c>
      <c r="Z618">
        <f t="shared" si="90"/>
        <v>576354</v>
      </c>
      <c r="AA618">
        <f t="shared" si="91"/>
        <v>150119</v>
      </c>
      <c r="AC618" s="2">
        <f t="shared" si="96"/>
        <v>0.20664085244737243</v>
      </c>
      <c r="AD618" s="2"/>
      <c r="AE618">
        <f t="shared" si="97"/>
        <v>558666</v>
      </c>
      <c r="AF618">
        <f t="shared" si="98"/>
        <v>148173</v>
      </c>
      <c r="AH618" s="2">
        <f t="shared" si="99"/>
        <v>0.20962765212445833</v>
      </c>
      <c r="AI618" s="2"/>
      <c r="AJ618" s="2"/>
    </row>
    <row r="619" spans="2:36" x14ac:dyDescent="0.25">
      <c r="B619" s="1">
        <v>43718</v>
      </c>
      <c r="C619">
        <v>262145</v>
      </c>
      <c r="D619">
        <v>41657</v>
      </c>
      <c r="F619" s="2">
        <f t="shared" si="92"/>
        <v>0.13711891297621479</v>
      </c>
      <c r="I619">
        <v>245334</v>
      </c>
      <c r="J619">
        <v>44166</v>
      </c>
      <c r="L619" s="2">
        <f t="shared" si="93"/>
        <v>0.15255958549222798</v>
      </c>
      <c r="N619">
        <v>367015</v>
      </c>
      <c r="O619">
        <v>71086</v>
      </c>
      <c r="Q619" s="2">
        <f t="shared" si="94"/>
        <v>0.16225938767544471</v>
      </c>
      <c r="T619">
        <v>364217</v>
      </c>
      <c r="U619">
        <v>70339</v>
      </c>
      <c r="W619" s="2">
        <f t="shared" si="95"/>
        <v>0.16186406354992222</v>
      </c>
      <c r="Z619">
        <f t="shared" si="90"/>
        <v>629160</v>
      </c>
      <c r="AA619">
        <f t="shared" si="91"/>
        <v>112743</v>
      </c>
      <c r="AC619" s="2">
        <f t="shared" si="96"/>
        <v>0.15196460992879124</v>
      </c>
      <c r="AD619" s="2"/>
      <c r="AE619">
        <f t="shared" si="97"/>
        <v>609551</v>
      </c>
      <c r="AF619">
        <f t="shared" si="98"/>
        <v>114505</v>
      </c>
      <c r="AH619" s="2">
        <f t="shared" si="99"/>
        <v>0.15814384522744096</v>
      </c>
      <c r="AI619" s="2"/>
      <c r="AJ619" s="2"/>
    </row>
    <row r="620" spans="2:36" x14ac:dyDescent="0.25">
      <c r="B620" s="1">
        <v>43725</v>
      </c>
      <c r="C620">
        <v>266138</v>
      </c>
      <c r="D620">
        <v>39324</v>
      </c>
      <c r="F620" s="2">
        <f t="shared" si="92"/>
        <v>0.12873614393934435</v>
      </c>
      <c r="I620">
        <v>253358</v>
      </c>
      <c r="J620">
        <v>39948</v>
      </c>
      <c r="L620" s="2">
        <f t="shared" si="93"/>
        <v>0.13619905491193499</v>
      </c>
      <c r="N620">
        <v>356082</v>
      </c>
      <c r="O620">
        <v>75283</v>
      </c>
      <c r="Q620" s="2">
        <f t="shared" si="94"/>
        <v>0.17452273596606122</v>
      </c>
      <c r="T620">
        <v>355113</v>
      </c>
      <c r="U620">
        <v>70460</v>
      </c>
      <c r="W620" s="2">
        <f t="shared" si="95"/>
        <v>0.16556501469783091</v>
      </c>
      <c r="Z620">
        <f t="shared" si="90"/>
        <v>622220</v>
      </c>
      <c r="AA620">
        <f t="shared" si="91"/>
        <v>114607</v>
      </c>
      <c r="AC620" s="2">
        <f t="shared" si="96"/>
        <v>0.15554126002440194</v>
      </c>
      <c r="AD620" s="2"/>
      <c r="AE620">
        <f t="shared" si="97"/>
        <v>608471</v>
      </c>
      <c r="AF620">
        <f t="shared" si="98"/>
        <v>110408</v>
      </c>
      <c r="AH620" s="2">
        <f t="shared" si="99"/>
        <v>0.1535835655235443</v>
      </c>
      <c r="AI620" s="2"/>
      <c r="AJ620" s="2"/>
    </row>
    <row r="621" spans="2:36" x14ac:dyDescent="0.25">
      <c r="B621" s="1">
        <v>43732</v>
      </c>
      <c r="C621">
        <v>261776</v>
      </c>
      <c r="D621">
        <v>53064</v>
      </c>
      <c r="F621" s="2">
        <f t="shared" si="92"/>
        <v>0.16854275187396772</v>
      </c>
      <c r="I621">
        <v>251344</v>
      </c>
      <c r="J621">
        <v>53235</v>
      </c>
      <c r="L621" s="2">
        <f t="shared" si="93"/>
        <v>0.17478224040396745</v>
      </c>
      <c r="N621">
        <v>348803</v>
      </c>
      <c r="O621">
        <v>83907</v>
      </c>
      <c r="Q621" s="2">
        <f t="shared" si="94"/>
        <v>0.19391047121628804</v>
      </c>
      <c r="T621">
        <v>347253</v>
      </c>
      <c r="U621">
        <v>77350</v>
      </c>
      <c r="W621" s="2">
        <f t="shared" si="95"/>
        <v>0.18217016836904121</v>
      </c>
      <c r="Z621">
        <f t="shared" si="90"/>
        <v>610579</v>
      </c>
      <c r="AA621">
        <f t="shared" si="91"/>
        <v>136971</v>
      </c>
      <c r="AC621" s="2">
        <f t="shared" si="96"/>
        <v>0.18322654003076716</v>
      </c>
      <c r="AD621" s="2"/>
      <c r="AE621">
        <f t="shared" si="97"/>
        <v>598597</v>
      </c>
      <c r="AF621">
        <f t="shared" si="98"/>
        <v>130585</v>
      </c>
      <c r="AH621" s="2">
        <f t="shared" si="99"/>
        <v>0.1790842341143912</v>
      </c>
      <c r="AI621" s="2"/>
      <c r="AJ621" s="2"/>
    </row>
    <row r="622" spans="2:36" x14ac:dyDescent="0.25">
      <c r="B622" s="1">
        <v>43739</v>
      </c>
      <c r="C622">
        <v>217764</v>
      </c>
      <c r="D622">
        <v>76541</v>
      </c>
      <c r="F622" s="2">
        <f t="shared" si="92"/>
        <v>0.26007373303205855</v>
      </c>
      <c r="I622">
        <v>207608</v>
      </c>
      <c r="J622">
        <v>72262</v>
      </c>
      <c r="L622" s="2">
        <f t="shared" si="93"/>
        <v>0.25819844928002289</v>
      </c>
      <c r="N622">
        <v>330357</v>
      </c>
      <c r="O622">
        <v>88418</v>
      </c>
      <c r="Q622" s="2">
        <f t="shared" si="94"/>
        <v>0.21113485762044057</v>
      </c>
      <c r="T622">
        <v>330251</v>
      </c>
      <c r="U622">
        <v>76887</v>
      </c>
      <c r="W622" s="2">
        <f t="shared" si="95"/>
        <v>0.18884751607563038</v>
      </c>
      <c r="Z622">
        <f t="shared" si="90"/>
        <v>548121</v>
      </c>
      <c r="AA622">
        <f t="shared" si="91"/>
        <v>164959</v>
      </c>
      <c r="AC622" s="2">
        <f t="shared" si="96"/>
        <v>0.23133309025635274</v>
      </c>
      <c r="AD622" s="2"/>
      <c r="AE622">
        <f t="shared" si="97"/>
        <v>537859</v>
      </c>
      <c r="AF622">
        <f t="shared" si="98"/>
        <v>149149</v>
      </c>
      <c r="AH622" s="2">
        <f t="shared" si="99"/>
        <v>0.21709936419954354</v>
      </c>
      <c r="AI622" s="2"/>
      <c r="AJ622" s="2"/>
    </row>
    <row r="623" spans="2:36" x14ac:dyDescent="0.25">
      <c r="B623" s="1">
        <v>43746</v>
      </c>
      <c r="C623">
        <v>210463</v>
      </c>
      <c r="D623">
        <v>113400</v>
      </c>
      <c r="F623" s="2">
        <f t="shared" si="92"/>
        <v>0.35014805643126878</v>
      </c>
      <c r="I623">
        <v>201453</v>
      </c>
      <c r="J623">
        <v>106578</v>
      </c>
      <c r="L623" s="2">
        <f t="shared" si="93"/>
        <v>0.34599764309436387</v>
      </c>
      <c r="N623">
        <v>297640</v>
      </c>
      <c r="O623">
        <v>106345</v>
      </c>
      <c r="Q623" s="2">
        <f t="shared" si="94"/>
        <v>0.26323997178113051</v>
      </c>
      <c r="T623">
        <v>295781</v>
      </c>
      <c r="U623">
        <v>89668</v>
      </c>
      <c r="W623" s="2">
        <f t="shared" si="95"/>
        <v>0.23263259211983947</v>
      </c>
      <c r="Z623">
        <f t="shared" si="90"/>
        <v>508103</v>
      </c>
      <c r="AA623">
        <f t="shared" si="91"/>
        <v>219745</v>
      </c>
      <c r="AC623" s="2">
        <f t="shared" si="96"/>
        <v>0.30191056374407843</v>
      </c>
      <c r="AD623" s="2"/>
      <c r="AE623">
        <f t="shared" si="97"/>
        <v>497234</v>
      </c>
      <c r="AF623">
        <f t="shared" si="98"/>
        <v>196246</v>
      </c>
      <c r="AH623" s="2">
        <f t="shared" si="99"/>
        <v>0.28298725269654496</v>
      </c>
      <c r="AI623" s="2"/>
      <c r="AJ623" s="2"/>
    </row>
    <row r="624" spans="2:36" x14ac:dyDescent="0.25">
      <c r="B624" s="1">
        <v>43753</v>
      </c>
      <c r="C624">
        <v>211183</v>
      </c>
      <c r="D624">
        <v>120721</v>
      </c>
      <c r="F624" s="2">
        <f t="shared" si="92"/>
        <v>0.36372264269186272</v>
      </c>
      <c r="I624">
        <v>201239</v>
      </c>
      <c r="J624">
        <v>114709</v>
      </c>
      <c r="L624" s="2">
        <f t="shared" si="93"/>
        <v>0.36306290908630534</v>
      </c>
      <c r="N624">
        <v>297960</v>
      </c>
      <c r="O624">
        <v>108382</v>
      </c>
      <c r="Q624" s="2">
        <f t="shared" si="94"/>
        <v>0.26672605834494095</v>
      </c>
      <c r="T624">
        <v>295048</v>
      </c>
      <c r="U624">
        <v>92155</v>
      </c>
      <c r="W624" s="2">
        <f t="shared" si="95"/>
        <v>0.238001771680488</v>
      </c>
      <c r="Z624">
        <f t="shared" si="90"/>
        <v>509143</v>
      </c>
      <c r="AA624">
        <f t="shared" si="91"/>
        <v>229103</v>
      </c>
      <c r="AC624" s="2">
        <f t="shared" si="96"/>
        <v>0.3103342246351487</v>
      </c>
      <c r="AD624" s="2"/>
      <c r="AE624">
        <f t="shared" si="97"/>
        <v>496287</v>
      </c>
      <c r="AF624">
        <f t="shared" si="98"/>
        <v>206864</v>
      </c>
      <c r="AH624" s="2">
        <f t="shared" si="99"/>
        <v>0.2941956990745942</v>
      </c>
      <c r="AI624" s="2"/>
      <c r="AJ624" s="2"/>
    </row>
    <row r="625" spans="2:36" x14ac:dyDescent="0.25">
      <c r="B625" s="1">
        <v>43760</v>
      </c>
      <c r="C625">
        <v>229935</v>
      </c>
      <c r="D625">
        <v>130083</v>
      </c>
      <c r="F625" s="2">
        <f t="shared" si="92"/>
        <v>0.36132360048664236</v>
      </c>
      <c r="I625">
        <v>220004</v>
      </c>
      <c r="J625">
        <v>126148</v>
      </c>
      <c r="L625" s="2">
        <f t="shared" si="93"/>
        <v>0.3644294991795512</v>
      </c>
      <c r="N625">
        <v>301270</v>
      </c>
      <c r="O625">
        <v>105432</v>
      </c>
      <c r="Q625" s="2">
        <f t="shared" si="94"/>
        <v>0.25923649256703923</v>
      </c>
      <c r="T625">
        <v>299221</v>
      </c>
      <c r="U625">
        <v>90870</v>
      </c>
      <c r="W625" s="2">
        <f t="shared" si="95"/>
        <v>0.23294564601592962</v>
      </c>
      <c r="Z625">
        <f t="shared" si="90"/>
        <v>531205</v>
      </c>
      <c r="AA625">
        <f t="shared" si="91"/>
        <v>235515</v>
      </c>
      <c r="AC625" s="2">
        <f t="shared" si="96"/>
        <v>0.30717210976627712</v>
      </c>
      <c r="AD625" s="2"/>
      <c r="AE625">
        <f t="shared" si="97"/>
        <v>519225</v>
      </c>
      <c r="AF625">
        <f t="shared" si="98"/>
        <v>217018</v>
      </c>
      <c r="AH625" s="2">
        <f t="shared" si="99"/>
        <v>0.29476409283348026</v>
      </c>
      <c r="AI625" s="2"/>
      <c r="AJ625" s="2"/>
    </row>
    <row r="626" spans="2:36" x14ac:dyDescent="0.25">
      <c r="B626" s="1">
        <v>43767</v>
      </c>
      <c r="C626">
        <v>227229</v>
      </c>
      <c r="D626">
        <v>115776</v>
      </c>
      <c r="F626" s="2">
        <f t="shared" si="92"/>
        <v>0.33753443827349455</v>
      </c>
      <c r="I626">
        <v>216972</v>
      </c>
      <c r="J626">
        <v>112297</v>
      </c>
      <c r="L626" s="2">
        <f t="shared" si="93"/>
        <v>0.34104941552347778</v>
      </c>
      <c r="N626">
        <v>335832</v>
      </c>
      <c r="O626">
        <v>93257</v>
      </c>
      <c r="Q626" s="2">
        <f t="shared" si="94"/>
        <v>0.21733719577989649</v>
      </c>
      <c r="T626">
        <v>335731</v>
      </c>
      <c r="U626">
        <v>81732</v>
      </c>
      <c r="W626" s="2">
        <f t="shared" si="95"/>
        <v>0.19578262025616641</v>
      </c>
      <c r="Z626">
        <f t="shared" si="90"/>
        <v>563061</v>
      </c>
      <c r="AA626">
        <f t="shared" si="91"/>
        <v>209033</v>
      </c>
      <c r="AC626" s="2">
        <f t="shared" si="96"/>
        <v>0.27073516955189392</v>
      </c>
      <c r="AD626" s="2"/>
      <c r="AE626">
        <f t="shared" si="97"/>
        <v>552703</v>
      </c>
      <c r="AF626">
        <f t="shared" si="98"/>
        <v>194029</v>
      </c>
      <c r="AH626" s="2">
        <f t="shared" si="99"/>
        <v>0.25983753207308646</v>
      </c>
      <c r="AI626" s="2"/>
      <c r="AJ626" s="2"/>
    </row>
    <row r="627" spans="2:36" x14ac:dyDescent="0.25">
      <c r="B627" s="1">
        <v>43774</v>
      </c>
      <c r="C627">
        <v>236564</v>
      </c>
      <c r="D627">
        <v>106362</v>
      </c>
      <c r="F627" s="2">
        <f t="shared" si="92"/>
        <v>0.3101602094912605</v>
      </c>
      <c r="I627">
        <v>224921</v>
      </c>
      <c r="J627">
        <v>108453</v>
      </c>
      <c r="L627" s="2">
        <f t="shared" si="93"/>
        <v>0.32531931104405265</v>
      </c>
      <c r="N627">
        <v>361724</v>
      </c>
      <c r="O627">
        <v>84359</v>
      </c>
      <c r="Q627" s="2">
        <f t="shared" si="94"/>
        <v>0.18911054669198332</v>
      </c>
      <c r="T627">
        <v>360231</v>
      </c>
      <c r="U627">
        <v>77879</v>
      </c>
      <c r="W627" s="2">
        <f t="shared" si="95"/>
        <v>0.17776129282600261</v>
      </c>
      <c r="Z627">
        <f t="shared" si="90"/>
        <v>598288</v>
      </c>
      <c r="AA627">
        <f t="shared" si="91"/>
        <v>190721</v>
      </c>
      <c r="AC627" s="2">
        <f t="shared" si="96"/>
        <v>0.24172221102674368</v>
      </c>
      <c r="AD627" s="2"/>
      <c r="AE627">
        <f t="shared" si="97"/>
        <v>585152</v>
      </c>
      <c r="AF627">
        <f t="shared" si="98"/>
        <v>186332</v>
      </c>
      <c r="AH627" s="2">
        <f t="shared" si="99"/>
        <v>0.24152412752565186</v>
      </c>
      <c r="AI627" s="2"/>
      <c r="AJ627" s="2"/>
    </row>
    <row r="628" spans="2:36" x14ac:dyDescent="0.25">
      <c r="B628" s="1">
        <v>43781</v>
      </c>
      <c r="C628">
        <v>226642</v>
      </c>
      <c r="D628">
        <v>63123</v>
      </c>
      <c r="F628" s="2">
        <f t="shared" si="92"/>
        <v>0.21784204441530206</v>
      </c>
      <c r="I628">
        <v>217399</v>
      </c>
      <c r="J628">
        <v>64225</v>
      </c>
      <c r="L628" s="2">
        <f t="shared" si="93"/>
        <v>0.2280522966792603</v>
      </c>
      <c r="N628">
        <v>385004</v>
      </c>
      <c r="O628">
        <v>80968</v>
      </c>
      <c r="Q628" s="2">
        <f t="shared" si="94"/>
        <v>0.17376151356733882</v>
      </c>
      <c r="T628">
        <v>380460</v>
      </c>
      <c r="U628">
        <v>69699</v>
      </c>
      <c r="W628" s="2">
        <f t="shared" si="95"/>
        <v>0.1548319593743544</v>
      </c>
      <c r="Z628">
        <f t="shared" si="90"/>
        <v>611646</v>
      </c>
      <c r="AA628">
        <f t="shared" si="91"/>
        <v>144091</v>
      </c>
      <c r="AC628" s="2">
        <f t="shared" si="96"/>
        <v>0.1906628893384868</v>
      </c>
      <c r="AD628" s="2"/>
      <c r="AE628">
        <f t="shared" si="97"/>
        <v>597859</v>
      </c>
      <c r="AF628">
        <f t="shared" si="98"/>
        <v>133924</v>
      </c>
      <c r="AH628" s="2">
        <f t="shared" si="99"/>
        <v>0.183010537276761</v>
      </c>
      <c r="AI628" s="2"/>
      <c r="AJ628" s="2"/>
    </row>
    <row r="629" spans="2:36" x14ac:dyDescent="0.25">
      <c r="B629" s="1">
        <v>43788</v>
      </c>
      <c r="C629">
        <v>213438</v>
      </c>
      <c r="D629">
        <v>75368</v>
      </c>
      <c r="F629" s="2">
        <f t="shared" si="92"/>
        <v>0.2609641073938907</v>
      </c>
      <c r="I629">
        <v>206974</v>
      </c>
      <c r="J629">
        <v>73393</v>
      </c>
      <c r="L629" s="2">
        <f t="shared" si="93"/>
        <v>0.26177474524462579</v>
      </c>
      <c r="N629">
        <v>388452</v>
      </c>
      <c r="O629">
        <v>85228</v>
      </c>
      <c r="Q629" s="2">
        <f t="shared" si="94"/>
        <v>0.17992737713224116</v>
      </c>
      <c r="T629">
        <v>381895</v>
      </c>
      <c r="U629">
        <v>70591</v>
      </c>
      <c r="W629" s="2">
        <f t="shared" si="95"/>
        <v>0.15600703668179788</v>
      </c>
      <c r="Z629">
        <f t="shared" si="90"/>
        <v>601890</v>
      </c>
      <c r="AA629">
        <f t="shared" si="91"/>
        <v>160596</v>
      </c>
      <c r="AC629" s="2">
        <f t="shared" si="96"/>
        <v>0.21062157206820847</v>
      </c>
      <c r="AD629" s="2"/>
      <c r="AE629">
        <f t="shared" si="97"/>
        <v>588869</v>
      </c>
      <c r="AF629">
        <f t="shared" si="98"/>
        <v>143984</v>
      </c>
      <c r="AH629" s="2">
        <f t="shared" si="99"/>
        <v>0.19647050636348626</v>
      </c>
      <c r="AI629" s="2"/>
      <c r="AJ629" s="2"/>
    </row>
    <row r="630" spans="2:36" x14ac:dyDescent="0.25">
      <c r="B630" s="1">
        <v>43795</v>
      </c>
      <c r="C630">
        <v>244968</v>
      </c>
      <c r="D630">
        <v>35781</v>
      </c>
      <c r="F630" s="2">
        <f t="shared" si="92"/>
        <v>0.12744836134768067</v>
      </c>
      <c r="I630">
        <v>238037</v>
      </c>
      <c r="J630">
        <v>39981</v>
      </c>
      <c r="L630" s="2">
        <f t="shared" si="93"/>
        <v>0.14380723550273725</v>
      </c>
      <c r="N630">
        <v>423089</v>
      </c>
      <c r="O630">
        <v>70876</v>
      </c>
      <c r="Q630" s="2">
        <f t="shared" si="94"/>
        <v>0.14348385007034911</v>
      </c>
      <c r="T630">
        <v>413977</v>
      </c>
      <c r="U630">
        <v>64490</v>
      </c>
      <c r="W630" s="2">
        <f t="shared" si="95"/>
        <v>0.13478463509500133</v>
      </c>
      <c r="Z630">
        <f t="shared" si="90"/>
        <v>668057</v>
      </c>
      <c r="AA630">
        <f t="shared" si="91"/>
        <v>106657</v>
      </c>
      <c r="AC630" s="2">
        <f t="shared" si="96"/>
        <v>0.13767274116641753</v>
      </c>
      <c r="AD630" s="2"/>
      <c r="AE630">
        <f t="shared" si="97"/>
        <v>652014</v>
      </c>
      <c r="AF630">
        <f t="shared" si="98"/>
        <v>104471</v>
      </c>
      <c r="AH630" s="2">
        <f t="shared" si="99"/>
        <v>0.13810055718223097</v>
      </c>
      <c r="AI630" s="2"/>
      <c r="AJ630" s="2"/>
    </row>
    <row r="631" spans="2:36" x14ac:dyDescent="0.25">
      <c r="B631" s="1">
        <v>43802</v>
      </c>
      <c r="C631">
        <v>214170</v>
      </c>
      <c r="D631">
        <v>62981</v>
      </c>
      <c r="F631" s="2">
        <f t="shared" si="92"/>
        <v>0.22724435416072827</v>
      </c>
      <c r="I631">
        <v>208709</v>
      </c>
      <c r="J631">
        <v>58398</v>
      </c>
      <c r="L631" s="2">
        <f t="shared" si="93"/>
        <v>0.21863148476078875</v>
      </c>
      <c r="N631">
        <v>401035</v>
      </c>
      <c r="O631">
        <v>74884</v>
      </c>
      <c r="Q631" s="2">
        <f t="shared" si="94"/>
        <v>0.15734610301332791</v>
      </c>
      <c r="T631">
        <v>393611</v>
      </c>
      <c r="U631">
        <v>62623</v>
      </c>
      <c r="W631" s="2">
        <f t="shared" si="95"/>
        <v>0.13726070393701478</v>
      </c>
      <c r="Z631">
        <f t="shared" si="90"/>
        <v>615205</v>
      </c>
      <c r="AA631">
        <f t="shared" si="91"/>
        <v>137865</v>
      </c>
      <c r="AC631" s="2">
        <f t="shared" si="96"/>
        <v>0.18307063088424716</v>
      </c>
      <c r="AD631" s="2"/>
      <c r="AE631">
        <f t="shared" si="97"/>
        <v>602320</v>
      </c>
      <c r="AF631">
        <f t="shared" si="98"/>
        <v>121021</v>
      </c>
      <c r="AH631" s="2">
        <f t="shared" si="99"/>
        <v>0.16730836493438089</v>
      </c>
      <c r="AI631" s="2"/>
      <c r="AJ631" s="2"/>
    </row>
    <row r="632" spans="2:36" x14ac:dyDescent="0.25">
      <c r="B632" s="1">
        <v>43809</v>
      </c>
      <c r="C632">
        <v>271959</v>
      </c>
      <c r="D632">
        <v>30942</v>
      </c>
      <c r="F632" s="2">
        <f t="shared" si="92"/>
        <v>0.10215218833876415</v>
      </c>
      <c r="I632">
        <v>267593</v>
      </c>
      <c r="J632">
        <v>39168</v>
      </c>
      <c r="L632" s="2">
        <f t="shared" si="93"/>
        <v>0.12768246289456614</v>
      </c>
      <c r="N632">
        <v>447337</v>
      </c>
      <c r="O632">
        <v>68859</v>
      </c>
      <c r="Q632" s="2">
        <f t="shared" si="94"/>
        <v>0.13339700423870002</v>
      </c>
      <c r="T632">
        <v>438443</v>
      </c>
      <c r="U632">
        <v>64600</v>
      </c>
      <c r="W632" s="2">
        <f t="shared" si="95"/>
        <v>0.1284184453416507</v>
      </c>
      <c r="Z632">
        <f t="shared" si="90"/>
        <v>719296</v>
      </c>
      <c r="AA632">
        <f t="shared" si="91"/>
        <v>99801</v>
      </c>
      <c r="AC632" s="2">
        <f t="shared" si="96"/>
        <v>0.12184271215741237</v>
      </c>
      <c r="AD632" s="2"/>
      <c r="AE632">
        <f t="shared" si="97"/>
        <v>706036</v>
      </c>
      <c r="AF632">
        <f t="shared" si="98"/>
        <v>103768</v>
      </c>
      <c r="AH632" s="2">
        <f t="shared" si="99"/>
        <v>0.12813964860632943</v>
      </c>
      <c r="AI632" s="2"/>
      <c r="AJ632" s="2"/>
    </row>
    <row r="633" spans="2:36" x14ac:dyDescent="0.25">
      <c r="B633" s="1">
        <v>43816</v>
      </c>
      <c r="C633">
        <v>310460</v>
      </c>
      <c r="D633">
        <v>25131</v>
      </c>
      <c r="F633" s="2">
        <f t="shared" si="92"/>
        <v>7.4885798486848579E-2</v>
      </c>
      <c r="I633">
        <v>302046</v>
      </c>
      <c r="J633">
        <v>29828</v>
      </c>
      <c r="L633" s="2">
        <f t="shared" si="93"/>
        <v>8.987748362330282E-2</v>
      </c>
      <c r="N633">
        <v>478208</v>
      </c>
      <c r="O633">
        <v>65292</v>
      </c>
      <c r="Q633" s="2">
        <f t="shared" si="94"/>
        <v>0.12013247470101196</v>
      </c>
      <c r="T633">
        <v>461941</v>
      </c>
      <c r="U633">
        <v>63581</v>
      </c>
      <c r="W633" s="2">
        <f t="shared" si="95"/>
        <v>0.12098637164571607</v>
      </c>
      <c r="Z633">
        <f t="shared" si="90"/>
        <v>788668</v>
      </c>
      <c r="AA633">
        <f t="shared" si="91"/>
        <v>90423</v>
      </c>
      <c r="AC633" s="2">
        <f t="shared" si="96"/>
        <v>0.10285965844264132</v>
      </c>
      <c r="AD633" s="2"/>
      <c r="AE633">
        <f t="shared" si="97"/>
        <v>763987</v>
      </c>
      <c r="AF633">
        <f t="shared" si="98"/>
        <v>93409</v>
      </c>
      <c r="AH633" s="2">
        <f t="shared" si="99"/>
        <v>0.10894499157915362</v>
      </c>
      <c r="AI633" s="2"/>
      <c r="AJ633" s="2"/>
    </row>
    <row r="634" spans="2:36" x14ac:dyDescent="0.25">
      <c r="B634" s="1">
        <v>43823</v>
      </c>
      <c r="C634">
        <v>324992</v>
      </c>
      <c r="D634">
        <v>31272</v>
      </c>
      <c r="F634" s="2">
        <f t="shared" si="92"/>
        <v>8.7777603125771902E-2</v>
      </c>
      <c r="I634">
        <v>318879</v>
      </c>
      <c r="J634">
        <v>39039</v>
      </c>
      <c r="L634" s="2">
        <f t="shared" si="93"/>
        <v>0.10907246911303707</v>
      </c>
      <c r="N634">
        <v>481314</v>
      </c>
      <c r="O634">
        <v>71363</v>
      </c>
      <c r="Q634" s="2">
        <f t="shared" si="94"/>
        <v>0.12912243498462936</v>
      </c>
      <c r="T634">
        <v>473212</v>
      </c>
      <c r="U634">
        <v>70757</v>
      </c>
      <c r="W634" s="2">
        <f t="shared" si="95"/>
        <v>0.1300754270923527</v>
      </c>
      <c r="Z634">
        <f t="shared" si="90"/>
        <v>806306</v>
      </c>
      <c r="AA634">
        <f t="shared" si="91"/>
        <v>102635</v>
      </c>
      <c r="AC634" s="2">
        <f t="shared" si="96"/>
        <v>0.11291712003309345</v>
      </c>
      <c r="AD634" s="2"/>
      <c r="AE634">
        <f t="shared" si="97"/>
        <v>792091</v>
      </c>
      <c r="AF634">
        <f t="shared" si="98"/>
        <v>109796</v>
      </c>
      <c r="AH634" s="2">
        <f t="shared" si="99"/>
        <v>0.12174030671248172</v>
      </c>
      <c r="AI634" s="2"/>
      <c r="AJ634" s="2"/>
    </row>
    <row r="635" spans="2:36" x14ac:dyDescent="0.25">
      <c r="B635" s="1">
        <v>43830</v>
      </c>
      <c r="C635">
        <v>331362</v>
      </c>
      <c r="D635">
        <v>30584</v>
      </c>
      <c r="F635" s="2">
        <f t="shared" si="92"/>
        <v>8.4498792637575773E-2</v>
      </c>
      <c r="I635">
        <v>321936</v>
      </c>
      <c r="J635">
        <v>38213</v>
      </c>
      <c r="L635" s="2">
        <f t="shared" si="93"/>
        <v>0.10610330724228027</v>
      </c>
      <c r="N635">
        <v>495176</v>
      </c>
      <c r="O635">
        <v>77887</v>
      </c>
      <c r="Q635" s="2">
        <f t="shared" si="94"/>
        <v>0.13591350340189473</v>
      </c>
      <c r="T635">
        <v>486509</v>
      </c>
      <c r="U635">
        <v>75979</v>
      </c>
      <c r="W635" s="2">
        <f t="shared" si="95"/>
        <v>0.13507665941317859</v>
      </c>
      <c r="Z635">
        <f t="shared" si="90"/>
        <v>826538</v>
      </c>
      <c r="AA635">
        <f t="shared" si="91"/>
        <v>108471</v>
      </c>
      <c r="AC635" s="2">
        <f t="shared" si="96"/>
        <v>0.11601064802584787</v>
      </c>
      <c r="AD635" s="2"/>
      <c r="AE635">
        <f t="shared" si="97"/>
        <v>808445</v>
      </c>
      <c r="AF635">
        <f t="shared" si="98"/>
        <v>114192</v>
      </c>
      <c r="AH635" s="2">
        <f t="shared" si="99"/>
        <v>0.1237669852824025</v>
      </c>
      <c r="AI635" s="2"/>
      <c r="AJ635" s="2"/>
    </row>
    <row r="636" spans="2:36" x14ac:dyDescent="0.25">
      <c r="B636" s="1">
        <v>43837</v>
      </c>
      <c r="C636">
        <v>340235</v>
      </c>
      <c r="D636">
        <v>29708</v>
      </c>
      <c r="F636" s="2">
        <f t="shared" si="92"/>
        <v>8.030426308917861E-2</v>
      </c>
      <c r="I636">
        <v>326186</v>
      </c>
      <c r="J636">
        <v>37756</v>
      </c>
      <c r="L636" s="2">
        <f t="shared" si="93"/>
        <v>0.10374180501288667</v>
      </c>
      <c r="N636">
        <v>511255</v>
      </c>
      <c r="O636">
        <v>74143</v>
      </c>
      <c r="Q636" s="2">
        <f t="shared" si="94"/>
        <v>0.12665400291767309</v>
      </c>
      <c r="T636">
        <v>499529</v>
      </c>
      <c r="U636">
        <v>73766</v>
      </c>
      <c r="W636" s="2">
        <f t="shared" si="95"/>
        <v>0.12867023085845855</v>
      </c>
      <c r="Z636">
        <f t="shared" si="90"/>
        <v>851490</v>
      </c>
      <c r="AA636">
        <f t="shared" si="91"/>
        <v>103851</v>
      </c>
      <c r="AC636" s="2">
        <f t="shared" si="96"/>
        <v>0.10870568728862259</v>
      </c>
      <c r="AD636" s="2"/>
      <c r="AE636">
        <f t="shared" si="97"/>
        <v>825715</v>
      </c>
      <c r="AF636">
        <f t="shared" si="98"/>
        <v>111522</v>
      </c>
      <c r="AH636" s="2">
        <f t="shared" si="99"/>
        <v>0.11899018071202908</v>
      </c>
      <c r="AI636" s="2"/>
      <c r="AJ636" s="2"/>
    </row>
    <row r="637" spans="2:36" x14ac:dyDescent="0.25">
      <c r="B637" s="1">
        <v>43844</v>
      </c>
      <c r="C637">
        <v>285931</v>
      </c>
      <c r="D637">
        <v>48882</v>
      </c>
      <c r="F637" s="2">
        <f t="shared" si="92"/>
        <v>0.14599791525418668</v>
      </c>
      <c r="I637">
        <v>276649</v>
      </c>
      <c r="J637">
        <v>50855</v>
      </c>
      <c r="L637" s="2">
        <f t="shared" si="93"/>
        <v>0.15528054619180223</v>
      </c>
      <c r="N637">
        <v>501286</v>
      </c>
      <c r="O637">
        <v>70671</v>
      </c>
      <c r="Q637" s="2">
        <f t="shared" si="94"/>
        <v>0.12355998790118837</v>
      </c>
      <c r="T637">
        <v>494942</v>
      </c>
      <c r="U637">
        <v>68780</v>
      </c>
      <c r="W637" s="2">
        <f t="shared" si="95"/>
        <v>0.12201049453454008</v>
      </c>
      <c r="Z637">
        <f t="shared" si="90"/>
        <v>787217</v>
      </c>
      <c r="AA637">
        <f t="shared" si="91"/>
        <v>119553</v>
      </c>
      <c r="AC637" s="2">
        <f t="shared" si="96"/>
        <v>0.13184490002977603</v>
      </c>
      <c r="AD637" s="2"/>
      <c r="AE637">
        <f t="shared" si="97"/>
        <v>771591</v>
      </c>
      <c r="AF637">
        <f t="shared" si="98"/>
        <v>119635</v>
      </c>
      <c r="AH637" s="2">
        <f t="shared" si="99"/>
        <v>0.13423643385628337</v>
      </c>
      <c r="AI637" s="2"/>
      <c r="AJ637" s="2"/>
    </row>
    <row r="638" spans="2:36" x14ac:dyDescent="0.25">
      <c r="B638" s="1">
        <v>43851</v>
      </c>
      <c r="C638">
        <v>291872</v>
      </c>
      <c r="D638">
        <v>48176</v>
      </c>
      <c r="F638" s="2">
        <f t="shared" si="92"/>
        <v>0.14167411659530418</v>
      </c>
      <c r="I638">
        <v>282867</v>
      </c>
      <c r="J638">
        <v>50678</v>
      </c>
      <c r="L638" s="2">
        <f t="shared" si="93"/>
        <v>0.15193751967500638</v>
      </c>
      <c r="N638">
        <v>503611</v>
      </c>
      <c r="O638">
        <v>71543</v>
      </c>
      <c r="Q638" s="2">
        <f t="shared" si="94"/>
        <v>0.12438929399778147</v>
      </c>
      <c r="T638">
        <v>498736</v>
      </c>
      <c r="U638">
        <v>69746</v>
      </c>
      <c r="W638" s="2">
        <f t="shared" si="95"/>
        <v>0.12268814140113496</v>
      </c>
      <c r="Z638">
        <f t="shared" si="90"/>
        <v>795483</v>
      </c>
      <c r="AA638">
        <f t="shared" si="91"/>
        <v>119719</v>
      </c>
      <c r="AC638" s="2">
        <f t="shared" si="96"/>
        <v>0.13081155854117452</v>
      </c>
      <c r="AD638" s="2"/>
      <c r="AE638">
        <f t="shared" si="97"/>
        <v>781603</v>
      </c>
      <c r="AF638">
        <f t="shared" si="98"/>
        <v>120424</v>
      </c>
      <c r="AH638" s="2">
        <f t="shared" si="99"/>
        <v>0.13350376429973826</v>
      </c>
      <c r="AI638" s="2"/>
      <c r="AJ638" s="2"/>
    </row>
    <row r="639" spans="2:36" x14ac:dyDescent="0.25">
      <c r="B639" s="1">
        <v>43858</v>
      </c>
      <c r="C639">
        <v>264171</v>
      </c>
      <c r="D639">
        <v>85712</v>
      </c>
      <c r="F639" s="2">
        <f t="shared" si="92"/>
        <v>0.24497331965256958</v>
      </c>
      <c r="I639">
        <v>252637</v>
      </c>
      <c r="J639">
        <v>76937</v>
      </c>
      <c r="L639" s="2">
        <f t="shared" si="93"/>
        <v>0.23344377893887261</v>
      </c>
      <c r="N639">
        <v>481479</v>
      </c>
      <c r="O639">
        <v>83719</v>
      </c>
      <c r="Q639" s="2">
        <f t="shared" si="94"/>
        <v>0.14812331253826092</v>
      </c>
      <c r="T639">
        <v>480539</v>
      </c>
      <c r="U639">
        <v>78182</v>
      </c>
      <c r="W639" s="2">
        <f t="shared" si="95"/>
        <v>0.13993030510755816</v>
      </c>
      <c r="Z639">
        <f t="shared" si="90"/>
        <v>745650</v>
      </c>
      <c r="AA639">
        <f t="shared" si="91"/>
        <v>169431</v>
      </c>
      <c r="AC639" s="2">
        <f t="shared" si="96"/>
        <v>0.18515410111236055</v>
      </c>
      <c r="AD639" s="2"/>
      <c r="AE639">
        <f t="shared" si="97"/>
        <v>733176</v>
      </c>
      <c r="AF639">
        <f t="shared" si="98"/>
        <v>155119</v>
      </c>
      <c r="AH639" s="2">
        <f t="shared" si="99"/>
        <v>0.17462554669338451</v>
      </c>
      <c r="AI639" s="2"/>
      <c r="AJ639" s="2"/>
    </row>
    <row r="640" spans="2:36" x14ac:dyDescent="0.25">
      <c r="B640" s="1">
        <v>43865</v>
      </c>
      <c r="C640">
        <v>249960</v>
      </c>
      <c r="D640">
        <v>123251</v>
      </c>
      <c r="F640" s="2">
        <f t="shared" si="92"/>
        <v>0.33024482129412047</v>
      </c>
      <c r="I640">
        <v>239613</v>
      </c>
      <c r="J640">
        <v>108207</v>
      </c>
      <c r="L640" s="2">
        <f t="shared" si="93"/>
        <v>0.31110056925996205</v>
      </c>
      <c r="N640">
        <v>430553</v>
      </c>
      <c r="O640">
        <v>87657</v>
      </c>
      <c r="Q640" s="2">
        <f t="shared" si="94"/>
        <v>0.16915343200632948</v>
      </c>
      <c r="T640">
        <v>434082</v>
      </c>
      <c r="U640">
        <v>81367</v>
      </c>
      <c r="W640" s="2">
        <f t="shared" si="95"/>
        <v>0.15785654836850979</v>
      </c>
      <c r="Z640">
        <f t="shared" si="90"/>
        <v>680513</v>
      </c>
      <c r="AA640">
        <f t="shared" si="91"/>
        <v>210908</v>
      </c>
      <c r="AC640" s="2">
        <f t="shared" si="96"/>
        <v>0.23659752238280229</v>
      </c>
      <c r="AD640" s="2"/>
      <c r="AE640">
        <f t="shared" si="97"/>
        <v>673695</v>
      </c>
      <c r="AF640">
        <f t="shared" si="98"/>
        <v>189574</v>
      </c>
      <c r="AH640" s="2">
        <f t="shared" si="99"/>
        <v>0.21960014781024223</v>
      </c>
      <c r="AI640" s="2"/>
      <c r="AJ640" s="2"/>
    </row>
    <row r="641" spans="2:36" x14ac:dyDescent="0.25">
      <c r="B641" s="1">
        <v>43872</v>
      </c>
      <c r="C641">
        <v>236316</v>
      </c>
      <c r="D641">
        <v>123923</v>
      </c>
      <c r="F641" s="2">
        <f t="shared" si="92"/>
        <v>0.34400217633293451</v>
      </c>
      <c r="I641">
        <v>230319</v>
      </c>
      <c r="J641">
        <v>108097</v>
      </c>
      <c r="L641" s="2">
        <f t="shared" si="93"/>
        <v>0.31942047657321165</v>
      </c>
      <c r="N641">
        <v>385125</v>
      </c>
      <c r="O641">
        <v>110941</v>
      </c>
      <c r="Q641" s="2">
        <f t="shared" si="94"/>
        <v>0.22364161220482759</v>
      </c>
      <c r="T641">
        <v>387298</v>
      </c>
      <c r="U641">
        <v>103867</v>
      </c>
      <c r="W641" s="2">
        <f t="shared" si="95"/>
        <v>0.21147068703999675</v>
      </c>
      <c r="Z641">
        <f t="shared" si="90"/>
        <v>621441</v>
      </c>
      <c r="AA641">
        <f t="shared" si="91"/>
        <v>234864</v>
      </c>
      <c r="AC641" s="2">
        <f t="shared" si="96"/>
        <v>0.27427610489253246</v>
      </c>
      <c r="AD641" s="2"/>
      <c r="AE641">
        <f t="shared" si="97"/>
        <v>617617</v>
      </c>
      <c r="AF641">
        <f t="shared" si="98"/>
        <v>211964</v>
      </c>
      <c r="AH641" s="2">
        <f t="shared" si="99"/>
        <v>0.25550729826261692</v>
      </c>
      <c r="AI641" s="2"/>
      <c r="AJ641" s="2"/>
    </row>
    <row r="642" spans="2:36" x14ac:dyDescent="0.25">
      <c r="B642" s="1">
        <v>43879</v>
      </c>
      <c r="C642">
        <v>223429</v>
      </c>
      <c r="D642">
        <v>118106</v>
      </c>
      <c r="F642" s="2">
        <f t="shared" si="92"/>
        <v>0.34580936068045737</v>
      </c>
      <c r="I642">
        <v>214994</v>
      </c>
      <c r="J642">
        <v>119458</v>
      </c>
      <c r="L642" s="2">
        <f t="shared" si="93"/>
        <v>0.35717531962733068</v>
      </c>
      <c r="N642">
        <v>375242</v>
      </c>
      <c r="O642">
        <v>99374</v>
      </c>
      <c r="Q642" s="2">
        <f t="shared" si="94"/>
        <v>0.20937768638225429</v>
      </c>
      <c r="T642">
        <v>377915</v>
      </c>
      <c r="U642">
        <v>95325</v>
      </c>
      <c r="W642" s="2">
        <f t="shared" si="95"/>
        <v>0.20143056377313837</v>
      </c>
      <c r="Z642">
        <f t="shared" si="90"/>
        <v>598671</v>
      </c>
      <c r="AA642">
        <f t="shared" si="91"/>
        <v>217480</v>
      </c>
      <c r="AC642" s="2">
        <f t="shared" si="96"/>
        <v>0.26647029777577924</v>
      </c>
      <c r="AD642" s="2"/>
      <c r="AE642">
        <f t="shared" si="97"/>
        <v>592909</v>
      </c>
      <c r="AF642">
        <f t="shared" si="98"/>
        <v>214783</v>
      </c>
      <c r="AH642" s="2">
        <f t="shared" si="99"/>
        <v>0.26592191082739458</v>
      </c>
      <c r="AI642" s="2"/>
      <c r="AJ642" s="2"/>
    </row>
    <row r="643" spans="2:36" x14ac:dyDescent="0.25">
      <c r="B643" s="1">
        <v>43886</v>
      </c>
      <c r="C643">
        <v>215912</v>
      </c>
      <c r="D643">
        <v>81481</v>
      </c>
      <c r="F643" s="2">
        <f t="shared" si="92"/>
        <v>0.27398425652251396</v>
      </c>
      <c r="I643">
        <v>204396</v>
      </c>
      <c r="J643">
        <v>81417</v>
      </c>
      <c r="L643" s="2">
        <f t="shared" si="93"/>
        <v>0.2848610804966884</v>
      </c>
      <c r="N643">
        <v>393439</v>
      </c>
      <c r="O643">
        <v>108599</v>
      </c>
      <c r="Q643" s="2">
        <f t="shared" si="94"/>
        <v>0.21631629478246667</v>
      </c>
      <c r="T643">
        <v>390893</v>
      </c>
      <c r="U643">
        <v>102818</v>
      </c>
      <c r="W643" s="2">
        <f t="shared" si="95"/>
        <v>0.20825543688514131</v>
      </c>
      <c r="Z643">
        <f t="shared" si="90"/>
        <v>609351</v>
      </c>
      <c r="AA643">
        <f t="shared" si="91"/>
        <v>190080</v>
      </c>
      <c r="AC643" s="2">
        <f t="shared" si="96"/>
        <v>0.23776911328182171</v>
      </c>
      <c r="AD643" s="2"/>
      <c r="AE643">
        <f t="shared" si="97"/>
        <v>595289</v>
      </c>
      <c r="AF643">
        <f t="shared" si="98"/>
        <v>184235</v>
      </c>
      <c r="AH643" s="2">
        <f t="shared" si="99"/>
        <v>0.23634294774759981</v>
      </c>
      <c r="AI643" s="2"/>
      <c r="AJ643" s="2"/>
    </row>
    <row r="644" spans="2:36" x14ac:dyDescent="0.25">
      <c r="B644" s="1">
        <v>43893</v>
      </c>
      <c r="C644">
        <v>224961</v>
      </c>
      <c r="D644">
        <v>114473</v>
      </c>
      <c r="F644" s="2">
        <f t="shared" si="92"/>
        <v>0.33724671070075479</v>
      </c>
      <c r="I644">
        <v>209547</v>
      </c>
      <c r="J644">
        <v>112980</v>
      </c>
      <c r="L644" s="2">
        <f t="shared" si="93"/>
        <v>0.35029625426708461</v>
      </c>
      <c r="N644">
        <v>346706</v>
      </c>
      <c r="O644">
        <v>119877</v>
      </c>
      <c r="Q644" s="2">
        <f t="shared" si="94"/>
        <v>0.25692534875895606</v>
      </c>
      <c r="T644">
        <v>340024</v>
      </c>
      <c r="U644">
        <v>112239</v>
      </c>
      <c r="W644" s="2">
        <f t="shared" si="95"/>
        <v>0.24817197073384292</v>
      </c>
      <c r="Z644">
        <f t="shared" si="90"/>
        <v>571667</v>
      </c>
      <c r="AA644">
        <f t="shared" si="91"/>
        <v>234350</v>
      </c>
      <c r="AC644" s="2">
        <f t="shared" si="96"/>
        <v>0.29075069136258913</v>
      </c>
      <c r="AD644" s="2"/>
      <c r="AE644">
        <f t="shared" si="97"/>
        <v>549571</v>
      </c>
      <c r="AF644">
        <f t="shared" si="98"/>
        <v>225219</v>
      </c>
      <c r="AH644" s="2">
        <f t="shared" si="99"/>
        <v>0.29068392725770853</v>
      </c>
      <c r="AI644" s="2"/>
      <c r="AJ644" s="2"/>
    </row>
    <row r="645" spans="2:36" x14ac:dyDescent="0.25">
      <c r="B645" s="1">
        <v>43900</v>
      </c>
      <c r="C645">
        <v>258780</v>
      </c>
      <c r="D645">
        <v>111996</v>
      </c>
      <c r="F645" s="2">
        <f t="shared" si="92"/>
        <v>0.30205838565602949</v>
      </c>
      <c r="I645">
        <v>221932</v>
      </c>
      <c r="J645">
        <v>107910</v>
      </c>
      <c r="L645" s="2">
        <f t="shared" si="93"/>
        <v>0.32715663863304251</v>
      </c>
      <c r="N645">
        <v>291899</v>
      </c>
      <c r="O645">
        <v>147151</v>
      </c>
      <c r="Q645" s="2">
        <f t="shared" si="94"/>
        <v>0.33515772691037465</v>
      </c>
      <c r="T645">
        <v>292349</v>
      </c>
      <c r="U645">
        <v>138994</v>
      </c>
      <c r="W645" s="2">
        <f t="shared" si="95"/>
        <v>0.32223543676378197</v>
      </c>
      <c r="Z645">
        <f t="shared" si="90"/>
        <v>550679</v>
      </c>
      <c r="AA645">
        <f t="shared" si="91"/>
        <v>259147</v>
      </c>
      <c r="AC645" s="2">
        <f t="shared" si="96"/>
        <v>0.32000330935287336</v>
      </c>
      <c r="AD645" s="2"/>
      <c r="AE645">
        <f t="shared" si="97"/>
        <v>514281</v>
      </c>
      <c r="AF645">
        <f t="shared" si="98"/>
        <v>246904</v>
      </c>
      <c r="AH645" s="2">
        <f t="shared" si="99"/>
        <v>0.32436792632540051</v>
      </c>
      <c r="AI645" s="2"/>
      <c r="AJ645" s="2"/>
    </row>
    <row r="646" spans="2:36" x14ac:dyDescent="0.25">
      <c r="B646" s="1">
        <v>43907</v>
      </c>
      <c r="C646">
        <v>233160</v>
      </c>
      <c r="D646">
        <v>74993</v>
      </c>
      <c r="F646" s="2">
        <f t="shared" si="92"/>
        <v>0.24336287493550282</v>
      </c>
      <c r="I646">
        <v>203008</v>
      </c>
      <c r="J646">
        <v>79963</v>
      </c>
      <c r="L646" s="2">
        <f t="shared" si="93"/>
        <v>0.28258372766113843</v>
      </c>
      <c r="N646">
        <v>246057</v>
      </c>
      <c r="O646">
        <v>175596</v>
      </c>
      <c r="Q646" s="2">
        <f t="shared" si="94"/>
        <v>0.4164466990629736</v>
      </c>
      <c r="T646">
        <v>247523</v>
      </c>
      <c r="U646">
        <v>169018</v>
      </c>
      <c r="W646" s="2">
        <f t="shared" si="95"/>
        <v>0.40576557889859582</v>
      </c>
      <c r="Z646">
        <f t="shared" si="90"/>
        <v>479217</v>
      </c>
      <c r="AA646">
        <f t="shared" si="91"/>
        <v>250589</v>
      </c>
      <c r="AC646" s="2">
        <f t="shared" si="96"/>
        <v>0.34336385285952703</v>
      </c>
      <c r="AD646" s="2"/>
      <c r="AE646">
        <f t="shared" si="97"/>
        <v>450531</v>
      </c>
      <c r="AF646">
        <f t="shared" si="98"/>
        <v>248981</v>
      </c>
      <c r="AH646" s="2">
        <f t="shared" si="99"/>
        <v>0.35593528059561524</v>
      </c>
      <c r="AI646" s="2"/>
      <c r="AJ646" s="2"/>
    </row>
    <row r="647" spans="2:36" x14ac:dyDescent="0.25">
      <c r="B647" s="1">
        <v>43914</v>
      </c>
      <c r="C647">
        <v>243563</v>
      </c>
      <c r="D647">
        <v>78503</v>
      </c>
      <c r="F647" s="2">
        <f t="shared" si="92"/>
        <v>0.24374817583973471</v>
      </c>
      <c r="I647">
        <v>210012</v>
      </c>
      <c r="J647">
        <v>80124</v>
      </c>
      <c r="L647" s="2">
        <f t="shared" si="93"/>
        <v>0.27616014558689717</v>
      </c>
      <c r="N647">
        <v>207469</v>
      </c>
      <c r="O647">
        <v>150611</v>
      </c>
      <c r="Q647" s="2">
        <f t="shared" si="94"/>
        <v>0.42060712689901697</v>
      </c>
      <c r="T647">
        <v>212047</v>
      </c>
      <c r="U647">
        <v>154955</v>
      </c>
      <c r="W647" s="2">
        <f t="shared" si="95"/>
        <v>0.42221840752911427</v>
      </c>
      <c r="Z647">
        <f t="shared" si="90"/>
        <v>451032</v>
      </c>
      <c r="AA647">
        <f t="shared" si="91"/>
        <v>229114</v>
      </c>
      <c r="AC647" s="2">
        <f t="shared" si="96"/>
        <v>0.336860027111826</v>
      </c>
      <c r="AD647" s="2"/>
      <c r="AE647">
        <f t="shared" si="97"/>
        <v>422059</v>
      </c>
      <c r="AF647">
        <f t="shared" si="98"/>
        <v>235079</v>
      </c>
      <c r="AH647" s="2">
        <f t="shared" si="99"/>
        <v>0.35773155714629196</v>
      </c>
      <c r="AI647" s="2"/>
      <c r="AJ647" s="2"/>
    </row>
    <row r="648" spans="2:36" x14ac:dyDescent="0.25">
      <c r="B648" s="1">
        <v>43921</v>
      </c>
      <c r="C648">
        <v>266671</v>
      </c>
      <c r="D648">
        <v>100469</v>
      </c>
      <c r="F648" s="2">
        <f t="shared" si="92"/>
        <v>0.27365310235877321</v>
      </c>
      <c r="I648">
        <v>234662</v>
      </c>
      <c r="J648">
        <v>108212</v>
      </c>
      <c r="L648" s="2">
        <f t="shared" si="93"/>
        <v>0.31560281619487041</v>
      </c>
      <c r="N648">
        <v>223629</v>
      </c>
      <c r="O648">
        <v>159618</v>
      </c>
      <c r="Q648" s="2">
        <f t="shared" si="94"/>
        <v>0.41648858308088516</v>
      </c>
      <c r="T648">
        <v>219723</v>
      </c>
      <c r="U648">
        <v>163354</v>
      </c>
      <c r="W648" s="2">
        <f t="shared" si="95"/>
        <v>0.42642601878995606</v>
      </c>
      <c r="Z648">
        <f t="shared" si="90"/>
        <v>490300</v>
      </c>
      <c r="AA648">
        <f t="shared" si="91"/>
        <v>260087</v>
      </c>
      <c r="AC648" s="2">
        <f t="shared" si="96"/>
        <v>0.34660381909601312</v>
      </c>
      <c r="AD648" s="2"/>
      <c r="AE648">
        <f t="shared" si="97"/>
        <v>454385</v>
      </c>
      <c r="AF648">
        <f t="shared" si="98"/>
        <v>271566</v>
      </c>
      <c r="AH648" s="2">
        <f t="shared" si="99"/>
        <v>0.37408309927254041</v>
      </c>
      <c r="AI648" s="2"/>
      <c r="AJ648" s="2"/>
    </row>
    <row r="649" spans="2:36" x14ac:dyDescent="0.25">
      <c r="B649" s="1">
        <v>43928</v>
      </c>
      <c r="C649">
        <v>271865</v>
      </c>
      <c r="D649">
        <v>91542</v>
      </c>
      <c r="F649" s="2">
        <f t="shared" si="92"/>
        <v>0.25189938553742774</v>
      </c>
      <c r="I649">
        <v>236726</v>
      </c>
      <c r="J649">
        <v>97465</v>
      </c>
      <c r="L649" s="2">
        <f t="shared" si="93"/>
        <v>0.29164459844819279</v>
      </c>
      <c r="N649">
        <v>244283</v>
      </c>
      <c r="O649">
        <v>137851</v>
      </c>
      <c r="Q649" s="2">
        <f t="shared" si="94"/>
        <v>0.36073994986052016</v>
      </c>
      <c r="T649">
        <v>229611</v>
      </c>
      <c r="U649">
        <v>125996</v>
      </c>
      <c r="W649" s="2">
        <f t="shared" si="95"/>
        <v>0.3543124854122669</v>
      </c>
      <c r="Z649">
        <f t="shared" ref="Z649:Z712" si="100">IFERROR(+C649+N649,C649)</f>
        <v>516148</v>
      </c>
      <c r="AA649">
        <f t="shared" ref="AA649:AA712" si="101">IFERROR(+D649+O649,D649)</f>
        <v>229393</v>
      </c>
      <c r="AC649" s="2">
        <f t="shared" si="96"/>
        <v>0.30768663292830306</v>
      </c>
      <c r="AD649" s="2"/>
      <c r="AE649">
        <f t="shared" si="97"/>
        <v>466337</v>
      </c>
      <c r="AF649">
        <f t="shared" si="98"/>
        <v>223461</v>
      </c>
      <c r="AH649" s="2">
        <f t="shared" si="99"/>
        <v>0.32395135967341165</v>
      </c>
      <c r="AI649" s="2"/>
      <c r="AJ649" s="2"/>
    </row>
    <row r="650" spans="2:36" x14ac:dyDescent="0.25">
      <c r="B650" s="1">
        <v>43935</v>
      </c>
      <c r="C650">
        <v>295870</v>
      </c>
      <c r="D650">
        <v>100515</v>
      </c>
      <c r="F650" s="2">
        <f t="shared" ref="F650:F713" si="102">+D650/SUM(C650:D650)</f>
        <v>0.25357922222082069</v>
      </c>
      <c r="I650">
        <v>258793</v>
      </c>
      <c r="J650">
        <v>101050</v>
      </c>
      <c r="L650" s="2">
        <f t="shared" ref="L650:L713" si="103">+J650/SUM(I650:J650)</f>
        <v>0.280816911819877</v>
      </c>
      <c r="N650">
        <v>245568</v>
      </c>
      <c r="O650">
        <v>134636</v>
      </c>
      <c r="Q650" s="2">
        <f t="shared" ref="Q650:Q713" si="104">+O650/SUM(N650:O650)</f>
        <v>0.35411515923030795</v>
      </c>
      <c r="T650">
        <v>232362</v>
      </c>
      <c r="U650">
        <v>120908</v>
      </c>
      <c r="W650" s="2">
        <f t="shared" ref="W650:W713" si="105">+U650/SUM(T650:U650)</f>
        <v>0.34225380020947149</v>
      </c>
      <c r="Z650">
        <f t="shared" si="100"/>
        <v>541438</v>
      </c>
      <c r="AA650">
        <f t="shared" si="101"/>
        <v>235151</v>
      </c>
      <c r="AC650" s="2">
        <f t="shared" ref="AC650:AC713" si="106">+AA650/SUM(Z650:AA650)</f>
        <v>0.30279980787778349</v>
      </c>
      <c r="AD650" s="2"/>
      <c r="AE650">
        <f t="shared" ref="AE650:AE713" si="107">IFERROR(+I650+T650,I650)</f>
        <v>491155</v>
      </c>
      <c r="AF650">
        <f t="shared" ref="AF650:AF713" si="108">IFERROR(+J650+U650,J650)</f>
        <v>221958</v>
      </c>
      <c r="AH650" s="2">
        <f t="shared" ref="AH650:AH713" si="109">+AF650/SUM(AE650:AF650)</f>
        <v>0.31125221388475599</v>
      </c>
      <c r="AI650" s="2"/>
      <c r="AJ650" s="2"/>
    </row>
    <row r="651" spans="2:36" x14ac:dyDescent="0.25">
      <c r="B651" s="1">
        <v>43942</v>
      </c>
      <c r="C651">
        <v>324667</v>
      </c>
      <c r="D651">
        <v>77189</v>
      </c>
      <c r="F651" s="2">
        <f t="shared" si="102"/>
        <v>0.19208124303232998</v>
      </c>
      <c r="I651">
        <v>292389</v>
      </c>
      <c r="J651">
        <v>82655</v>
      </c>
      <c r="L651" s="2">
        <f t="shared" si="103"/>
        <v>0.22038747453632107</v>
      </c>
      <c r="N651">
        <v>246312</v>
      </c>
      <c r="O651">
        <v>107421</v>
      </c>
      <c r="Q651" s="2">
        <f t="shared" si="104"/>
        <v>0.30367819796287032</v>
      </c>
      <c r="T651">
        <v>233999</v>
      </c>
      <c r="U651">
        <v>99880</v>
      </c>
      <c r="W651" s="2">
        <f t="shared" si="105"/>
        <v>0.29915029097367607</v>
      </c>
      <c r="Z651">
        <f t="shared" si="100"/>
        <v>570979</v>
      </c>
      <c r="AA651">
        <f t="shared" si="101"/>
        <v>184610</v>
      </c>
      <c r="AC651" s="2">
        <f t="shared" si="106"/>
        <v>0.24432594968957991</v>
      </c>
      <c r="AD651" s="2"/>
      <c r="AE651">
        <f t="shared" si="107"/>
        <v>526388</v>
      </c>
      <c r="AF651">
        <f t="shared" si="108"/>
        <v>182535</v>
      </c>
      <c r="AH651" s="2">
        <f t="shared" si="109"/>
        <v>0.25748212429276524</v>
      </c>
      <c r="AI651" s="2"/>
      <c r="AJ651" s="2"/>
    </row>
    <row r="652" spans="2:36" x14ac:dyDescent="0.25">
      <c r="B652" s="1">
        <v>43949</v>
      </c>
      <c r="C652">
        <v>384326</v>
      </c>
      <c r="D652">
        <v>65960</v>
      </c>
      <c r="F652" s="2">
        <f t="shared" si="102"/>
        <v>0.14648467862647296</v>
      </c>
      <c r="I652">
        <v>346510</v>
      </c>
      <c r="J652">
        <v>63212</v>
      </c>
      <c r="L652" s="2">
        <f t="shared" si="103"/>
        <v>0.15428021927062741</v>
      </c>
      <c r="N652">
        <v>250723</v>
      </c>
      <c r="O652">
        <v>92285</v>
      </c>
      <c r="Q652" s="2">
        <f t="shared" si="104"/>
        <v>0.26904620300401155</v>
      </c>
      <c r="T652">
        <v>233966</v>
      </c>
      <c r="U652">
        <v>90840</v>
      </c>
      <c r="W652" s="2">
        <f t="shared" si="105"/>
        <v>0.27967463655228042</v>
      </c>
      <c r="Z652">
        <f t="shared" si="100"/>
        <v>635049</v>
      </c>
      <c r="AA652">
        <f t="shared" si="101"/>
        <v>158245</v>
      </c>
      <c r="AC652" s="2">
        <f t="shared" si="106"/>
        <v>0.19947837749938863</v>
      </c>
      <c r="AD652" s="2"/>
      <c r="AE652">
        <f t="shared" si="107"/>
        <v>580476</v>
      </c>
      <c r="AF652">
        <f t="shared" si="108"/>
        <v>154052</v>
      </c>
      <c r="AH652" s="2">
        <f t="shared" si="109"/>
        <v>0.2097292410908774</v>
      </c>
      <c r="AI652" s="2"/>
      <c r="AJ652" s="2"/>
    </row>
    <row r="653" spans="2:36" x14ac:dyDescent="0.25">
      <c r="B653" s="1">
        <v>43956</v>
      </c>
      <c r="C653">
        <v>392191</v>
      </c>
      <c r="D653">
        <v>63590</v>
      </c>
      <c r="F653" s="2">
        <f t="shared" si="102"/>
        <v>0.13951876010627912</v>
      </c>
      <c r="I653">
        <v>359348</v>
      </c>
      <c r="J653">
        <v>59530</v>
      </c>
      <c r="L653" s="2">
        <f t="shared" si="103"/>
        <v>0.14211775266306656</v>
      </c>
      <c r="N653">
        <v>269882</v>
      </c>
      <c r="O653">
        <v>74614</v>
      </c>
      <c r="Q653" s="2">
        <f t="shared" si="104"/>
        <v>0.2165888718591798</v>
      </c>
      <c r="T653">
        <v>249909</v>
      </c>
      <c r="U653">
        <v>72967</v>
      </c>
      <c r="W653" s="2">
        <f t="shared" si="105"/>
        <v>0.22599078283923241</v>
      </c>
      <c r="Z653">
        <f t="shared" si="100"/>
        <v>662073</v>
      </c>
      <c r="AA653">
        <f t="shared" si="101"/>
        <v>138204</v>
      </c>
      <c r="AC653" s="2">
        <f t="shared" si="106"/>
        <v>0.17269520428551613</v>
      </c>
      <c r="AD653" s="2"/>
      <c r="AE653">
        <f t="shared" si="107"/>
        <v>609257</v>
      </c>
      <c r="AF653">
        <f t="shared" si="108"/>
        <v>132497</v>
      </c>
      <c r="AH653" s="2">
        <f t="shared" si="109"/>
        <v>0.17862660666474331</v>
      </c>
      <c r="AI653" s="2"/>
      <c r="AJ653" s="2"/>
    </row>
    <row r="654" spans="2:36" x14ac:dyDescent="0.25">
      <c r="B654" s="1">
        <v>43963</v>
      </c>
      <c r="C654">
        <v>405071</v>
      </c>
      <c r="D654">
        <v>53386</v>
      </c>
      <c r="F654" s="2">
        <f t="shared" si="102"/>
        <v>0.11644712590275642</v>
      </c>
      <c r="I654">
        <v>372777</v>
      </c>
      <c r="J654">
        <v>47881</v>
      </c>
      <c r="L654" s="2">
        <f t="shared" si="103"/>
        <v>0.11382405659704559</v>
      </c>
      <c r="N654">
        <v>249260</v>
      </c>
      <c r="O654">
        <v>73697</v>
      </c>
      <c r="Q654" s="2">
        <f t="shared" si="104"/>
        <v>0.22819446551708122</v>
      </c>
      <c r="T654">
        <v>225714</v>
      </c>
      <c r="U654">
        <v>69638</v>
      </c>
      <c r="W654" s="2">
        <f t="shared" si="105"/>
        <v>0.23577967983964895</v>
      </c>
      <c r="Z654">
        <f t="shared" si="100"/>
        <v>654331</v>
      </c>
      <c r="AA654">
        <f t="shared" si="101"/>
        <v>127083</v>
      </c>
      <c r="AC654" s="2">
        <f t="shared" si="106"/>
        <v>0.16263210026951141</v>
      </c>
      <c r="AD654" s="2"/>
      <c r="AE654">
        <f t="shared" si="107"/>
        <v>598491</v>
      </c>
      <c r="AF654">
        <f t="shared" si="108"/>
        <v>117519</v>
      </c>
      <c r="AH654" s="2">
        <f t="shared" si="109"/>
        <v>0.16413038924037374</v>
      </c>
      <c r="AI654" s="2"/>
      <c r="AJ654" s="2"/>
    </row>
    <row r="655" spans="2:36" x14ac:dyDescent="0.25">
      <c r="B655" s="1">
        <v>43970</v>
      </c>
      <c r="C655">
        <v>401853</v>
      </c>
      <c r="D655">
        <v>41670</v>
      </c>
      <c r="F655" s="2">
        <f t="shared" si="102"/>
        <v>9.395228657814815E-2</v>
      </c>
      <c r="I655">
        <v>392564</v>
      </c>
      <c r="J655">
        <v>44106</v>
      </c>
      <c r="L655" s="2">
        <f t="shared" si="103"/>
        <v>0.10100533583713102</v>
      </c>
      <c r="N655">
        <v>250372</v>
      </c>
      <c r="O655">
        <v>71074</v>
      </c>
      <c r="Q655" s="2">
        <f t="shared" si="104"/>
        <v>0.22110712219159673</v>
      </c>
      <c r="T655">
        <v>226290</v>
      </c>
      <c r="U655">
        <v>67851</v>
      </c>
      <c r="W655" s="2">
        <f t="shared" si="105"/>
        <v>0.23067508439829879</v>
      </c>
      <c r="Z655">
        <f t="shared" si="100"/>
        <v>652225</v>
      </c>
      <c r="AA655">
        <f t="shared" si="101"/>
        <v>112744</v>
      </c>
      <c r="AC655" s="2">
        <f t="shared" si="106"/>
        <v>0.14738375019118422</v>
      </c>
      <c r="AD655" s="2"/>
      <c r="AE655">
        <f t="shared" si="107"/>
        <v>618854</v>
      </c>
      <c r="AF655">
        <f t="shared" si="108"/>
        <v>111957</v>
      </c>
      <c r="AH655" s="2">
        <f t="shared" si="109"/>
        <v>0.15319555945381227</v>
      </c>
      <c r="AI655" s="2"/>
      <c r="AJ655" s="2"/>
    </row>
    <row r="656" spans="2:36" x14ac:dyDescent="0.25">
      <c r="B656" s="1">
        <v>43977</v>
      </c>
      <c r="C656">
        <v>420655</v>
      </c>
      <c r="D656">
        <v>45845</v>
      </c>
      <c r="F656" s="2">
        <f t="shared" si="102"/>
        <v>9.8274383708467306E-2</v>
      </c>
      <c r="I656">
        <v>411473</v>
      </c>
      <c r="J656">
        <v>48749</v>
      </c>
      <c r="L656" s="2">
        <f t="shared" si="103"/>
        <v>0.10592496664653146</v>
      </c>
      <c r="N656">
        <v>253266</v>
      </c>
      <c r="O656">
        <v>64633</v>
      </c>
      <c r="Q656" s="2">
        <f t="shared" si="104"/>
        <v>0.20331300192828539</v>
      </c>
      <c r="T656">
        <v>234199</v>
      </c>
      <c r="U656">
        <v>61003</v>
      </c>
      <c r="W656" s="2">
        <f t="shared" si="105"/>
        <v>0.20664832894086083</v>
      </c>
      <c r="Z656">
        <f t="shared" si="100"/>
        <v>673921</v>
      </c>
      <c r="AA656">
        <f t="shared" si="101"/>
        <v>110478</v>
      </c>
      <c r="AC656" s="2">
        <f t="shared" si="106"/>
        <v>0.140844136721235</v>
      </c>
      <c r="AD656" s="2"/>
      <c r="AE656">
        <f t="shared" si="107"/>
        <v>645672</v>
      </c>
      <c r="AF656">
        <f t="shared" si="108"/>
        <v>109752</v>
      </c>
      <c r="AH656" s="2">
        <f t="shared" si="109"/>
        <v>0.14528529673401958</v>
      </c>
      <c r="AI656" s="2"/>
      <c r="AJ656" s="2"/>
    </row>
    <row r="657" spans="2:36" x14ac:dyDescent="0.25">
      <c r="B657" s="1">
        <v>43984</v>
      </c>
      <c r="C657">
        <v>438274</v>
      </c>
      <c r="D657">
        <v>44143</v>
      </c>
      <c r="F657" s="2">
        <f t="shared" si="102"/>
        <v>9.1503823455641078E-2</v>
      </c>
      <c r="I657">
        <v>429708</v>
      </c>
      <c r="J657">
        <v>49601</v>
      </c>
      <c r="L657" s="2">
        <f t="shared" si="103"/>
        <v>0.10348439107131308</v>
      </c>
      <c r="N657">
        <v>259221</v>
      </c>
      <c r="O657">
        <v>68482</v>
      </c>
      <c r="Q657" s="2">
        <f t="shared" si="104"/>
        <v>0.20897581041369778</v>
      </c>
      <c r="T657">
        <v>239591</v>
      </c>
      <c r="U657">
        <v>68109</v>
      </c>
      <c r="W657" s="2">
        <f t="shared" si="105"/>
        <v>0.22134871628209296</v>
      </c>
      <c r="Z657">
        <f t="shared" si="100"/>
        <v>697495</v>
      </c>
      <c r="AA657">
        <f t="shared" si="101"/>
        <v>112625</v>
      </c>
      <c r="AC657" s="2">
        <f t="shared" si="106"/>
        <v>0.13902261393373821</v>
      </c>
      <c r="AD657" s="2"/>
      <c r="AE657">
        <f t="shared" si="107"/>
        <v>669299</v>
      </c>
      <c r="AF657">
        <f t="shared" si="108"/>
        <v>117710</v>
      </c>
      <c r="AH657" s="2">
        <f t="shared" si="109"/>
        <v>0.14956626925486238</v>
      </c>
      <c r="AI657" s="2"/>
      <c r="AJ657" s="2"/>
    </row>
    <row r="658" spans="2:36" x14ac:dyDescent="0.25">
      <c r="B658" s="1">
        <v>43991</v>
      </c>
      <c r="C658">
        <v>444681</v>
      </c>
      <c r="D658">
        <v>47132</v>
      </c>
      <c r="F658" s="2">
        <f t="shared" si="102"/>
        <v>9.5833172364292937E-2</v>
      </c>
      <c r="I658">
        <v>432860</v>
      </c>
      <c r="J658">
        <v>51515</v>
      </c>
      <c r="L658" s="2">
        <f t="shared" si="103"/>
        <v>0.10635354838709678</v>
      </c>
      <c r="N658">
        <v>265217</v>
      </c>
      <c r="O658">
        <v>65677</v>
      </c>
      <c r="Q658" s="2">
        <f t="shared" si="104"/>
        <v>0.19848350226960901</v>
      </c>
      <c r="T658">
        <v>249847</v>
      </c>
      <c r="U658">
        <v>66309</v>
      </c>
      <c r="W658" s="2">
        <f t="shared" si="105"/>
        <v>0.2097350674983236</v>
      </c>
      <c r="Z658">
        <f t="shared" si="100"/>
        <v>709898</v>
      </c>
      <c r="AA658">
        <f t="shared" si="101"/>
        <v>112809</v>
      </c>
      <c r="AC658" s="2">
        <f t="shared" si="106"/>
        <v>0.1371192903427344</v>
      </c>
      <c r="AD658" s="2"/>
      <c r="AE658">
        <f t="shared" si="107"/>
        <v>682707</v>
      </c>
      <c r="AF658">
        <f t="shared" si="108"/>
        <v>117824</v>
      </c>
      <c r="AH658" s="2">
        <f t="shared" si="109"/>
        <v>0.14718230774323543</v>
      </c>
      <c r="AI658" s="2"/>
      <c r="AJ658" s="2"/>
    </row>
    <row r="659" spans="2:36" x14ac:dyDescent="0.25">
      <c r="B659" s="1">
        <v>43998</v>
      </c>
      <c r="C659">
        <v>428957</v>
      </c>
      <c r="D659">
        <v>55896</v>
      </c>
      <c r="F659" s="2">
        <f t="shared" si="102"/>
        <v>0.11528442641377902</v>
      </c>
      <c r="I659">
        <v>416035</v>
      </c>
      <c r="J659">
        <v>61672</v>
      </c>
      <c r="L659" s="2">
        <f t="shared" si="103"/>
        <v>0.1291000550546674</v>
      </c>
      <c r="N659">
        <v>265370</v>
      </c>
      <c r="O659">
        <v>61310</v>
      </c>
      <c r="Q659" s="2">
        <f t="shared" si="104"/>
        <v>0.18767601322395006</v>
      </c>
      <c r="T659">
        <v>247607</v>
      </c>
      <c r="U659">
        <v>62387</v>
      </c>
      <c r="W659" s="2">
        <f t="shared" si="105"/>
        <v>0.2012522823022381</v>
      </c>
      <c r="Z659">
        <f t="shared" si="100"/>
        <v>694327</v>
      </c>
      <c r="AA659">
        <f t="shared" si="101"/>
        <v>117206</v>
      </c>
      <c r="AC659" s="2">
        <f t="shared" si="106"/>
        <v>0.14442542693889218</v>
      </c>
      <c r="AD659" s="2"/>
      <c r="AE659">
        <f t="shared" si="107"/>
        <v>663642</v>
      </c>
      <c r="AF659">
        <f t="shared" si="108"/>
        <v>124059</v>
      </c>
      <c r="AH659" s="2">
        <f t="shared" si="109"/>
        <v>0.15749503936138204</v>
      </c>
      <c r="AI659" s="2"/>
      <c r="AJ659" s="2"/>
    </row>
    <row r="660" spans="2:36" x14ac:dyDescent="0.25">
      <c r="B660" s="1">
        <v>44005</v>
      </c>
      <c r="C660">
        <v>426549</v>
      </c>
      <c r="D660">
        <v>56461</v>
      </c>
      <c r="F660" s="2">
        <f t="shared" si="102"/>
        <v>0.11689406016438583</v>
      </c>
      <c r="I660">
        <v>419840</v>
      </c>
      <c r="J660">
        <v>54818</v>
      </c>
      <c r="L660" s="2">
        <f t="shared" si="103"/>
        <v>0.11548946820658243</v>
      </c>
      <c r="N660">
        <v>277341</v>
      </c>
      <c r="O660">
        <v>55261</v>
      </c>
      <c r="Q660" s="2">
        <f t="shared" si="104"/>
        <v>0.16614752767572052</v>
      </c>
      <c r="T660">
        <v>261320</v>
      </c>
      <c r="U660">
        <v>59651</v>
      </c>
      <c r="W660" s="2">
        <f t="shared" si="105"/>
        <v>0.18584545021201293</v>
      </c>
      <c r="Z660">
        <f t="shared" si="100"/>
        <v>703890</v>
      </c>
      <c r="AA660">
        <f t="shared" si="101"/>
        <v>111722</v>
      </c>
      <c r="AC660" s="2">
        <f t="shared" si="106"/>
        <v>0.13697934802332482</v>
      </c>
      <c r="AD660" s="2"/>
      <c r="AE660">
        <f t="shared" si="107"/>
        <v>681160</v>
      </c>
      <c r="AF660">
        <f t="shared" si="108"/>
        <v>114469</v>
      </c>
      <c r="AH660" s="2">
        <f t="shared" si="109"/>
        <v>0.14387233245645897</v>
      </c>
      <c r="AI660" s="2"/>
      <c r="AJ660" s="2"/>
    </row>
    <row r="661" spans="2:36" x14ac:dyDescent="0.25">
      <c r="B661" s="1">
        <v>44012</v>
      </c>
      <c r="C661">
        <v>435127</v>
      </c>
      <c r="D661">
        <v>60260</v>
      </c>
      <c r="F661" s="2">
        <f t="shared" si="102"/>
        <v>0.12164227159776095</v>
      </c>
      <c r="I661">
        <v>429225</v>
      </c>
      <c r="J661">
        <v>59890</v>
      </c>
      <c r="L661" s="2">
        <f t="shared" si="103"/>
        <v>0.12244564161802439</v>
      </c>
      <c r="N661">
        <v>272685</v>
      </c>
      <c r="O661">
        <v>50912</v>
      </c>
      <c r="Q661" s="2">
        <f t="shared" si="104"/>
        <v>0.15733149565663465</v>
      </c>
      <c r="T661">
        <v>264938</v>
      </c>
      <c r="U661">
        <v>50797</v>
      </c>
      <c r="W661" s="2">
        <f t="shared" si="105"/>
        <v>0.16088491931524854</v>
      </c>
      <c r="Z661">
        <f t="shared" si="100"/>
        <v>707812</v>
      </c>
      <c r="AA661">
        <f t="shared" si="101"/>
        <v>111172</v>
      </c>
      <c r="AC661" s="2">
        <f t="shared" si="106"/>
        <v>0.13574379963466929</v>
      </c>
      <c r="AD661" s="2"/>
      <c r="AE661">
        <f t="shared" si="107"/>
        <v>694163</v>
      </c>
      <c r="AF661">
        <f t="shared" si="108"/>
        <v>110687</v>
      </c>
      <c r="AH661" s="2">
        <f t="shared" si="109"/>
        <v>0.13752500465925327</v>
      </c>
      <c r="AI661" s="2"/>
      <c r="AJ661" s="2"/>
    </row>
    <row r="662" spans="2:36" x14ac:dyDescent="0.25">
      <c r="B662" s="1">
        <v>44019</v>
      </c>
      <c r="C662">
        <v>424344</v>
      </c>
      <c r="D662">
        <v>63336</v>
      </c>
      <c r="F662" s="2">
        <f t="shared" si="102"/>
        <v>0.12987204724409449</v>
      </c>
      <c r="I662">
        <v>418656</v>
      </c>
      <c r="J662">
        <v>60528</v>
      </c>
      <c r="L662" s="2">
        <f t="shared" si="103"/>
        <v>0.12631473504958429</v>
      </c>
      <c r="N662">
        <v>264352</v>
      </c>
      <c r="O662">
        <v>53998</v>
      </c>
      <c r="Q662" s="2">
        <f t="shared" si="104"/>
        <v>0.16961834458928851</v>
      </c>
      <c r="T662">
        <v>254623</v>
      </c>
      <c r="U662">
        <v>55367</v>
      </c>
      <c r="W662" s="2">
        <f t="shared" si="105"/>
        <v>0.1786089873866899</v>
      </c>
      <c r="Z662">
        <f t="shared" si="100"/>
        <v>688696</v>
      </c>
      <c r="AA662">
        <f t="shared" si="101"/>
        <v>117334</v>
      </c>
      <c r="AC662" s="2">
        <f t="shared" si="106"/>
        <v>0.1455702641340893</v>
      </c>
      <c r="AD662" s="2"/>
      <c r="AE662">
        <f t="shared" si="107"/>
        <v>673279</v>
      </c>
      <c r="AF662">
        <f t="shared" si="108"/>
        <v>115895</v>
      </c>
      <c r="AH662" s="2">
        <f t="shared" si="109"/>
        <v>0.14685607990126384</v>
      </c>
      <c r="AI662" s="2"/>
      <c r="AJ662" s="2"/>
    </row>
    <row r="663" spans="2:36" x14ac:dyDescent="0.25">
      <c r="B663" s="1">
        <v>44026</v>
      </c>
      <c r="C663">
        <v>422842</v>
      </c>
      <c r="D663">
        <v>62853</v>
      </c>
      <c r="F663" s="2">
        <f t="shared" si="102"/>
        <v>0.12940837356777402</v>
      </c>
      <c r="I663">
        <v>416612</v>
      </c>
      <c r="J663">
        <v>59676</v>
      </c>
      <c r="L663" s="2">
        <f t="shared" si="103"/>
        <v>0.12529393980112874</v>
      </c>
      <c r="N663">
        <v>275203</v>
      </c>
      <c r="O663">
        <v>58001</v>
      </c>
      <c r="Q663" s="2">
        <f t="shared" si="104"/>
        <v>0.17407053936927527</v>
      </c>
      <c r="T663">
        <v>268413</v>
      </c>
      <c r="U663">
        <v>58638</v>
      </c>
      <c r="W663" s="2">
        <f t="shared" si="105"/>
        <v>0.17929313776750416</v>
      </c>
      <c r="Z663">
        <f t="shared" si="100"/>
        <v>698045</v>
      </c>
      <c r="AA663">
        <f t="shared" si="101"/>
        <v>120854</v>
      </c>
      <c r="AC663" s="2">
        <f t="shared" si="106"/>
        <v>0.14758108142762416</v>
      </c>
      <c r="AD663" s="2"/>
      <c r="AE663">
        <f t="shared" si="107"/>
        <v>685025</v>
      </c>
      <c r="AF663">
        <f t="shared" si="108"/>
        <v>118314</v>
      </c>
      <c r="AH663" s="2">
        <f t="shared" si="109"/>
        <v>0.14727779928523327</v>
      </c>
      <c r="AI663" s="2"/>
      <c r="AJ663" s="2"/>
    </row>
    <row r="664" spans="2:36" x14ac:dyDescent="0.25">
      <c r="B664" s="1">
        <v>44033</v>
      </c>
      <c r="C664">
        <v>430855</v>
      </c>
      <c r="D664">
        <v>60733</v>
      </c>
      <c r="F664" s="2">
        <f t="shared" si="102"/>
        <v>0.12354451288477343</v>
      </c>
      <c r="I664">
        <v>421028</v>
      </c>
      <c r="J664">
        <v>58528</v>
      </c>
      <c r="L664" s="2">
        <f t="shared" si="103"/>
        <v>0.12204622609246887</v>
      </c>
      <c r="N664">
        <v>279611</v>
      </c>
      <c r="O664">
        <v>60070</v>
      </c>
      <c r="Q664" s="2">
        <f t="shared" si="104"/>
        <v>0.17684239036036753</v>
      </c>
      <c r="T664">
        <v>273487</v>
      </c>
      <c r="U664">
        <v>60963</v>
      </c>
      <c r="W664" s="2">
        <f t="shared" si="105"/>
        <v>0.18227836746897891</v>
      </c>
      <c r="Z664">
        <f t="shared" si="100"/>
        <v>710466</v>
      </c>
      <c r="AA664">
        <f t="shared" si="101"/>
        <v>120803</v>
      </c>
      <c r="AC664" s="2">
        <f t="shared" si="106"/>
        <v>0.14532359561104768</v>
      </c>
      <c r="AD664" s="2"/>
      <c r="AE664">
        <f t="shared" si="107"/>
        <v>694515</v>
      </c>
      <c r="AF664">
        <f t="shared" si="108"/>
        <v>119491</v>
      </c>
      <c r="AH664" s="2">
        <f t="shared" si="109"/>
        <v>0.14679375827696603</v>
      </c>
      <c r="AI664" s="2"/>
      <c r="AJ664" s="2"/>
    </row>
    <row r="665" spans="2:36" x14ac:dyDescent="0.25">
      <c r="B665" s="1">
        <v>44040</v>
      </c>
      <c r="C665">
        <v>418040</v>
      </c>
      <c r="D665">
        <v>66264</v>
      </c>
      <c r="F665" s="2">
        <f t="shared" si="102"/>
        <v>0.13682315240014536</v>
      </c>
      <c r="I665">
        <v>409201</v>
      </c>
      <c r="J665">
        <v>62518</v>
      </c>
      <c r="L665" s="2">
        <f t="shared" si="103"/>
        <v>0.13253229147013371</v>
      </c>
      <c r="N665">
        <v>271303</v>
      </c>
      <c r="O665">
        <v>76036</v>
      </c>
      <c r="Q665" s="2">
        <f t="shared" si="104"/>
        <v>0.21891005616990894</v>
      </c>
      <c r="T665">
        <v>267765</v>
      </c>
      <c r="U665">
        <v>76140</v>
      </c>
      <c r="W665" s="2">
        <f t="shared" si="105"/>
        <v>0.22139835128887339</v>
      </c>
      <c r="Z665">
        <f t="shared" si="100"/>
        <v>689343</v>
      </c>
      <c r="AA665">
        <f t="shared" si="101"/>
        <v>142300</v>
      </c>
      <c r="AC665" s="2">
        <f t="shared" si="106"/>
        <v>0.17110707358806604</v>
      </c>
      <c r="AD665" s="2"/>
      <c r="AE665">
        <f t="shared" si="107"/>
        <v>676966</v>
      </c>
      <c r="AF665">
        <f t="shared" si="108"/>
        <v>138658</v>
      </c>
      <c r="AH665" s="2">
        <f t="shared" si="109"/>
        <v>0.17000235402587466</v>
      </c>
      <c r="AI665" s="2"/>
      <c r="AJ665" s="2"/>
    </row>
    <row r="666" spans="2:36" x14ac:dyDescent="0.25">
      <c r="B666" s="1">
        <v>44047</v>
      </c>
      <c r="C666">
        <v>427869</v>
      </c>
      <c r="D666">
        <v>65676</v>
      </c>
      <c r="F666" s="2">
        <f t="shared" si="102"/>
        <v>0.13306993283287238</v>
      </c>
      <c r="I666">
        <v>417180</v>
      </c>
      <c r="J666">
        <v>63450</v>
      </c>
      <c r="L666" s="2">
        <f t="shared" si="103"/>
        <v>0.13201423132139067</v>
      </c>
      <c r="N666">
        <v>273983</v>
      </c>
      <c r="O666">
        <v>82595</v>
      </c>
      <c r="Q666" s="2">
        <f t="shared" si="104"/>
        <v>0.23163234972432398</v>
      </c>
      <c r="T666">
        <v>271763</v>
      </c>
      <c r="U666">
        <v>83759</v>
      </c>
      <c r="W666" s="2">
        <f t="shared" si="105"/>
        <v>0.23559442172355016</v>
      </c>
      <c r="Z666">
        <f t="shared" si="100"/>
        <v>701852</v>
      </c>
      <c r="AA666">
        <f t="shared" si="101"/>
        <v>148271</v>
      </c>
      <c r="AC666" s="2">
        <f t="shared" si="106"/>
        <v>0.17441123225697927</v>
      </c>
      <c r="AD666" s="2"/>
      <c r="AE666">
        <f t="shared" si="107"/>
        <v>688943</v>
      </c>
      <c r="AF666">
        <f t="shared" si="108"/>
        <v>147209</v>
      </c>
      <c r="AH666" s="2">
        <f t="shared" si="109"/>
        <v>0.17605531051770493</v>
      </c>
      <c r="AI666" s="2"/>
      <c r="AJ666" s="2"/>
    </row>
    <row r="667" spans="2:36" x14ac:dyDescent="0.25">
      <c r="B667" s="1">
        <v>44054</v>
      </c>
      <c r="C667">
        <v>421037</v>
      </c>
      <c r="D667">
        <v>73041</v>
      </c>
      <c r="F667" s="2">
        <f t="shared" si="102"/>
        <v>0.14783293326154981</v>
      </c>
      <c r="I667">
        <v>409582</v>
      </c>
      <c r="J667">
        <v>68544</v>
      </c>
      <c r="L667" s="2">
        <f t="shared" si="103"/>
        <v>0.14335970016271862</v>
      </c>
      <c r="N667">
        <v>282607</v>
      </c>
      <c r="O667">
        <v>74609</v>
      </c>
      <c r="Q667" s="2">
        <f t="shared" si="104"/>
        <v>0.20886242497536506</v>
      </c>
      <c r="T667">
        <v>280470</v>
      </c>
      <c r="U667">
        <v>75362</v>
      </c>
      <c r="W667" s="2">
        <f t="shared" si="105"/>
        <v>0.21179095753052002</v>
      </c>
      <c r="Z667">
        <f t="shared" si="100"/>
        <v>703644</v>
      </c>
      <c r="AA667">
        <f t="shared" si="101"/>
        <v>147650</v>
      </c>
      <c r="AC667" s="2">
        <f t="shared" si="106"/>
        <v>0.17344184265365431</v>
      </c>
      <c r="AD667" s="2"/>
      <c r="AE667">
        <f t="shared" si="107"/>
        <v>690052</v>
      </c>
      <c r="AF667">
        <f t="shared" si="108"/>
        <v>143906</v>
      </c>
      <c r="AH667" s="2">
        <f t="shared" si="109"/>
        <v>0.17255785063516388</v>
      </c>
      <c r="AI667" s="2"/>
      <c r="AJ667" s="2"/>
    </row>
    <row r="668" spans="2:36" x14ac:dyDescent="0.25">
      <c r="B668" s="1">
        <v>44061</v>
      </c>
      <c r="C668">
        <v>412744</v>
      </c>
      <c r="D668">
        <v>76008</v>
      </c>
      <c r="F668" s="2">
        <f t="shared" si="102"/>
        <v>0.15551445313778767</v>
      </c>
      <c r="I668">
        <v>405152</v>
      </c>
      <c r="J668">
        <v>70753</v>
      </c>
      <c r="L668" s="2">
        <f t="shared" si="103"/>
        <v>0.14867042792153895</v>
      </c>
      <c r="N668">
        <v>284782</v>
      </c>
      <c r="O668">
        <v>79558</v>
      </c>
      <c r="Q668" s="2">
        <f t="shared" si="104"/>
        <v>0.21836196958884557</v>
      </c>
      <c r="T668">
        <v>283785</v>
      </c>
      <c r="U668">
        <v>79969</v>
      </c>
      <c r="W668" s="2">
        <f t="shared" si="105"/>
        <v>0.2198436305855056</v>
      </c>
      <c r="Z668">
        <f t="shared" si="100"/>
        <v>697526</v>
      </c>
      <c r="AA668">
        <f t="shared" si="101"/>
        <v>155566</v>
      </c>
      <c r="AC668" s="2">
        <f t="shared" si="106"/>
        <v>0.18235547865880819</v>
      </c>
      <c r="AD668" s="2"/>
      <c r="AE668">
        <f t="shared" si="107"/>
        <v>688937</v>
      </c>
      <c r="AF668">
        <f t="shared" si="108"/>
        <v>150722</v>
      </c>
      <c r="AH668" s="2">
        <f t="shared" si="109"/>
        <v>0.17950382238503965</v>
      </c>
      <c r="AI668" s="2"/>
      <c r="AJ668" s="2"/>
    </row>
    <row r="669" spans="2:36" x14ac:dyDescent="0.25">
      <c r="B669" s="1">
        <v>44068</v>
      </c>
      <c r="C669">
        <v>421127</v>
      </c>
      <c r="D669">
        <v>89342</v>
      </c>
      <c r="F669" s="2">
        <f t="shared" si="102"/>
        <v>0.17501944290446628</v>
      </c>
      <c r="I669">
        <v>410370</v>
      </c>
      <c r="J669">
        <v>83474</v>
      </c>
      <c r="L669" s="2">
        <f t="shared" si="103"/>
        <v>0.16902908610816372</v>
      </c>
      <c r="N669">
        <v>288390</v>
      </c>
      <c r="O669">
        <v>85227</v>
      </c>
      <c r="Q669" s="2">
        <f t="shared" si="104"/>
        <v>0.22811328178321649</v>
      </c>
      <c r="T669">
        <v>292088</v>
      </c>
      <c r="U669">
        <v>84140</v>
      </c>
      <c r="W669" s="2">
        <f t="shared" si="105"/>
        <v>0.22364098365884516</v>
      </c>
      <c r="Z669">
        <f t="shared" si="100"/>
        <v>709517</v>
      </c>
      <c r="AA669">
        <f t="shared" si="101"/>
        <v>174569</v>
      </c>
      <c r="AC669" s="2">
        <f t="shared" si="106"/>
        <v>0.19745703472286633</v>
      </c>
      <c r="AD669" s="2"/>
      <c r="AE669">
        <f t="shared" si="107"/>
        <v>702458</v>
      </c>
      <c r="AF669">
        <f t="shared" si="108"/>
        <v>167614</v>
      </c>
      <c r="AH669" s="2">
        <f t="shared" si="109"/>
        <v>0.19264382717752093</v>
      </c>
      <c r="AI669" s="2"/>
      <c r="AJ669" s="2"/>
    </row>
    <row r="670" spans="2:36" x14ac:dyDescent="0.25">
      <c r="B670" s="1">
        <v>44075</v>
      </c>
      <c r="C670">
        <v>422645</v>
      </c>
      <c r="D670">
        <v>93057</v>
      </c>
      <c r="F670" s="2">
        <f t="shared" si="102"/>
        <v>0.18044723503108384</v>
      </c>
      <c r="I670">
        <v>414045</v>
      </c>
      <c r="J670">
        <v>87166</v>
      </c>
      <c r="L670" s="2">
        <f t="shared" si="103"/>
        <v>0.17391078807129134</v>
      </c>
      <c r="N670">
        <v>278121</v>
      </c>
      <c r="O670">
        <v>93942</v>
      </c>
      <c r="Q670" s="2">
        <f t="shared" si="104"/>
        <v>0.25248949774634943</v>
      </c>
      <c r="T670">
        <v>282639</v>
      </c>
      <c r="U670">
        <v>94158</v>
      </c>
      <c r="W670" s="2">
        <f t="shared" si="105"/>
        <v>0.24989052460608763</v>
      </c>
      <c r="Z670">
        <f t="shared" si="100"/>
        <v>700766</v>
      </c>
      <c r="AA670">
        <f t="shared" si="101"/>
        <v>186999</v>
      </c>
      <c r="AC670" s="2">
        <f t="shared" si="106"/>
        <v>0.21064020320692975</v>
      </c>
      <c r="AD670" s="2"/>
      <c r="AE670">
        <f t="shared" si="107"/>
        <v>696684</v>
      </c>
      <c r="AF670">
        <f t="shared" si="108"/>
        <v>181324</v>
      </c>
      <c r="AH670" s="2">
        <f t="shared" si="109"/>
        <v>0.20651748047853777</v>
      </c>
      <c r="AI670" s="2"/>
      <c r="AJ670" s="2"/>
    </row>
    <row r="671" spans="2:36" x14ac:dyDescent="0.25">
      <c r="B671" s="1">
        <v>44082</v>
      </c>
      <c r="C671">
        <v>381443</v>
      </c>
      <c r="D671">
        <v>120324</v>
      </c>
      <c r="F671" s="2">
        <f t="shared" si="102"/>
        <v>0.23980054487441382</v>
      </c>
      <c r="I671">
        <v>379171</v>
      </c>
      <c r="J671">
        <v>109683</v>
      </c>
      <c r="L671" s="2">
        <f t="shared" si="103"/>
        <v>0.22436760259709443</v>
      </c>
      <c r="N671">
        <v>243430</v>
      </c>
      <c r="O671">
        <v>132036</v>
      </c>
      <c r="Q671" s="2">
        <f t="shared" si="104"/>
        <v>0.35165900507635844</v>
      </c>
      <c r="T671">
        <v>246065</v>
      </c>
      <c r="U671">
        <v>124898</v>
      </c>
      <c r="W671" s="2">
        <f t="shared" si="105"/>
        <v>0.33668586894110736</v>
      </c>
      <c r="Z671">
        <f t="shared" si="100"/>
        <v>624873</v>
      </c>
      <c r="AA671">
        <f t="shared" si="101"/>
        <v>252360</v>
      </c>
      <c r="AC671" s="2">
        <f t="shared" si="106"/>
        <v>0.28767727616266148</v>
      </c>
      <c r="AD671" s="2"/>
      <c r="AE671">
        <f t="shared" si="107"/>
        <v>625236</v>
      </c>
      <c r="AF671">
        <f t="shared" si="108"/>
        <v>234581</v>
      </c>
      <c r="AH671" s="2">
        <f t="shared" si="109"/>
        <v>0.2728266596264089</v>
      </c>
      <c r="AI671" s="2"/>
      <c r="AJ671" s="2"/>
    </row>
    <row r="672" spans="2:36" x14ac:dyDescent="0.25">
      <c r="B672" s="1">
        <v>44089</v>
      </c>
      <c r="C672">
        <v>401067</v>
      </c>
      <c r="D672">
        <v>109201</v>
      </c>
      <c r="F672" s="2">
        <f t="shared" si="102"/>
        <v>0.21400714918435018</v>
      </c>
      <c r="I672">
        <v>395793</v>
      </c>
      <c r="J672">
        <v>100405</v>
      </c>
      <c r="L672" s="2">
        <f t="shared" si="103"/>
        <v>0.20234865920459172</v>
      </c>
      <c r="N672">
        <v>227890</v>
      </c>
      <c r="O672">
        <v>157508</v>
      </c>
      <c r="Q672" s="2">
        <f t="shared" si="104"/>
        <v>0.40868919921743235</v>
      </c>
      <c r="T672">
        <v>228823</v>
      </c>
      <c r="U672">
        <v>147531</v>
      </c>
      <c r="W672" s="2">
        <f t="shared" si="105"/>
        <v>0.39200061644090406</v>
      </c>
      <c r="Z672">
        <f t="shared" si="100"/>
        <v>628957</v>
      </c>
      <c r="AA672">
        <f t="shared" si="101"/>
        <v>266709</v>
      </c>
      <c r="AC672" s="2">
        <f t="shared" si="106"/>
        <v>0.29777729644755968</v>
      </c>
      <c r="AD672" s="2"/>
      <c r="AE672">
        <f t="shared" si="107"/>
        <v>624616</v>
      </c>
      <c r="AF672">
        <f t="shared" si="108"/>
        <v>247936</v>
      </c>
      <c r="AH672" s="2">
        <f t="shared" si="109"/>
        <v>0.28415040020537458</v>
      </c>
      <c r="AI672" s="2"/>
      <c r="AJ672" s="2"/>
    </row>
    <row r="673" spans="2:36" x14ac:dyDescent="0.25">
      <c r="B673" s="1">
        <v>44096</v>
      </c>
      <c r="C673">
        <v>412708</v>
      </c>
      <c r="D673">
        <v>89492</v>
      </c>
      <c r="F673" s="2">
        <f t="shared" si="102"/>
        <v>0.17819992035045798</v>
      </c>
      <c r="I673">
        <v>406145</v>
      </c>
      <c r="J673">
        <v>81649</v>
      </c>
      <c r="L673" s="2">
        <f t="shared" si="103"/>
        <v>0.16738418266727348</v>
      </c>
      <c r="N673">
        <v>228888</v>
      </c>
      <c r="O673">
        <v>134838</v>
      </c>
      <c r="Q673" s="2">
        <f t="shared" si="104"/>
        <v>0.37071311921611322</v>
      </c>
      <c r="T673">
        <v>231691</v>
      </c>
      <c r="U673">
        <v>127495</v>
      </c>
      <c r="W673" s="2">
        <f t="shared" si="105"/>
        <v>0.35495537131179944</v>
      </c>
      <c r="Z673">
        <f t="shared" si="100"/>
        <v>641596</v>
      </c>
      <c r="AA673">
        <f t="shared" si="101"/>
        <v>224330</v>
      </c>
      <c r="AC673" s="2">
        <f t="shared" si="106"/>
        <v>0.2590637075223518</v>
      </c>
      <c r="AD673" s="2"/>
      <c r="AE673">
        <f t="shared" si="107"/>
        <v>637836</v>
      </c>
      <c r="AF673">
        <f t="shared" si="108"/>
        <v>209144</v>
      </c>
      <c r="AH673" s="2">
        <f t="shared" si="109"/>
        <v>0.24692908923469267</v>
      </c>
      <c r="AI673" s="2"/>
      <c r="AJ673" s="2"/>
    </row>
    <row r="674" spans="2:36" x14ac:dyDescent="0.25">
      <c r="B674" s="1">
        <v>44103</v>
      </c>
      <c r="C674">
        <v>401864</v>
      </c>
      <c r="D674">
        <v>99406</v>
      </c>
      <c r="F674" s="2">
        <f t="shared" si="102"/>
        <v>0.19830829692580845</v>
      </c>
      <c r="I674">
        <v>396111</v>
      </c>
      <c r="J674">
        <v>91297</v>
      </c>
      <c r="L674" s="2">
        <f t="shared" si="103"/>
        <v>0.18731124643009553</v>
      </c>
      <c r="N674">
        <v>221358</v>
      </c>
      <c r="O674">
        <v>128214</v>
      </c>
      <c r="Q674" s="2">
        <f t="shared" si="104"/>
        <v>0.36677422676873433</v>
      </c>
      <c r="T674">
        <v>224395</v>
      </c>
      <c r="U674">
        <v>127173</v>
      </c>
      <c r="W674" s="2">
        <f t="shared" si="105"/>
        <v>0.36173087425476719</v>
      </c>
      <c r="Z674">
        <f t="shared" si="100"/>
        <v>623222</v>
      </c>
      <c r="AA674">
        <f t="shared" si="101"/>
        <v>227620</v>
      </c>
      <c r="AC674" s="2">
        <f t="shared" si="106"/>
        <v>0.2675232299298812</v>
      </c>
      <c r="AD674" s="2"/>
      <c r="AE674">
        <f t="shared" si="107"/>
        <v>620506</v>
      </c>
      <c r="AF674">
        <f t="shared" si="108"/>
        <v>218470</v>
      </c>
      <c r="AH674" s="2">
        <f t="shared" si="109"/>
        <v>0.26040077427721414</v>
      </c>
      <c r="AI674" s="2"/>
      <c r="AJ674" s="2"/>
    </row>
    <row r="675" spans="2:36" x14ac:dyDescent="0.25">
      <c r="B675" s="1">
        <v>44110</v>
      </c>
      <c r="C675">
        <v>403194</v>
      </c>
      <c r="D675">
        <v>96499</v>
      </c>
      <c r="F675" s="2">
        <f t="shared" si="102"/>
        <v>0.19311657357617576</v>
      </c>
      <c r="I675">
        <v>395996</v>
      </c>
      <c r="J675">
        <v>93105</v>
      </c>
      <c r="L675" s="2">
        <f t="shared" si="103"/>
        <v>0.19035945540900551</v>
      </c>
      <c r="N675">
        <v>215385</v>
      </c>
      <c r="O675">
        <v>134094</v>
      </c>
      <c r="Q675" s="2">
        <f t="shared" si="104"/>
        <v>0.3836968744903127</v>
      </c>
      <c r="T675">
        <v>216334</v>
      </c>
      <c r="U675">
        <v>133757</v>
      </c>
      <c r="W675" s="2">
        <f t="shared" si="105"/>
        <v>0.38206352062749399</v>
      </c>
      <c r="Z675">
        <f t="shared" si="100"/>
        <v>618579</v>
      </c>
      <c r="AA675">
        <f t="shared" si="101"/>
        <v>230593</v>
      </c>
      <c r="AC675" s="2">
        <f t="shared" si="106"/>
        <v>0.27155040439392725</v>
      </c>
      <c r="AD675" s="2"/>
      <c r="AE675">
        <f t="shared" si="107"/>
        <v>612330</v>
      </c>
      <c r="AF675">
        <f t="shared" si="108"/>
        <v>226862</v>
      </c>
      <c r="AH675" s="2">
        <f t="shared" si="109"/>
        <v>0.27033384493655804</v>
      </c>
      <c r="AI675" s="2"/>
      <c r="AJ675" s="2"/>
    </row>
    <row r="676" spans="2:36" x14ac:dyDescent="0.25">
      <c r="B676" s="1">
        <v>44117</v>
      </c>
      <c r="C676">
        <v>386213</v>
      </c>
      <c r="D676">
        <v>88174</v>
      </c>
      <c r="F676" s="2">
        <f t="shared" si="102"/>
        <v>0.18586934296260227</v>
      </c>
      <c r="I676">
        <v>379184</v>
      </c>
      <c r="J676">
        <v>85355</v>
      </c>
      <c r="L676" s="2">
        <f t="shared" si="103"/>
        <v>0.18374130051513435</v>
      </c>
      <c r="N676">
        <v>224706</v>
      </c>
      <c r="O676">
        <v>108469</v>
      </c>
      <c r="Q676" s="2">
        <f t="shared" si="104"/>
        <v>0.32556164177984542</v>
      </c>
      <c r="T676">
        <v>225867</v>
      </c>
      <c r="U676">
        <v>105759</v>
      </c>
      <c r="W676" s="2">
        <f t="shared" si="105"/>
        <v>0.31891045937290802</v>
      </c>
      <c r="Z676">
        <f t="shared" si="100"/>
        <v>610919</v>
      </c>
      <c r="AA676">
        <f t="shared" si="101"/>
        <v>196643</v>
      </c>
      <c r="AC676" s="2">
        <f t="shared" si="106"/>
        <v>0.24350204690166205</v>
      </c>
      <c r="AD676" s="2"/>
      <c r="AE676">
        <f t="shared" si="107"/>
        <v>605051</v>
      </c>
      <c r="AF676">
        <f t="shared" si="108"/>
        <v>191114</v>
      </c>
      <c r="AH676" s="2">
        <f t="shared" si="109"/>
        <v>0.24004320712415139</v>
      </c>
      <c r="AI676" s="2"/>
      <c r="AJ676" s="2"/>
    </row>
    <row r="677" spans="2:36" x14ac:dyDescent="0.25">
      <c r="B677" s="1">
        <v>44124</v>
      </c>
      <c r="C677">
        <v>409109</v>
      </c>
      <c r="D677">
        <v>71572</v>
      </c>
      <c r="F677" s="2">
        <f t="shared" si="102"/>
        <v>0.14889708559314804</v>
      </c>
      <c r="I677">
        <v>399465</v>
      </c>
      <c r="J677">
        <v>67205</v>
      </c>
      <c r="L677" s="2">
        <f t="shared" si="103"/>
        <v>0.14400968564510253</v>
      </c>
      <c r="N677">
        <v>241883</v>
      </c>
      <c r="O677">
        <v>104383</v>
      </c>
      <c r="Q677" s="2">
        <f t="shared" si="104"/>
        <v>0.30145321804624192</v>
      </c>
      <c r="T677">
        <v>240937</v>
      </c>
      <c r="U677">
        <v>100807</v>
      </c>
      <c r="W677" s="2">
        <f t="shared" si="105"/>
        <v>0.29497811227117376</v>
      </c>
      <c r="Z677">
        <f t="shared" si="100"/>
        <v>650992</v>
      </c>
      <c r="AA677">
        <f t="shared" si="101"/>
        <v>175955</v>
      </c>
      <c r="AC677" s="2">
        <f t="shared" si="106"/>
        <v>0.21277663502014035</v>
      </c>
      <c r="AD677" s="2"/>
      <c r="AE677">
        <f t="shared" si="107"/>
        <v>640402</v>
      </c>
      <c r="AF677">
        <f t="shared" si="108"/>
        <v>168012</v>
      </c>
      <c r="AH677" s="2">
        <f t="shared" si="109"/>
        <v>0.20782915684290476</v>
      </c>
      <c r="AI677" s="2"/>
      <c r="AJ677" s="2"/>
    </row>
    <row r="678" spans="2:36" x14ac:dyDescent="0.25">
      <c r="B678" s="1">
        <v>44131</v>
      </c>
      <c r="C678">
        <v>396466</v>
      </c>
      <c r="D678">
        <v>96127</v>
      </c>
      <c r="F678" s="2">
        <f t="shared" si="102"/>
        <v>0.19514487619596704</v>
      </c>
      <c r="I678">
        <v>386877</v>
      </c>
      <c r="J678">
        <v>89216</v>
      </c>
      <c r="L678" s="2">
        <f t="shared" si="103"/>
        <v>0.18739195913403472</v>
      </c>
      <c r="N678">
        <v>250331</v>
      </c>
      <c r="O678">
        <v>111869</v>
      </c>
      <c r="Q678" s="2">
        <f t="shared" si="104"/>
        <v>0.30885974599668692</v>
      </c>
      <c r="T678">
        <v>252259</v>
      </c>
      <c r="U678">
        <v>107728</v>
      </c>
      <c r="W678" s="2">
        <f t="shared" si="105"/>
        <v>0.29925525088405969</v>
      </c>
      <c r="Z678">
        <f t="shared" si="100"/>
        <v>646797</v>
      </c>
      <c r="AA678">
        <f t="shared" si="101"/>
        <v>207996</v>
      </c>
      <c r="AC678" s="2">
        <f t="shared" si="106"/>
        <v>0.24332908669116382</v>
      </c>
      <c r="AD678" s="2"/>
      <c r="AE678">
        <f t="shared" si="107"/>
        <v>639136</v>
      </c>
      <c r="AF678">
        <f t="shared" si="108"/>
        <v>196944</v>
      </c>
      <c r="AH678" s="2">
        <f t="shared" si="109"/>
        <v>0.23555640608554204</v>
      </c>
      <c r="AI678" s="2"/>
      <c r="AJ678" s="2"/>
    </row>
    <row r="679" spans="2:36" x14ac:dyDescent="0.25">
      <c r="B679" s="1">
        <v>44138</v>
      </c>
      <c r="C679">
        <v>370065</v>
      </c>
      <c r="D679">
        <v>106626</v>
      </c>
      <c r="F679" s="2">
        <f t="shared" si="102"/>
        <v>0.22367949048754854</v>
      </c>
      <c r="I679">
        <v>360921</v>
      </c>
      <c r="J679">
        <v>97049</v>
      </c>
      <c r="L679" s="2">
        <f t="shared" si="103"/>
        <v>0.21191126056291898</v>
      </c>
      <c r="N679">
        <v>222329</v>
      </c>
      <c r="O679">
        <v>133751</v>
      </c>
      <c r="Q679" s="2">
        <f t="shared" si="104"/>
        <v>0.37562064704560771</v>
      </c>
      <c r="T679">
        <v>223063</v>
      </c>
      <c r="U679">
        <v>128668</v>
      </c>
      <c r="W679" s="2">
        <f t="shared" si="105"/>
        <v>0.36581364736119365</v>
      </c>
      <c r="Z679">
        <f t="shared" si="100"/>
        <v>592394</v>
      </c>
      <c r="AA679">
        <f t="shared" si="101"/>
        <v>240377</v>
      </c>
      <c r="AC679" s="2">
        <f t="shared" si="106"/>
        <v>0.28864717911646781</v>
      </c>
      <c r="AD679" s="2"/>
      <c r="AE679">
        <f t="shared" si="107"/>
        <v>583984</v>
      </c>
      <c r="AF679">
        <f t="shared" si="108"/>
        <v>225717</v>
      </c>
      <c r="AH679" s="2">
        <f t="shared" si="109"/>
        <v>0.27876586542439741</v>
      </c>
      <c r="AI679" s="2"/>
      <c r="AJ679" s="2"/>
    </row>
    <row r="680" spans="2:36" x14ac:dyDescent="0.25">
      <c r="B680" s="1">
        <v>44145</v>
      </c>
      <c r="C680">
        <v>370004</v>
      </c>
      <c r="D680">
        <v>75663</v>
      </c>
      <c r="F680" s="2">
        <f t="shared" si="102"/>
        <v>0.16977474212809116</v>
      </c>
      <c r="I680">
        <v>358666</v>
      </c>
      <c r="J680">
        <v>68180</v>
      </c>
      <c r="L680" s="2">
        <f t="shared" si="103"/>
        <v>0.15972973859424711</v>
      </c>
      <c r="N680">
        <v>230512</v>
      </c>
      <c r="O680">
        <v>104300</v>
      </c>
      <c r="Q680" s="2">
        <f t="shared" si="104"/>
        <v>0.31151810568318938</v>
      </c>
      <c r="T680">
        <v>231546</v>
      </c>
      <c r="U680">
        <v>101586</v>
      </c>
      <c r="W680" s="2">
        <f t="shared" si="105"/>
        <v>0.30494218507978821</v>
      </c>
      <c r="Z680">
        <f t="shared" si="100"/>
        <v>600516</v>
      </c>
      <c r="AA680">
        <f t="shared" si="101"/>
        <v>179963</v>
      </c>
      <c r="AC680" s="2">
        <f t="shared" si="106"/>
        <v>0.23058019498282464</v>
      </c>
      <c r="AD680" s="2"/>
      <c r="AE680">
        <f t="shared" si="107"/>
        <v>590212</v>
      </c>
      <c r="AF680">
        <f t="shared" si="108"/>
        <v>169766</v>
      </c>
      <c r="AH680" s="2">
        <f t="shared" si="109"/>
        <v>0.22338278213316701</v>
      </c>
      <c r="AI680" s="2"/>
      <c r="AJ680" s="2"/>
    </row>
    <row r="681" spans="2:36" x14ac:dyDescent="0.25">
      <c r="B681" s="1">
        <v>44152</v>
      </c>
      <c r="C681">
        <v>383673</v>
      </c>
      <c r="D681">
        <v>83845</v>
      </c>
      <c r="F681" s="2">
        <f t="shared" si="102"/>
        <v>0.17934068848686041</v>
      </c>
      <c r="I681">
        <v>372496</v>
      </c>
      <c r="J681">
        <v>78382</v>
      </c>
      <c r="L681" s="2">
        <f t="shared" si="103"/>
        <v>0.17384303514476199</v>
      </c>
      <c r="N681">
        <v>262893</v>
      </c>
      <c r="O681">
        <v>87495</v>
      </c>
      <c r="Q681" s="2">
        <f t="shared" si="104"/>
        <v>0.24970889414021027</v>
      </c>
      <c r="T681">
        <v>261608</v>
      </c>
      <c r="U681">
        <v>80998</v>
      </c>
      <c r="W681" s="2">
        <f t="shared" si="105"/>
        <v>0.23641734236995265</v>
      </c>
      <c r="Z681">
        <f t="shared" si="100"/>
        <v>646566</v>
      </c>
      <c r="AA681">
        <f t="shared" si="101"/>
        <v>171340</v>
      </c>
      <c r="AC681" s="2">
        <f t="shared" si="106"/>
        <v>0.2094861756729991</v>
      </c>
      <c r="AD681" s="2"/>
      <c r="AE681">
        <f t="shared" si="107"/>
        <v>634104</v>
      </c>
      <c r="AF681">
        <f t="shared" si="108"/>
        <v>159380</v>
      </c>
      <c r="AH681" s="2">
        <f t="shared" si="109"/>
        <v>0.20086101295048167</v>
      </c>
      <c r="AI681" s="2"/>
      <c r="AJ681" s="2"/>
    </row>
    <row r="682" spans="2:36" x14ac:dyDescent="0.25">
      <c r="B682" s="1">
        <v>44159</v>
      </c>
      <c r="C682">
        <v>402988</v>
      </c>
      <c r="D682">
        <v>72886</v>
      </c>
      <c r="F682" s="2">
        <f t="shared" si="102"/>
        <v>0.1531623917255408</v>
      </c>
      <c r="I682">
        <v>390750</v>
      </c>
      <c r="J682">
        <v>66623</v>
      </c>
      <c r="L682" s="2">
        <f t="shared" si="103"/>
        <v>0.1456644795385823</v>
      </c>
      <c r="N682">
        <v>311343</v>
      </c>
      <c r="O682">
        <v>84533</v>
      </c>
      <c r="Q682" s="2">
        <f t="shared" si="104"/>
        <v>0.21353403591023451</v>
      </c>
      <c r="T682">
        <v>304506</v>
      </c>
      <c r="U682">
        <v>86916</v>
      </c>
      <c r="W682" s="2">
        <f t="shared" si="105"/>
        <v>0.22205190306114628</v>
      </c>
      <c r="Z682">
        <f t="shared" si="100"/>
        <v>714331</v>
      </c>
      <c r="AA682">
        <f t="shared" si="101"/>
        <v>157419</v>
      </c>
      <c r="AC682" s="2">
        <f t="shared" si="106"/>
        <v>0.18057814740464584</v>
      </c>
      <c r="AD682" s="2"/>
      <c r="AE682">
        <f t="shared" si="107"/>
        <v>695256</v>
      </c>
      <c r="AF682">
        <f t="shared" si="108"/>
        <v>153539</v>
      </c>
      <c r="AH682" s="2">
        <f t="shared" si="109"/>
        <v>0.18089055661260964</v>
      </c>
      <c r="AI682" s="2"/>
      <c r="AJ682" s="2"/>
    </row>
    <row r="683" spans="2:36" x14ac:dyDescent="0.25">
      <c r="B683" s="1">
        <v>44166</v>
      </c>
      <c r="C683">
        <v>406334</v>
      </c>
      <c r="D683">
        <v>67800</v>
      </c>
      <c r="F683" s="2">
        <f t="shared" si="102"/>
        <v>0.14299754921604441</v>
      </c>
      <c r="I683">
        <v>392782</v>
      </c>
      <c r="J683">
        <v>61877</v>
      </c>
      <c r="L683" s="2">
        <f t="shared" si="103"/>
        <v>0.13609540336823861</v>
      </c>
      <c r="N683">
        <v>311210</v>
      </c>
      <c r="O683">
        <v>64934</v>
      </c>
      <c r="Q683" s="2">
        <f t="shared" si="104"/>
        <v>0.17263069462758943</v>
      </c>
      <c r="T683">
        <v>310291</v>
      </c>
      <c r="U683">
        <v>64427</v>
      </c>
      <c r="W683" s="2">
        <f t="shared" si="105"/>
        <v>0.17193462817371996</v>
      </c>
      <c r="Z683">
        <f t="shared" si="100"/>
        <v>717544</v>
      </c>
      <c r="AA683">
        <f t="shared" si="101"/>
        <v>132734</v>
      </c>
      <c r="AC683" s="2">
        <f t="shared" si="106"/>
        <v>0.15610659102081909</v>
      </c>
      <c r="AD683" s="2"/>
      <c r="AE683">
        <f t="shared" si="107"/>
        <v>703073</v>
      </c>
      <c r="AF683">
        <f t="shared" si="108"/>
        <v>126304</v>
      </c>
      <c r="AH683" s="2">
        <f t="shared" si="109"/>
        <v>0.15228780156671815</v>
      </c>
      <c r="AI683" s="2"/>
      <c r="AJ683" s="2"/>
    </row>
    <row r="684" spans="2:36" x14ac:dyDescent="0.25">
      <c r="B684" s="1">
        <v>44173</v>
      </c>
      <c r="C684">
        <v>406664</v>
      </c>
      <c r="D684">
        <v>67302</v>
      </c>
      <c r="F684" s="2">
        <f t="shared" si="102"/>
        <v>0.14199752724879</v>
      </c>
      <c r="I684">
        <v>389654</v>
      </c>
      <c r="J684">
        <v>60333</v>
      </c>
      <c r="L684" s="2">
        <f t="shared" si="103"/>
        <v>0.13407720667485951</v>
      </c>
      <c r="N684">
        <v>339242</v>
      </c>
      <c r="O684">
        <v>64686</v>
      </c>
      <c r="Q684" s="2">
        <f t="shared" si="104"/>
        <v>0.16014240161612961</v>
      </c>
      <c r="T684">
        <v>335130</v>
      </c>
      <c r="U684">
        <v>62267</v>
      </c>
      <c r="W684" s="2">
        <f t="shared" si="105"/>
        <v>0.15668714157379146</v>
      </c>
      <c r="Z684">
        <f t="shared" si="100"/>
        <v>745906</v>
      </c>
      <c r="AA684">
        <f t="shared" si="101"/>
        <v>131988</v>
      </c>
      <c r="AC684" s="2">
        <f t="shared" si="106"/>
        <v>0.15034616935529801</v>
      </c>
      <c r="AD684" s="2"/>
      <c r="AE684">
        <f t="shared" si="107"/>
        <v>724784</v>
      </c>
      <c r="AF684">
        <f t="shared" si="108"/>
        <v>122600</v>
      </c>
      <c r="AH684" s="2">
        <f t="shared" si="109"/>
        <v>0.14468056984790839</v>
      </c>
      <c r="AI684" s="2"/>
      <c r="AJ684" s="2"/>
    </row>
    <row r="685" spans="2:36" x14ac:dyDescent="0.25">
      <c r="B685" s="1">
        <v>44180</v>
      </c>
      <c r="C685">
        <v>405466</v>
      </c>
      <c r="D685">
        <v>59849</v>
      </c>
      <c r="F685" s="2">
        <f t="shared" si="102"/>
        <v>0.12862039693540936</v>
      </c>
      <c r="I685">
        <v>384363</v>
      </c>
      <c r="J685">
        <v>53785</v>
      </c>
      <c r="L685" s="2">
        <f t="shared" si="103"/>
        <v>0.12275532468480969</v>
      </c>
      <c r="N685">
        <v>348051</v>
      </c>
      <c r="O685">
        <v>62300</v>
      </c>
      <c r="Q685" s="2">
        <f t="shared" si="104"/>
        <v>0.15182124571403505</v>
      </c>
      <c r="T685">
        <v>340969</v>
      </c>
      <c r="U685">
        <v>58634</v>
      </c>
      <c r="W685" s="2">
        <f t="shared" si="105"/>
        <v>0.14673063015042428</v>
      </c>
      <c r="Z685">
        <f t="shared" si="100"/>
        <v>753517</v>
      </c>
      <c r="AA685">
        <f t="shared" si="101"/>
        <v>122149</v>
      </c>
      <c r="AC685" s="2">
        <f t="shared" si="106"/>
        <v>0.13949268328335232</v>
      </c>
      <c r="AD685" s="2"/>
      <c r="AE685">
        <f t="shared" si="107"/>
        <v>725332</v>
      </c>
      <c r="AF685">
        <f t="shared" si="108"/>
        <v>112419</v>
      </c>
      <c r="AH685" s="2">
        <f t="shared" si="109"/>
        <v>0.13419142442086013</v>
      </c>
      <c r="AI685" s="2"/>
      <c r="AJ685" s="2"/>
    </row>
    <row r="686" spans="2:36" x14ac:dyDescent="0.25">
      <c r="B686" s="1">
        <v>44187</v>
      </c>
      <c r="C686">
        <v>396098</v>
      </c>
      <c r="D686">
        <v>60329</v>
      </c>
      <c r="F686" s="2">
        <f t="shared" si="102"/>
        <v>0.13217666790089105</v>
      </c>
      <c r="I686">
        <v>387696</v>
      </c>
      <c r="J686">
        <v>51051</v>
      </c>
      <c r="L686" s="2">
        <f t="shared" si="103"/>
        <v>0.11635635115453781</v>
      </c>
      <c r="N686">
        <v>341158</v>
      </c>
      <c r="O686">
        <v>57942</v>
      </c>
      <c r="Q686" s="2">
        <f t="shared" si="104"/>
        <v>0.14518165873214733</v>
      </c>
      <c r="T686">
        <v>334629</v>
      </c>
      <c r="U686">
        <v>53782</v>
      </c>
      <c r="W686" s="2">
        <f t="shared" si="105"/>
        <v>0.13846672725540729</v>
      </c>
      <c r="Z686">
        <f t="shared" si="100"/>
        <v>737256</v>
      </c>
      <c r="AA686">
        <f t="shared" si="101"/>
        <v>118271</v>
      </c>
      <c r="AC686" s="2">
        <f t="shared" si="106"/>
        <v>0.13824344526823817</v>
      </c>
      <c r="AD686" s="2"/>
      <c r="AE686">
        <f t="shared" si="107"/>
        <v>722325</v>
      </c>
      <c r="AF686">
        <f t="shared" si="108"/>
        <v>104833</v>
      </c>
      <c r="AH686" s="2">
        <f t="shared" si="109"/>
        <v>0.12673878509305356</v>
      </c>
      <c r="AI686" s="2"/>
      <c r="AJ686" s="2"/>
    </row>
    <row r="687" spans="2:36" x14ac:dyDescent="0.25">
      <c r="B687" s="1">
        <v>44194</v>
      </c>
      <c r="C687">
        <v>393133</v>
      </c>
      <c r="D687">
        <v>60770</v>
      </c>
      <c r="F687" s="2">
        <f t="shared" si="102"/>
        <v>0.13388323055807078</v>
      </c>
      <c r="I687">
        <v>386011</v>
      </c>
      <c r="J687">
        <v>52227</v>
      </c>
      <c r="L687" s="2">
        <f t="shared" si="103"/>
        <v>0.11917496885254131</v>
      </c>
      <c r="N687">
        <v>326041</v>
      </c>
      <c r="O687">
        <v>48629</v>
      </c>
      <c r="Q687" s="2">
        <f t="shared" si="104"/>
        <v>0.1297915498972429</v>
      </c>
      <c r="T687">
        <v>326488</v>
      </c>
      <c r="U687">
        <v>46190</v>
      </c>
      <c r="W687" s="2">
        <f t="shared" si="105"/>
        <v>0.1239407746097167</v>
      </c>
      <c r="Z687">
        <f t="shared" si="100"/>
        <v>719174</v>
      </c>
      <c r="AA687">
        <f t="shared" si="101"/>
        <v>109399</v>
      </c>
      <c r="AC687" s="2">
        <f t="shared" si="106"/>
        <v>0.13203302545460691</v>
      </c>
      <c r="AD687" s="2"/>
      <c r="AE687">
        <f t="shared" si="107"/>
        <v>712499</v>
      </c>
      <c r="AF687">
        <f t="shared" si="108"/>
        <v>98417</v>
      </c>
      <c r="AH687" s="2">
        <f t="shared" si="109"/>
        <v>0.121365221551924</v>
      </c>
      <c r="AI687" s="2"/>
      <c r="AJ687" s="2"/>
    </row>
    <row r="688" spans="2:36" x14ac:dyDescent="0.25">
      <c r="B688" s="1">
        <v>44201</v>
      </c>
      <c r="C688">
        <v>407901</v>
      </c>
      <c r="D688">
        <v>76702</v>
      </c>
      <c r="F688" s="2">
        <f t="shared" si="102"/>
        <v>0.15827801313652617</v>
      </c>
      <c r="I688">
        <v>398741</v>
      </c>
      <c r="J688">
        <v>67086</v>
      </c>
      <c r="L688" s="2">
        <f t="shared" si="103"/>
        <v>0.14401483812660065</v>
      </c>
      <c r="N688">
        <v>347969</v>
      </c>
      <c r="O688">
        <v>59179</v>
      </c>
      <c r="Q688" s="2">
        <f t="shared" si="104"/>
        <v>0.14535009382337627</v>
      </c>
      <c r="T688">
        <v>352416</v>
      </c>
      <c r="U688">
        <v>60097</v>
      </c>
      <c r="W688" s="2">
        <f t="shared" si="105"/>
        <v>0.14568510568151791</v>
      </c>
      <c r="Z688">
        <f t="shared" si="100"/>
        <v>755870</v>
      </c>
      <c r="AA688">
        <f t="shared" si="101"/>
        <v>135881</v>
      </c>
      <c r="AC688" s="2">
        <f t="shared" si="106"/>
        <v>0.15237549495318761</v>
      </c>
      <c r="AD688" s="2"/>
      <c r="AE688">
        <f t="shared" si="107"/>
        <v>751157</v>
      </c>
      <c r="AF688">
        <f t="shared" si="108"/>
        <v>127183</v>
      </c>
      <c r="AH688" s="2">
        <f t="shared" si="109"/>
        <v>0.14479928046086937</v>
      </c>
      <c r="AI688" s="2"/>
      <c r="AJ688" s="2"/>
    </row>
    <row r="689" spans="2:36" x14ac:dyDescent="0.25">
      <c r="B689" s="1">
        <v>44208</v>
      </c>
      <c r="C689">
        <v>421098</v>
      </c>
      <c r="D689">
        <v>73054</v>
      </c>
      <c r="F689" s="2">
        <f t="shared" si="102"/>
        <v>0.14783710275380854</v>
      </c>
      <c r="I689">
        <v>413104</v>
      </c>
      <c r="J689">
        <v>62960</v>
      </c>
      <c r="L689" s="2">
        <f t="shared" si="103"/>
        <v>0.13225112589903879</v>
      </c>
      <c r="N689">
        <v>371466</v>
      </c>
      <c r="O689">
        <v>56634</v>
      </c>
      <c r="Q689" s="2">
        <f t="shared" si="104"/>
        <v>0.13229152067274003</v>
      </c>
      <c r="T689">
        <v>370912</v>
      </c>
      <c r="U689">
        <v>53604</v>
      </c>
      <c r="W689" s="2">
        <f t="shared" si="105"/>
        <v>0.12627085904889332</v>
      </c>
      <c r="Z689">
        <f t="shared" si="100"/>
        <v>792564</v>
      </c>
      <c r="AA689">
        <f t="shared" si="101"/>
        <v>129688</v>
      </c>
      <c r="AC689" s="2">
        <f t="shared" si="106"/>
        <v>0.14062100163512792</v>
      </c>
      <c r="AD689" s="2"/>
      <c r="AE689">
        <f t="shared" si="107"/>
        <v>784016</v>
      </c>
      <c r="AF689">
        <f t="shared" si="108"/>
        <v>116564</v>
      </c>
      <c r="AH689" s="2">
        <f t="shared" si="109"/>
        <v>0.12943214372959649</v>
      </c>
      <c r="AI689" s="2"/>
      <c r="AJ689" s="2"/>
    </row>
    <row r="690" spans="2:36" x14ac:dyDescent="0.25">
      <c r="B690" s="1">
        <v>44215</v>
      </c>
      <c r="C690">
        <v>414975</v>
      </c>
      <c r="D690">
        <v>70266</v>
      </c>
      <c r="F690" s="2">
        <f t="shared" si="102"/>
        <v>0.14480639517270799</v>
      </c>
      <c r="I690">
        <v>414456</v>
      </c>
      <c r="J690">
        <v>59536</v>
      </c>
      <c r="L690" s="2">
        <f t="shared" si="103"/>
        <v>0.12560549545140001</v>
      </c>
      <c r="N690">
        <v>367934</v>
      </c>
      <c r="O690">
        <v>58573</v>
      </c>
      <c r="Q690" s="2">
        <f t="shared" si="104"/>
        <v>0.13733186090732391</v>
      </c>
      <c r="T690">
        <v>367270</v>
      </c>
      <c r="U690">
        <v>53097</v>
      </c>
      <c r="W690" s="2">
        <f t="shared" si="105"/>
        <v>0.12631105676706306</v>
      </c>
      <c r="Z690">
        <f t="shared" si="100"/>
        <v>782909</v>
      </c>
      <c r="AA690">
        <f t="shared" si="101"/>
        <v>128839</v>
      </c>
      <c r="AC690" s="2">
        <f t="shared" si="106"/>
        <v>0.14130987948424345</v>
      </c>
      <c r="AD690" s="2"/>
      <c r="AE690">
        <f t="shared" si="107"/>
        <v>781726</v>
      </c>
      <c r="AF690">
        <f t="shared" si="108"/>
        <v>112633</v>
      </c>
      <c r="AH690" s="2">
        <f t="shared" si="109"/>
        <v>0.12593712368299531</v>
      </c>
      <c r="AI690" s="2"/>
      <c r="AJ690" s="2"/>
    </row>
    <row r="691" spans="2:36" x14ac:dyDescent="0.25">
      <c r="B691" s="1">
        <v>44222</v>
      </c>
      <c r="C691">
        <v>414159</v>
      </c>
      <c r="D691">
        <v>77918</v>
      </c>
      <c r="F691" s="2">
        <f t="shared" si="102"/>
        <v>0.15834513704156056</v>
      </c>
      <c r="I691">
        <v>413965</v>
      </c>
      <c r="J691">
        <v>71264</v>
      </c>
      <c r="L691" s="2">
        <f t="shared" si="103"/>
        <v>0.14686673714885137</v>
      </c>
      <c r="N691">
        <v>388294</v>
      </c>
      <c r="O691">
        <v>56116</v>
      </c>
      <c r="Q691" s="2">
        <f t="shared" si="104"/>
        <v>0.1262707859859139</v>
      </c>
      <c r="T691">
        <v>391656</v>
      </c>
      <c r="U691">
        <v>53503</v>
      </c>
      <c r="W691" s="2">
        <f t="shared" si="105"/>
        <v>0.12018851691193484</v>
      </c>
      <c r="Z691">
        <f t="shared" si="100"/>
        <v>802453</v>
      </c>
      <c r="AA691">
        <f t="shared" si="101"/>
        <v>134034</v>
      </c>
      <c r="AC691" s="2">
        <f t="shared" si="106"/>
        <v>0.143124250523499</v>
      </c>
      <c r="AD691" s="2"/>
      <c r="AE691">
        <f t="shared" si="107"/>
        <v>805621</v>
      </c>
      <c r="AF691">
        <f t="shared" si="108"/>
        <v>124767</v>
      </c>
      <c r="AH691" s="2">
        <f t="shared" si="109"/>
        <v>0.13410211653632678</v>
      </c>
      <c r="AI691" s="2"/>
      <c r="AJ691" s="2"/>
    </row>
    <row r="692" spans="2:36" x14ac:dyDescent="0.25">
      <c r="B692" s="1">
        <v>44229</v>
      </c>
      <c r="C692">
        <v>422487</v>
      </c>
      <c r="D692">
        <v>77254</v>
      </c>
      <c r="F692" s="2">
        <f t="shared" si="102"/>
        <v>0.15458807662369106</v>
      </c>
      <c r="I692">
        <v>419808</v>
      </c>
      <c r="J692">
        <v>67109</v>
      </c>
      <c r="L692" s="2">
        <f t="shared" si="103"/>
        <v>0.13782431091952016</v>
      </c>
      <c r="N692">
        <v>388341</v>
      </c>
      <c r="O692">
        <v>49049</v>
      </c>
      <c r="Q692" s="2">
        <f t="shared" si="104"/>
        <v>0.1121401952490912</v>
      </c>
      <c r="T692">
        <v>397270</v>
      </c>
      <c r="U692">
        <v>51217</v>
      </c>
      <c r="W692" s="2">
        <f t="shared" si="105"/>
        <v>0.11419951971852027</v>
      </c>
      <c r="Z692">
        <f t="shared" si="100"/>
        <v>810828</v>
      </c>
      <c r="AA692">
        <f t="shared" si="101"/>
        <v>126303</v>
      </c>
      <c r="AC692" s="2">
        <f t="shared" si="106"/>
        <v>0.13477624793118573</v>
      </c>
      <c r="AD692" s="2"/>
      <c r="AE692">
        <f t="shared" si="107"/>
        <v>817078</v>
      </c>
      <c r="AF692">
        <f t="shared" si="108"/>
        <v>118326</v>
      </c>
      <c r="AH692" s="2">
        <f t="shared" si="109"/>
        <v>0.12649721403799855</v>
      </c>
      <c r="AI692" s="2"/>
      <c r="AJ692" s="2"/>
    </row>
    <row r="693" spans="2:36" x14ac:dyDescent="0.25">
      <c r="B693" s="1">
        <v>44236</v>
      </c>
      <c r="C693">
        <v>436352</v>
      </c>
      <c r="D693">
        <v>66871</v>
      </c>
      <c r="F693" s="2">
        <f t="shared" si="102"/>
        <v>0.13288542057894809</v>
      </c>
      <c r="I693">
        <v>432957</v>
      </c>
      <c r="J693">
        <v>53087</v>
      </c>
      <c r="L693" s="2">
        <f t="shared" si="103"/>
        <v>0.10922262182024672</v>
      </c>
      <c r="N693">
        <v>395353</v>
      </c>
      <c r="O693">
        <v>53364</v>
      </c>
      <c r="Q693" s="2">
        <f t="shared" si="104"/>
        <v>0.11892573715727285</v>
      </c>
      <c r="T693">
        <v>404969</v>
      </c>
      <c r="U693">
        <v>57317</v>
      </c>
      <c r="W693" s="2">
        <f t="shared" si="105"/>
        <v>0.12398601731395716</v>
      </c>
      <c r="Z693">
        <f t="shared" si="100"/>
        <v>831705</v>
      </c>
      <c r="AA693">
        <f t="shared" si="101"/>
        <v>120235</v>
      </c>
      <c r="AC693" s="2">
        <f t="shared" si="106"/>
        <v>0.12630522932117572</v>
      </c>
      <c r="AD693" s="2"/>
      <c r="AE693">
        <f t="shared" si="107"/>
        <v>837926</v>
      </c>
      <c r="AF693">
        <f t="shared" si="108"/>
        <v>110404</v>
      </c>
      <c r="AH693" s="2">
        <f t="shared" si="109"/>
        <v>0.11641938987483261</v>
      </c>
      <c r="AI693" s="2"/>
      <c r="AJ693" s="2"/>
    </row>
    <row r="694" spans="2:36" x14ac:dyDescent="0.25">
      <c r="B694" s="1">
        <v>44243</v>
      </c>
      <c r="C694">
        <v>434675</v>
      </c>
      <c r="D694">
        <v>55703</v>
      </c>
      <c r="F694" s="2">
        <f t="shared" si="102"/>
        <v>0.11359196375041294</v>
      </c>
      <c r="I694">
        <v>431337</v>
      </c>
      <c r="J694">
        <v>41445</v>
      </c>
      <c r="L694" s="2">
        <f t="shared" si="103"/>
        <v>8.7661966826148199E-2</v>
      </c>
      <c r="N694">
        <v>404755</v>
      </c>
      <c r="O694">
        <v>59937</v>
      </c>
      <c r="Q694" s="2">
        <f t="shared" si="104"/>
        <v>0.12898220756974513</v>
      </c>
      <c r="T694">
        <v>412560</v>
      </c>
      <c r="U694">
        <v>65028</v>
      </c>
      <c r="W694" s="2">
        <f t="shared" si="105"/>
        <v>0.136159199979899</v>
      </c>
      <c r="Z694">
        <f t="shared" si="100"/>
        <v>839430</v>
      </c>
      <c r="AA694">
        <f t="shared" si="101"/>
        <v>115640</v>
      </c>
      <c r="AC694" s="2">
        <f t="shared" si="106"/>
        <v>0.12108013025223283</v>
      </c>
      <c r="AD694" s="2"/>
      <c r="AE694">
        <f t="shared" si="107"/>
        <v>843897</v>
      </c>
      <c r="AF694">
        <f t="shared" si="108"/>
        <v>106473</v>
      </c>
      <c r="AH694" s="2">
        <f t="shared" si="109"/>
        <v>0.11203320811894314</v>
      </c>
      <c r="AI694" s="2"/>
      <c r="AJ694" s="2"/>
    </row>
    <row r="695" spans="2:36" x14ac:dyDescent="0.25">
      <c r="B695" s="1">
        <v>44250</v>
      </c>
      <c r="C695">
        <v>423837</v>
      </c>
      <c r="D695">
        <v>59607</v>
      </c>
      <c r="F695" s="2">
        <f t="shared" si="102"/>
        <v>0.12329659691711967</v>
      </c>
      <c r="I695">
        <v>431756</v>
      </c>
      <c r="J695">
        <v>44901</v>
      </c>
      <c r="L695" s="2">
        <f t="shared" si="103"/>
        <v>9.4199812443748865E-2</v>
      </c>
      <c r="N695">
        <v>410050</v>
      </c>
      <c r="O695">
        <v>64375</v>
      </c>
      <c r="Q695" s="2">
        <f t="shared" si="104"/>
        <v>0.13569057279865099</v>
      </c>
      <c r="T695">
        <v>414238</v>
      </c>
      <c r="U695">
        <v>65454</v>
      </c>
      <c r="W695" s="2">
        <f t="shared" si="105"/>
        <v>0.13645005545224853</v>
      </c>
      <c r="Z695">
        <f t="shared" si="100"/>
        <v>833887</v>
      </c>
      <c r="AA695">
        <f t="shared" si="101"/>
        <v>123982</v>
      </c>
      <c r="AC695" s="2">
        <f t="shared" si="106"/>
        <v>0.12943523592474546</v>
      </c>
      <c r="AD695" s="2"/>
      <c r="AE695">
        <f t="shared" si="107"/>
        <v>845994</v>
      </c>
      <c r="AF695">
        <f t="shared" si="108"/>
        <v>110355</v>
      </c>
      <c r="AH695" s="2">
        <f t="shared" si="109"/>
        <v>0.11539197510532243</v>
      </c>
      <c r="AI695" s="2"/>
      <c r="AJ695" s="2"/>
    </row>
    <row r="696" spans="2:36" x14ac:dyDescent="0.25">
      <c r="B696" s="1">
        <v>44257</v>
      </c>
      <c r="C696">
        <v>430087</v>
      </c>
      <c r="D696">
        <v>66696</v>
      </c>
      <c r="F696" s="2">
        <f t="shared" si="102"/>
        <v>0.13425580182896757</v>
      </c>
      <c r="I696">
        <v>431395</v>
      </c>
      <c r="J696">
        <v>48332</v>
      </c>
      <c r="L696" s="2">
        <f t="shared" si="103"/>
        <v>0.10074896764201306</v>
      </c>
      <c r="N696">
        <v>408423</v>
      </c>
      <c r="O696">
        <v>64070</v>
      </c>
      <c r="Q696" s="2">
        <f t="shared" si="104"/>
        <v>0.13559989248517967</v>
      </c>
      <c r="T696">
        <v>408886</v>
      </c>
      <c r="U696">
        <v>63911</v>
      </c>
      <c r="W696" s="2">
        <f t="shared" si="105"/>
        <v>0.13517640763372019</v>
      </c>
      <c r="Z696">
        <f t="shared" si="100"/>
        <v>838510</v>
      </c>
      <c r="AA696">
        <f t="shared" si="101"/>
        <v>130766</v>
      </c>
      <c r="AC696" s="2">
        <f t="shared" si="106"/>
        <v>0.13491100574036705</v>
      </c>
      <c r="AD696" s="2"/>
      <c r="AE696">
        <f t="shared" si="107"/>
        <v>840281</v>
      </c>
      <c r="AF696">
        <f t="shared" si="108"/>
        <v>112243</v>
      </c>
      <c r="AH696" s="2">
        <f t="shared" si="109"/>
        <v>0.1178374508148876</v>
      </c>
      <c r="AI696" s="2"/>
      <c r="AJ696" s="2"/>
    </row>
    <row r="697" spans="2:36" x14ac:dyDescent="0.25">
      <c r="B697" s="1">
        <v>44264</v>
      </c>
      <c r="C697">
        <v>420512</v>
      </c>
      <c r="D697">
        <v>56366</v>
      </c>
      <c r="F697" s="2">
        <f t="shared" si="102"/>
        <v>0.11819794580584551</v>
      </c>
      <c r="I697">
        <v>432715</v>
      </c>
      <c r="J697">
        <v>42027</v>
      </c>
      <c r="L697" s="2">
        <f t="shared" si="103"/>
        <v>8.8525978320856374E-2</v>
      </c>
      <c r="N697">
        <v>402018</v>
      </c>
      <c r="O697">
        <v>61797</v>
      </c>
      <c r="Q697" s="2">
        <f t="shared" si="104"/>
        <v>0.13323631189159471</v>
      </c>
      <c r="T697">
        <v>407172</v>
      </c>
      <c r="U697">
        <v>67013</v>
      </c>
      <c r="W697" s="2">
        <f t="shared" si="105"/>
        <v>0.14132247962293198</v>
      </c>
      <c r="Z697">
        <f t="shared" si="100"/>
        <v>822530</v>
      </c>
      <c r="AA697">
        <f t="shared" si="101"/>
        <v>118163</v>
      </c>
      <c r="AC697" s="2">
        <f t="shared" si="106"/>
        <v>0.12561271318060196</v>
      </c>
      <c r="AD697" s="2"/>
      <c r="AE697">
        <f t="shared" si="107"/>
        <v>839887</v>
      </c>
      <c r="AF697">
        <f t="shared" si="108"/>
        <v>109040</v>
      </c>
      <c r="AH697" s="2">
        <f t="shared" si="109"/>
        <v>0.11490873375928812</v>
      </c>
      <c r="AI697" s="2"/>
      <c r="AJ697" s="2"/>
    </row>
    <row r="698" spans="2:36" x14ac:dyDescent="0.25">
      <c r="B698" s="1">
        <v>44271</v>
      </c>
      <c r="C698">
        <v>417412</v>
      </c>
      <c r="D698">
        <v>54979</v>
      </c>
      <c r="F698" s="2">
        <f t="shared" si="102"/>
        <v>0.11638452045022027</v>
      </c>
      <c r="I698">
        <v>433810</v>
      </c>
      <c r="J698">
        <v>40791</v>
      </c>
      <c r="L698" s="2">
        <f t="shared" si="103"/>
        <v>8.5947985781740871E-2</v>
      </c>
      <c r="N698">
        <v>407429</v>
      </c>
      <c r="O698">
        <v>72999</v>
      </c>
      <c r="Q698" s="2">
        <f t="shared" si="104"/>
        <v>0.15194576502618498</v>
      </c>
      <c r="T698">
        <v>412478</v>
      </c>
      <c r="U698">
        <v>78075</v>
      </c>
      <c r="W698" s="2">
        <f t="shared" si="105"/>
        <v>0.15915711452177442</v>
      </c>
      <c r="Z698">
        <f t="shared" si="100"/>
        <v>824841</v>
      </c>
      <c r="AA698">
        <f t="shared" si="101"/>
        <v>127978</v>
      </c>
      <c r="AC698" s="2">
        <f t="shared" si="106"/>
        <v>0.13431512175974661</v>
      </c>
      <c r="AD698" s="2"/>
      <c r="AE698">
        <f t="shared" si="107"/>
        <v>846288</v>
      </c>
      <c r="AF698">
        <f t="shared" si="108"/>
        <v>118866</v>
      </c>
      <c r="AH698" s="2">
        <f t="shared" si="109"/>
        <v>0.12315754791463331</v>
      </c>
      <c r="AI698" s="2"/>
      <c r="AJ698" s="2"/>
    </row>
    <row r="699" spans="2:36" x14ac:dyDescent="0.25">
      <c r="B699" s="1">
        <v>44278</v>
      </c>
      <c r="C699">
        <v>408942</v>
      </c>
      <c r="D699">
        <v>55578</v>
      </c>
      <c r="F699" s="2">
        <f t="shared" si="102"/>
        <v>0.11964608628261431</v>
      </c>
      <c r="I699">
        <v>419766</v>
      </c>
      <c r="J699">
        <v>43525</v>
      </c>
      <c r="L699" s="2">
        <f t="shared" si="103"/>
        <v>9.3947432607151882E-2</v>
      </c>
      <c r="N699">
        <v>372609</v>
      </c>
      <c r="O699">
        <v>88886</v>
      </c>
      <c r="Q699" s="2">
        <f t="shared" si="104"/>
        <v>0.19260447025428229</v>
      </c>
      <c r="T699">
        <v>375828</v>
      </c>
      <c r="U699">
        <v>92898</v>
      </c>
      <c r="W699" s="2">
        <f t="shared" si="105"/>
        <v>0.19819254745842987</v>
      </c>
      <c r="Z699">
        <f t="shared" si="100"/>
        <v>781551</v>
      </c>
      <c r="AA699">
        <f t="shared" si="101"/>
        <v>144464</v>
      </c>
      <c r="AC699" s="2">
        <f t="shared" si="106"/>
        <v>0.15600611221200519</v>
      </c>
      <c r="AD699" s="2"/>
      <c r="AE699">
        <f t="shared" si="107"/>
        <v>795594</v>
      </c>
      <c r="AF699">
        <f t="shared" si="108"/>
        <v>136423</v>
      </c>
      <c r="AH699" s="2">
        <f t="shared" si="109"/>
        <v>0.14637393953114589</v>
      </c>
      <c r="AI699" s="2"/>
      <c r="AJ699" s="2"/>
    </row>
    <row r="700" spans="2:36" x14ac:dyDescent="0.25">
      <c r="B700" s="1">
        <v>44285</v>
      </c>
      <c r="C700">
        <v>400868</v>
      </c>
      <c r="D700">
        <v>44950</v>
      </c>
      <c r="F700" s="2">
        <f t="shared" si="102"/>
        <v>0.10082589756357975</v>
      </c>
      <c r="I700">
        <v>417150</v>
      </c>
      <c r="J700">
        <v>35546</v>
      </c>
      <c r="L700" s="2">
        <f t="shared" si="103"/>
        <v>7.8520684962977358E-2</v>
      </c>
      <c r="N700">
        <v>375800</v>
      </c>
      <c r="O700">
        <v>84555</v>
      </c>
      <c r="Q700" s="2">
        <f t="shared" si="104"/>
        <v>0.18367346938775511</v>
      </c>
      <c r="T700">
        <v>373755</v>
      </c>
      <c r="U700">
        <v>83976</v>
      </c>
      <c r="W700" s="2">
        <f t="shared" si="105"/>
        <v>0.18346146535847474</v>
      </c>
      <c r="Z700">
        <f t="shared" si="100"/>
        <v>776668</v>
      </c>
      <c r="AA700">
        <f t="shared" si="101"/>
        <v>129505</v>
      </c>
      <c r="AC700" s="2">
        <f t="shared" si="106"/>
        <v>0.14291421174543933</v>
      </c>
      <c r="AD700" s="2"/>
      <c r="AE700">
        <f t="shared" si="107"/>
        <v>790905</v>
      </c>
      <c r="AF700">
        <f t="shared" si="108"/>
        <v>119522</v>
      </c>
      <c r="AH700" s="2">
        <f t="shared" si="109"/>
        <v>0.13128125593814771</v>
      </c>
      <c r="AI700" s="2"/>
      <c r="AJ700" s="2"/>
    </row>
    <row r="701" spans="2:36" x14ac:dyDescent="0.25">
      <c r="B701" s="1">
        <v>44292</v>
      </c>
      <c r="C701">
        <v>377544</v>
      </c>
      <c r="D701">
        <v>43151</v>
      </c>
      <c r="F701" s="2">
        <f t="shared" si="102"/>
        <v>0.10257074602740703</v>
      </c>
      <c r="I701">
        <v>395047</v>
      </c>
      <c r="J701">
        <v>34400</v>
      </c>
      <c r="L701" s="2">
        <f t="shared" si="103"/>
        <v>8.0103016204560742E-2</v>
      </c>
      <c r="N701">
        <v>355546</v>
      </c>
      <c r="O701">
        <v>86248</v>
      </c>
      <c r="Q701" s="2">
        <f t="shared" si="104"/>
        <v>0.19522220763523271</v>
      </c>
      <c r="T701">
        <v>355296</v>
      </c>
      <c r="U701">
        <v>85795</v>
      </c>
      <c r="W701" s="2">
        <f t="shared" si="105"/>
        <v>0.19450634903001876</v>
      </c>
      <c r="Z701">
        <f t="shared" si="100"/>
        <v>733090</v>
      </c>
      <c r="AA701">
        <f t="shared" si="101"/>
        <v>129399</v>
      </c>
      <c r="AC701" s="2">
        <f t="shared" si="106"/>
        <v>0.15002973950972129</v>
      </c>
      <c r="AD701" s="2"/>
      <c r="AE701">
        <f t="shared" si="107"/>
        <v>750343</v>
      </c>
      <c r="AF701">
        <f t="shared" si="108"/>
        <v>120195</v>
      </c>
      <c r="AH701" s="2">
        <f t="shared" si="109"/>
        <v>0.13806979132444536</v>
      </c>
      <c r="AI701" s="2"/>
      <c r="AJ701" s="2"/>
    </row>
    <row r="702" spans="2:36" x14ac:dyDescent="0.25">
      <c r="B702" s="1">
        <v>44299</v>
      </c>
      <c r="C702">
        <v>390723</v>
      </c>
      <c r="D702">
        <v>47132</v>
      </c>
      <c r="F702" s="2">
        <f t="shared" si="102"/>
        <v>0.10764294115631887</v>
      </c>
      <c r="I702">
        <v>405761</v>
      </c>
      <c r="J702">
        <v>36840</v>
      </c>
      <c r="L702" s="2">
        <f t="shared" si="103"/>
        <v>8.3235238962406324E-2</v>
      </c>
      <c r="N702">
        <v>369057</v>
      </c>
      <c r="O702">
        <v>78566</v>
      </c>
      <c r="Q702" s="2">
        <f t="shared" si="104"/>
        <v>0.17551823744535022</v>
      </c>
      <c r="T702">
        <v>371212</v>
      </c>
      <c r="U702">
        <v>79057</v>
      </c>
      <c r="W702" s="2">
        <f t="shared" si="105"/>
        <v>0.17557726603430393</v>
      </c>
      <c r="Z702">
        <f t="shared" si="100"/>
        <v>759780</v>
      </c>
      <c r="AA702">
        <f t="shared" si="101"/>
        <v>125698</v>
      </c>
      <c r="AC702" s="2">
        <f t="shared" si="106"/>
        <v>0.14195496669595406</v>
      </c>
      <c r="AD702" s="2"/>
      <c r="AE702">
        <f t="shared" si="107"/>
        <v>776973</v>
      </c>
      <c r="AF702">
        <f t="shared" si="108"/>
        <v>115897</v>
      </c>
      <c r="AH702" s="2">
        <f t="shared" si="109"/>
        <v>0.12980277084009989</v>
      </c>
      <c r="AI702" s="2"/>
      <c r="AJ702" s="2"/>
    </row>
    <row r="703" spans="2:36" x14ac:dyDescent="0.25">
      <c r="B703" s="1">
        <v>44306</v>
      </c>
      <c r="C703">
        <v>395792</v>
      </c>
      <c r="D703">
        <v>58051</v>
      </c>
      <c r="F703" s="2">
        <f t="shared" si="102"/>
        <v>0.12790987191605907</v>
      </c>
      <c r="I703">
        <v>411861</v>
      </c>
      <c r="J703">
        <v>47395</v>
      </c>
      <c r="L703" s="2">
        <f t="shared" si="103"/>
        <v>0.10319952270629017</v>
      </c>
      <c r="N703">
        <v>384255</v>
      </c>
      <c r="O703">
        <v>81683</v>
      </c>
      <c r="Q703" s="2">
        <f t="shared" si="104"/>
        <v>0.17530873206306419</v>
      </c>
      <c r="T703">
        <v>387074</v>
      </c>
      <c r="U703">
        <v>81330</v>
      </c>
      <c r="W703" s="2">
        <f t="shared" si="105"/>
        <v>0.17363216368775672</v>
      </c>
      <c r="Z703">
        <f t="shared" si="100"/>
        <v>780047</v>
      </c>
      <c r="AA703">
        <f t="shared" si="101"/>
        <v>139734</v>
      </c>
      <c r="AC703" s="2">
        <f t="shared" si="106"/>
        <v>0.1519209463991972</v>
      </c>
      <c r="AD703" s="2"/>
      <c r="AE703">
        <f t="shared" si="107"/>
        <v>798935</v>
      </c>
      <c r="AF703">
        <f t="shared" si="108"/>
        <v>128725</v>
      </c>
      <c r="AH703" s="2">
        <f t="shared" si="109"/>
        <v>0.13876312442058514</v>
      </c>
      <c r="AI703" s="2"/>
      <c r="AJ703" s="2"/>
    </row>
    <row r="704" spans="2:36" x14ac:dyDescent="0.25">
      <c r="B704" s="1">
        <v>44313</v>
      </c>
      <c r="C704">
        <v>397664</v>
      </c>
      <c r="D704">
        <v>52727</v>
      </c>
      <c r="F704" s="2">
        <f t="shared" si="102"/>
        <v>0.11706939081820018</v>
      </c>
      <c r="I704">
        <v>415600</v>
      </c>
      <c r="J704">
        <v>43322</v>
      </c>
      <c r="L704" s="2">
        <f t="shared" si="103"/>
        <v>9.4399484008175688E-2</v>
      </c>
      <c r="N704">
        <v>381858</v>
      </c>
      <c r="O704">
        <v>88136</v>
      </c>
      <c r="Q704" s="2">
        <f t="shared" si="104"/>
        <v>0.18752579820167917</v>
      </c>
      <c r="T704">
        <v>391604</v>
      </c>
      <c r="U704">
        <v>86505</v>
      </c>
      <c r="W704" s="2">
        <f t="shared" si="105"/>
        <v>0.1809315448987574</v>
      </c>
      <c r="Z704">
        <f t="shared" si="100"/>
        <v>779522</v>
      </c>
      <c r="AA704">
        <f t="shared" si="101"/>
        <v>140863</v>
      </c>
      <c r="AC704" s="2">
        <f t="shared" si="106"/>
        <v>0.15304790929882603</v>
      </c>
      <c r="AD704" s="2"/>
      <c r="AE704">
        <f t="shared" si="107"/>
        <v>807204</v>
      </c>
      <c r="AF704">
        <f t="shared" si="108"/>
        <v>129827</v>
      </c>
      <c r="AH704" s="2">
        <f t="shared" si="109"/>
        <v>0.13855144600338729</v>
      </c>
      <c r="AI704" s="2"/>
      <c r="AJ704" s="2"/>
    </row>
    <row r="705" spans="2:36" x14ac:dyDescent="0.25">
      <c r="B705" s="1">
        <v>44320</v>
      </c>
      <c r="C705">
        <v>409731</v>
      </c>
      <c r="D705">
        <v>54415</v>
      </c>
      <c r="F705" s="2">
        <f t="shared" si="102"/>
        <v>0.11723681772545708</v>
      </c>
      <c r="I705">
        <v>427509</v>
      </c>
      <c r="J705">
        <v>43073</v>
      </c>
      <c r="L705" s="2">
        <f t="shared" si="103"/>
        <v>9.1531337790225722E-2</v>
      </c>
      <c r="N705">
        <v>387192</v>
      </c>
      <c r="O705">
        <v>83272</v>
      </c>
      <c r="Q705" s="2">
        <f t="shared" si="104"/>
        <v>0.17699972792817303</v>
      </c>
      <c r="T705">
        <v>399764</v>
      </c>
      <c r="U705">
        <v>83194</v>
      </c>
      <c r="W705" s="2">
        <f t="shared" si="105"/>
        <v>0.17225928548652264</v>
      </c>
      <c r="Z705">
        <f t="shared" si="100"/>
        <v>796923</v>
      </c>
      <c r="AA705">
        <f t="shared" si="101"/>
        <v>137687</v>
      </c>
      <c r="AC705" s="2">
        <f t="shared" si="106"/>
        <v>0.14732027262708511</v>
      </c>
      <c r="AD705" s="2"/>
      <c r="AE705">
        <f t="shared" si="107"/>
        <v>827273</v>
      </c>
      <c r="AF705">
        <f t="shared" si="108"/>
        <v>126267</v>
      </c>
      <c r="AH705" s="2">
        <f t="shared" si="109"/>
        <v>0.13241919583866435</v>
      </c>
      <c r="AI705" s="2"/>
      <c r="AJ705" s="2"/>
    </row>
    <row r="706" spans="2:36" x14ac:dyDescent="0.25">
      <c r="B706" s="1">
        <v>44327</v>
      </c>
      <c r="C706">
        <v>390384</v>
      </c>
      <c r="D706">
        <v>59364</v>
      </c>
      <c r="F706" s="2">
        <f t="shared" si="102"/>
        <v>0.13199391659329224</v>
      </c>
      <c r="I706">
        <v>409021</v>
      </c>
      <c r="J706">
        <v>48793</v>
      </c>
      <c r="L706" s="2">
        <f t="shared" si="103"/>
        <v>0.1065782173546462</v>
      </c>
      <c r="N706">
        <v>375932</v>
      </c>
      <c r="O706">
        <v>91037</v>
      </c>
      <c r="Q706" s="2">
        <f t="shared" si="104"/>
        <v>0.19495298403105987</v>
      </c>
      <c r="T706">
        <v>385312</v>
      </c>
      <c r="U706">
        <v>89479</v>
      </c>
      <c r="W706" s="2">
        <f t="shared" si="105"/>
        <v>0.18845976440159987</v>
      </c>
      <c r="Z706">
        <f t="shared" si="100"/>
        <v>766316</v>
      </c>
      <c r="AA706">
        <f t="shared" si="101"/>
        <v>150401</v>
      </c>
      <c r="AC706" s="2">
        <f t="shared" si="106"/>
        <v>0.16406480953227659</v>
      </c>
      <c r="AD706" s="2"/>
      <c r="AE706">
        <f t="shared" si="107"/>
        <v>794333</v>
      </c>
      <c r="AF706">
        <f t="shared" si="108"/>
        <v>138272</v>
      </c>
      <c r="AH706" s="2">
        <f t="shared" si="109"/>
        <v>0.14826427051109525</v>
      </c>
      <c r="AI706" s="2"/>
      <c r="AJ706" s="2"/>
    </row>
    <row r="707" spans="2:36" x14ac:dyDescent="0.25">
      <c r="B707" s="1">
        <v>44334</v>
      </c>
      <c r="C707">
        <v>370034</v>
      </c>
      <c r="D707">
        <v>55200</v>
      </c>
      <c r="F707" s="2">
        <f t="shared" si="102"/>
        <v>0.12981088059750631</v>
      </c>
      <c r="I707">
        <v>392320</v>
      </c>
      <c r="J707">
        <v>44491</v>
      </c>
      <c r="L707" s="2">
        <f t="shared" si="103"/>
        <v>0.1018541199740849</v>
      </c>
      <c r="N707">
        <v>368115</v>
      </c>
      <c r="O707">
        <v>97307</v>
      </c>
      <c r="Q707" s="2">
        <f t="shared" si="104"/>
        <v>0.20907262656256043</v>
      </c>
      <c r="T707">
        <v>381189</v>
      </c>
      <c r="U707">
        <v>95189</v>
      </c>
      <c r="W707" s="2">
        <f t="shared" si="105"/>
        <v>0.19981821158827653</v>
      </c>
      <c r="Z707">
        <f t="shared" si="100"/>
        <v>738149</v>
      </c>
      <c r="AA707">
        <f t="shared" si="101"/>
        <v>152507</v>
      </c>
      <c r="AC707" s="2">
        <f t="shared" si="106"/>
        <v>0.17122996981999786</v>
      </c>
      <c r="AD707" s="2"/>
      <c r="AE707">
        <f t="shared" si="107"/>
        <v>773509</v>
      </c>
      <c r="AF707">
        <f t="shared" si="108"/>
        <v>139680</v>
      </c>
      <c r="AH707" s="2">
        <f t="shared" si="109"/>
        <v>0.15295847847488309</v>
      </c>
      <c r="AI707" s="2"/>
      <c r="AJ707" s="2"/>
    </row>
    <row r="708" spans="2:36" x14ac:dyDescent="0.25">
      <c r="B708" s="1">
        <v>44341</v>
      </c>
      <c r="C708">
        <v>387043</v>
      </c>
      <c r="D708">
        <v>60769</v>
      </c>
      <c r="F708" s="2">
        <f t="shared" si="102"/>
        <v>0.13570203567568534</v>
      </c>
      <c r="I708">
        <v>410240</v>
      </c>
      <c r="J708">
        <v>44385</v>
      </c>
      <c r="L708" s="2">
        <f t="shared" si="103"/>
        <v>9.7629914764916143E-2</v>
      </c>
      <c r="N708">
        <v>350503</v>
      </c>
      <c r="O708">
        <v>103346</v>
      </c>
      <c r="Q708" s="2">
        <f t="shared" si="104"/>
        <v>0.22771009741125353</v>
      </c>
      <c r="T708">
        <v>362727</v>
      </c>
      <c r="U708">
        <v>104275</v>
      </c>
      <c r="W708" s="2">
        <f t="shared" si="105"/>
        <v>0.22328598164461821</v>
      </c>
      <c r="Z708">
        <f t="shared" si="100"/>
        <v>737546</v>
      </c>
      <c r="AA708">
        <f t="shared" si="101"/>
        <v>164115</v>
      </c>
      <c r="AC708" s="2">
        <f t="shared" si="106"/>
        <v>0.18201408289811802</v>
      </c>
      <c r="AD708" s="2"/>
      <c r="AE708">
        <f t="shared" si="107"/>
        <v>772967</v>
      </c>
      <c r="AF708">
        <f t="shared" si="108"/>
        <v>148660</v>
      </c>
      <c r="AH708" s="2">
        <f t="shared" si="109"/>
        <v>0.16130169797542823</v>
      </c>
      <c r="AI708" s="2"/>
      <c r="AJ708" s="2"/>
    </row>
    <row r="709" spans="2:36" x14ac:dyDescent="0.25">
      <c r="B709" s="1">
        <v>44348</v>
      </c>
      <c r="C709">
        <v>403072</v>
      </c>
      <c r="D709">
        <v>57026</v>
      </c>
      <c r="F709" s="2">
        <f t="shared" si="102"/>
        <v>0.123943159935492</v>
      </c>
      <c r="I709">
        <v>424289</v>
      </c>
      <c r="J709">
        <v>42050</v>
      </c>
      <c r="L709" s="2">
        <f t="shared" si="103"/>
        <v>9.0170455398326105E-2</v>
      </c>
      <c r="N709">
        <v>362095</v>
      </c>
      <c r="O709">
        <v>105146</v>
      </c>
      <c r="Q709" s="2">
        <f t="shared" si="104"/>
        <v>0.22503590224316788</v>
      </c>
      <c r="T709">
        <v>374269</v>
      </c>
      <c r="U709">
        <v>106987</v>
      </c>
      <c r="W709" s="2">
        <f t="shared" si="105"/>
        <v>0.2223078777199661</v>
      </c>
      <c r="Z709">
        <f t="shared" si="100"/>
        <v>765167</v>
      </c>
      <c r="AA709">
        <f t="shared" si="101"/>
        <v>162172</v>
      </c>
      <c r="AC709" s="2">
        <f t="shared" si="106"/>
        <v>0.17487887385303541</v>
      </c>
      <c r="AD709" s="2"/>
      <c r="AE709">
        <f t="shared" si="107"/>
        <v>798558</v>
      </c>
      <c r="AF709">
        <f t="shared" si="108"/>
        <v>149037</v>
      </c>
      <c r="AH709" s="2">
        <f t="shared" si="109"/>
        <v>0.1572792173871749</v>
      </c>
      <c r="AI709" s="2"/>
      <c r="AJ709" s="2"/>
    </row>
    <row r="710" spans="2:36" x14ac:dyDescent="0.25">
      <c r="B710" s="1">
        <v>44355</v>
      </c>
      <c r="C710">
        <v>416686</v>
      </c>
      <c r="D710">
        <v>45277</v>
      </c>
      <c r="F710" s="2">
        <f t="shared" si="102"/>
        <v>9.8010013788983094E-2</v>
      </c>
      <c r="I710">
        <v>439921</v>
      </c>
      <c r="J710">
        <v>29829</v>
      </c>
      <c r="L710" s="2">
        <f t="shared" si="103"/>
        <v>6.3499733901011171E-2</v>
      </c>
      <c r="N710">
        <v>376909</v>
      </c>
      <c r="O710">
        <v>98675</v>
      </c>
      <c r="Q710" s="2">
        <f t="shared" si="104"/>
        <v>0.20748174875521463</v>
      </c>
      <c r="T710">
        <v>394065</v>
      </c>
      <c r="U710">
        <v>103320</v>
      </c>
      <c r="W710" s="2">
        <f t="shared" si="105"/>
        <v>0.207726409119696</v>
      </c>
      <c r="Z710">
        <f t="shared" si="100"/>
        <v>793595</v>
      </c>
      <c r="AA710">
        <f t="shared" si="101"/>
        <v>143952</v>
      </c>
      <c r="AC710" s="2">
        <f t="shared" si="106"/>
        <v>0.15354110247272937</v>
      </c>
      <c r="AD710" s="2"/>
      <c r="AE710">
        <f t="shared" si="107"/>
        <v>833986</v>
      </c>
      <c r="AF710">
        <f t="shared" si="108"/>
        <v>133149</v>
      </c>
      <c r="AH710" s="2">
        <f t="shared" si="109"/>
        <v>0.13767364432059639</v>
      </c>
      <c r="AI710" s="2"/>
      <c r="AJ710" s="2"/>
    </row>
    <row r="711" spans="2:36" x14ac:dyDescent="0.25">
      <c r="B711" s="1">
        <v>44362</v>
      </c>
      <c r="C711">
        <v>418130</v>
      </c>
      <c r="D711">
        <v>35519</v>
      </c>
      <c r="F711" s="2">
        <f t="shared" si="102"/>
        <v>7.8296215796794438E-2</v>
      </c>
      <c r="I711">
        <v>443950</v>
      </c>
      <c r="J711">
        <v>19441</v>
      </c>
      <c r="L711" s="2">
        <f t="shared" si="103"/>
        <v>4.1953771221279655E-2</v>
      </c>
      <c r="N711">
        <v>393775</v>
      </c>
      <c r="O711">
        <v>97460</v>
      </c>
      <c r="Q711" s="2">
        <f t="shared" si="104"/>
        <v>0.19839791545797836</v>
      </c>
      <c r="T711">
        <v>413200</v>
      </c>
      <c r="U711">
        <v>100934</v>
      </c>
      <c r="W711" s="2">
        <f t="shared" si="105"/>
        <v>0.19631846950405926</v>
      </c>
      <c r="Z711">
        <f t="shared" si="100"/>
        <v>811905</v>
      </c>
      <c r="AA711">
        <f t="shared" si="101"/>
        <v>132979</v>
      </c>
      <c r="AC711" s="2">
        <f t="shared" si="106"/>
        <v>0.14073579402339334</v>
      </c>
      <c r="AD711" s="2"/>
      <c r="AE711">
        <f t="shared" si="107"/>
        <v>857150</v>
      </c>
      <c r="AF711">
        <f t="shared" si="108"/>
        <v>120375</v>
      </c>
      <c r="AH711" s="2">
        <f t="shared" si="109"/>
        <v>0.12314263062325771</v>
      </c>
      <c r="AI711" s="2"/>
      <c r="AJ711" s="2"/>
    </row>
    <row r="712" spans="2:36" x14ac:dyDescent="0.25">
      <c r="B712" s="1">
        <v>44369</v>
      </c>
      <c r="C712">
        <v>423778</v>
      </c>
      <c r="D712">
        <v>49381</v>
      </c>
      <c r="F712" s="2">
        <f t="shared" si="102"/>
        <v>0.10436449481041257</v>
      </c>
      <c r="I712">
        <v>447183</v>
      </c>
      <c r="J712">
        <v>25426</v>
      </c>
      <c r="L712" s="2">
        <f t="shared" si="103"/>
        <v>5.3799229384120913E-2</v>
      </c>
      <c r="N712">
        <v>393072</v>
      </c>
      <c r="O712">
        <v>102910</v>
      </c>
      <c r="Q712" s="2">
        <f t="shared" si="104"/>
        <v>0.20748736849321145</v>
      </c>
      <c r="T712">
        <v>416126</v>
      </c>
      <c r="U712">
        <v>106394</v>
      </c>
      <c r="W712" s="2">
        <f t="shared" si="105"/>
        <v>0.2036170864273138</v>
      </c>
      <c r="Z712">
        <f t="shared" si="100"/>
        <v>816850</v>
      </c>
      <c r="AA712">
        <f t="shared" si="101"/>
        <v>152291</v>
      </c>
      <c r="AC712" s="2">
        <f t="shared" si="106"/>
        <v>0.15714018909529159</v>
      </c>
      <c r="AD712" s="2"/>
      <c r="AE712">
        <f t="shared" si="107"/>
        <v>863309</v>
      </c>
      <c r="AF712">
        <f t="shared" si="108"/>
        <v>131820</v>
      </c>
      <c r="AH712" s="2">
        <f t="shared" si="109"/>
        <v>0.13246523817515116</v>
      </c>
      <c r="AI712" s="2"/>
      <c r="AJ712" s="2"/>
    </row>
    <row r="713" spans="2:36" x14ac:dyDescent="0.25">
      <c r="B713" s="1">
        <v>44376</v>
      </c>
      <c r="C713">
        <v>409136</v>
      </c>
      <c r="D713">
        <v>53033</v>
      </c>
      <c r="F713" s="2">
        <f t="shared" si="102"/>
        <v>0.11474806834729287</v>
      </c>
      <c r="I713">
        <v>433673</v>
      </c>
      <c r="J713">
        <v>26117</v>
      </c>
      <c r="L713" s="2">
        <f t="shared" si="103"/>
        <v>5.6802018312707973E-2</v>
      </c>
      <c r="N713">
        <v>394588</v>
      </c>
      <c r="O713">
        <v>109502</v>
      </c>
      <c r="Q713" s="2">
        <f t="shared" si="104"/>
        <v>0.21722708246543276</v>
      </c>
      <c r="T713">
        <v>419482</v>
      </c>
      <c r="U713">
        <v>111081</v>
      </c>
      <c r="W713" s="2">
        <f t="shared" si="105"/>
        <v>0.20936439216454975</v>
      </c>
      <c r="Z713">
        <f t="shared" ref="Z713:Z776" si="110">IFERROR(+C713+N713,C713)</f>
        <v>803724</v>
      </c>
      <c r="AA713">
        <f t="shared" ref="AA713:AA776" si="111">IFERROR(+D713+O713,D713)</f>
        <v>162535</v>
      </c>
      <c r="AC713" s="2">
        <f t="shared" si="106"/>
        <v>0.16821059364000748</v>
      </c>
      <c r="AD713" s="2"/>
      <c r="AE713">
        <f t="shared" si="107"/>
        <v>853155</v>
      </c>
      <c r="AF713">
        <f t="shared" si="108"/>
        <v>137198</v>
      </c>
      <c r="AH713" s="2">
        <f t="shared" si="109"/>
        <v>0.1385344417596554</v>
      </c>
      <c r="AI713" s="2"/>
      <c r="AJ713" s="2"/>
    </row>
    <row r="714" spans="2:36" x14ac:dyDescent="0.25">
      <c r="B714" s="1">
        <v>44383</v>
      </c>
      <c r="C714">
        <v>379903</v>
      </c>
      <c r="D714">
        <v>54024</v>
      </c>
      <c r="F714" s="2">
        <f t="shared" ref="F714:F777" si="112">+D714/SUM(C714:D714)</f>
        <v>0.12450020395135587</v>
      </c>
      <c r="I714">
        <v>400770</v>
      </c>
      <c r="J714">
        <v>26900</v>
      </c>
      <c r="L714" s="2">
        <f t="shared" ref="L714:L777" si="113">+J714/SUM(I714:J714)</f>
        <v>6.2898964154605191E-2</v>
      </c>
      <c r="N714">
        <v>390574</v>
      </c>
      <c r="O714">
        <v>108443</v>
      </c>
      <c r="Q714" s="2">
        <f t="shared" ref="Q714:Q777" si="114">+O714/SUM(N714:O714)</f>
        <v>0.21731323782556505</v>
      </c>
      <c r="T714">
        <v>414262</v>
      </c>
      <c r="U714">
        <v>110657</v>
      </c>
      <c r="W714" s="2">
        <f t="shared" ref="W714:W777" si="115">+U714/SUM(T714:U714)</f>
        <v>0.21080776272148655</v>
      </c>
      <c r="Z714">
        <f t="shared" si="110"/>
        <v>770477</v>
      </c>
      <c r="AA714">
        <f t="shared" si="111"/>
        <v>162467</v>
      </c>
      <c r="AC714" s="2">
        <f t="shared" ref="AC714:AC777" si="116">+AA714/SUM(Z714:AA714)</f>
        <v>0.17414442881887873</v>
      </c>
      <c r="AD714" s="2"/>
      <c r="AE714">
        <f t="shared" ref="AE714:AE777" si="117">IFERROR(+I714+T714,I714)</f>
        <v>815032</v>
      </c>
      <c r="AF714">
        <f t="shared" ref="AF714:AF777" si="118">IFERROR(+J714+U714,J714)</f>
        <v>137557</v>
      </c>
      <c r="AH714" s="2">
        <f t="shared" ref="AH714:AH777" si="119">+AF714/SUM(AE714:AF714)</f>
        <v>0.14440330509800134</v>
      </c>
      <c r="AI714" s="2"/>
      <c r="AJ714" s="2"/>
    </row>
    <row r="715" spans="2:36" x14ac:dyDescent="0.25">
      <c r="B715" s="1">
        <v>44390</v>
      </c>
      <c r="C715">
        <v>385078</v>
      </c>
      <c r="D715">
        <v>56135</v>
      </c>
      <c r="F715" s="2">
        <f t="shared" si="112"/>
        <v>0.12722879878879362</v>
      </c>
      <c r="I715">
        <v>408594</v>
      </c>
      <c r="J715">
        <v>27103</v>
      </c>
      <c r="L715" s="2">
        <f t="shared" si="113"/>
        <v>6.2206074404919015E-2</v>
      </c>
      <c r="N715">
        <v>386138</v>
      </c>
      <c r="O715">
        <v>98867</v>
      </c>
      <c r="Q715" s="2">
        <f t="shared" si="114"/>
        <v>0.20384738301666994</v>
      </c>
      <c r="T715">
        <v>415410</v>
      </c>
      <c r="U715">
        <v>102783</v>
      </c>
      <c r="W715" s="2">
        <f t="shared" si="115"/>
        <v>0.19834887773474361</v>
      </c>
      <c r="Z715">
        <f t="shared" si="110"/>
        <v>771216</v>
      </c>
      <c r="AA715">
        <f t="shared" si="111"/>
        <v>155002</v>
      </c>
      <c r="AC715" s="2">
        <f t="shared" si="116"/>
        <v>0.1673493713143126</v>
      </c>
      <c r="AD715" s="2"/>
      <c r="AE715">
        <f t="shared" si="117"/>
        <v>824004</v>
      </c>
      <c r="AF715">
        <f t="shared" si="118"/>
        <v>129886</v>
      </c>
      <c r="AH715" s="2">
        <f t="shared" si="119"/>
        <v>0.13616454727484301</v>
      </c>
      <c r="AI715" s="2"/>
      <c r="AJ715" s="2"/>
    </row>
    <row r="716" spans="2:36" x14ac:dyDescent="0.25">
      <c r="B716" s="1">
        <v>44397</v>
      </c>
      <c r="C716">
        <v>343853</v>
      </c>
      <c r="D716">
        <v>63502</v>
      </c>
      <c r="F716" s="2">
        <f t="shared" si="112"/>
        <v>0.15588859839697561</v>
      </c>
      <c r="I716">
        <v>351801</v>
      </c>
      <c r="J716">
        <v>35012</v>
      </c>
      <c r="L716" s="2">
        <f t="shared" si="113"/>
        <v>9.051402098688513E-2</v>
      </c>
      <c r="N716">
        <v>349680</v>
      </c>
      <c r="O716">
        <v>96641</v>
      </c>
      <c r="Q716" s="2">
        <f t="shared" si="114"/>
        <v>0.2165280145903957</v>
      </c>
      <c r="T716">
        <v>357036</v>
      </c>
      <c r="U716">
        <v>95195</v>
      </c>
      <c r="W716" s="2">
        <f t="shared" si="115"/>
        <v>0.21050082811660412</v>
      </c>
      <c r="Z716">
        <f t="shared" si="110"/>
        <v>693533</v>
      </c>
      <c r="AA716">
        <f t="shared" si="111"/>
        <v>160143</v>
      </c>
      <c r="AC716" s="2">
        <f t="shared" si="116"/>
        <v>0.18759224811286718</v>
      </c>
      <c r="AD716" s="2"/>
      <c r="AE716">
        <f t="shared" si="117"/>
        <v>708837</v>
      </c>
      <c r="AF716">
        <f t="shared" si="118"/>
        <v>130207</v>
      </c>
      <c r="AH716" s="2">
        <f t="shared" si="119"/>
        <v>0.15518494858434123</v>
      </c>
      <c r="AI716" s="2"/>
      <c r="AJ716" s="2"/>
    </row>
    <row r="717" spans="2:36" x14ac:dyDescent="0.25">
      <c r="B717" s="1">
        <v>44404</v>
      </c>
      <c r="C717">
        <v>353278</v>
      </c>
      <c r="D717">
        <v>75668</v>
      </c>
      <c r="F717" s="2">
        <f t="shared" si="112"/>
        <v>0.17640448914315554</v>
      </c>
      <c r="I717">
        <v>367953</v>
      </c>
      <c r="J717">
        <v>46718</v>
      </c>
      <c r="L717" s="2">
        <f t="shared" si="113"/>
        <v>0.11266280979378833</v>
      </c>
      <c r="N717">
        <v>368575</v>
      </c>
      <c r="O717">
        <v>78371</v>
      </c>
      <c r="Q717" s="2">
        <f t="shared" si="114"/>
        <v>0.17534780488023161</v>
      </c>
      <c r="T717">
        <v>391275</v>
      </c>
      <c r="U717">
        <v>79616</v>
      </c>
      <c r="W717" s="2">
        <f t="shared" si="115"/>
        <v>0.16907522122954144</v>
      </c>
      <c r="Z717">
        <f t="shared" si="110"/>
        <v>721853</v>
      </c>
      <c r="AA717">
        <f t="shared" si="111"/>
        <v>154039</v>
      </c>
      <c r="AC717" s="2">
        <f t="shared" si="116"/>
        <v>0.17586528932790801</v>
      </c>
      <c r="AD717" s="2"/>
      <c r="AE717">
        <f t="shared" si="117"/>
        <v>759228</v>
      </c>
      <c r="AF717">
        <f t="shared" si="118"/>
        <v>126334</v>
      </c>
      <c r="AH717" s="2">
        <f t="shared" si="119"/>
        <v>0.14265968955307476</v>
      </c>
      <c r="AI717" s="2"/>
      <c r="AJ717" s="2"/>
    </row>
    <row r="718" spans="2:36" x14ac:dyDescent="0.25">
      <c r="B718" s="1">
        <v>44411</v>
      </c>
      <c r="C718">
        <v>337498</v>
      </c>
      <c r="D718">
        <v>77258</v>
      </c>
      <c r="F718" s="2">
        <f t="shared" si="112"/>
        <v>0.1862733751892679</v>
      </c>
      <c r="I718">
        <v>352687</v>
      </c>
      <c r="J718">
        <v>47901</v>
      </c>
      <c r="L718" s="2">
        <f t="shared" si="113"/>
        <v>0.11957672221833904</v>
      </c>
      <c r="N718">
        <v>367879</v>
      </c>
      <c r="O718">
        <v>73649</v>
      </c>
      <c r="Q718" s="2">
        <f t="shared" si="114"/>
        <v>0.1668048232501676</v>
      </c>
      <c r="T718">
        <v>384480</v>
      </c>
      <c r="U718">
        <v>74815</v>
      </c>
      <c r="W718" s="2">
        <f t="shared" si="115"/>
        <v>0.16289095243797561</v>
      </c>
      <c r="Z718">
        <f t="shared" si="110"/>
        <v>705377</v>
      </c>
      <c r="AA718">
        <f t="shared" si="111"/>
        <v>150907</v>
      </c>
      <c r="AC718" s="2">
        <f t="shared" si="116"/>
        <v>0.17623475389006452</v>
      </c>
      <c r="AD718" s="2"/>
      <c r="AE718">
        <f t="shared" si="117"/>
        <v>737167</v>
      </c>
      <c r="AF718">
        <f t="shared" si="118"/>
        <v>122716</v>
      </c>
      <c r="AH718" s="2">
        <f t="shared" si="119"/>
        <v>0.14271243878527659</v>
      </c>
      <c r="AI718" s="2"/>
      <c r="AJ718" s="2"/>
    </row>
    <row r="719" spans="2:36" x14ac:dyDescent="0.25">
      <c r="B719" s="1">
        <v>44418</v>
      </c>
      <c r="C719">
        <v>325266</v>
      </c>
      <c r="D719">
        <v>77724</v>
      </c>
      <c r="F719" s="2">
        <f t="shared" si="112"/>
        <v>0.19286830938732971</v>
      </c>
      <c r="I719">
        <v>335915</v>
      </c>
      <c r="J719">
        <v>49012</v>
      </c>
      <c r="L719" s="2">
        <f t="shared" si="113"/>
        <v>0.12732803882294566</v>
      </c>
      <c r="N719">
        <v>341158</v>
      </c>
      <c r="O719">
        <v>73516</v>
      </c>
      <c r="Q719" s="2">
        <f t="shared" si="114"/>
        <v>0.17728625378007784</v>
      </c>
      <c r="T719">
        <v>353506</v>
      </c>
      <c r="U719">
        <v>74160</v>
      </c>
      <c r="W719" s="2">
        <f t="shared" si="115"/>
        <v>0.17340634981504258</v>
      </c>
      <c r="Z719">
        <f t="shared" si="110"/>
        <v>666424</v>
      </c>
      <c r="AA719">
        <f t="shared" si="111"/>
        <v>151240</v>
      </c>
      <c r="AC719" s="2">
        <f t="shared" si="116"/>
        <v>0.18496595178459613</v>
      </c>
      <c r="AD719" s="2"/>
      <c r="AE719">
        <f t="shared" si="117"/>
        <v>689421</v>
      </c>
      <c r="AF719">
        <f t="shared" si="118"/>
        <v>123172</v>
      </c>
      <c r="AH719" s="2">
        <f t="shared" si="119"/>
        <v>0.15157895773160734</v>
      </c>
      <c r="AI719" s="2"/>
      <c r="AJ719" s="2"/>
    </row>
    <row r="720" spans="2:36" x14ac:dyDescent="0.25">
      <c r="B720" s="1">
        <v>44425</v>
      </c>
      <c r="C720">
        <v>321982</v>
      </c>
      <c r="D720">
        <v>72807</v>
      </c>
      <c r="F720" s="2">
        <f t="shared" si="112"/>
        <v>0.18442003196644283</v>
      </c>
      <c r="I720">
        <v>328084</v>
      </c>
      <c r="J720">
        <v>47970</v>
      </c>
      <c r="L720" s="2">
        <f t="shared" si="113"/>
        <v>0.12756146723608844</v>
      </c>
      <c r="N720">
        <v>323297</v>
      </c>
      <c r="O720">
        <v>78196</v>
      </c>
      <c r="Q720" s="2">
        <f t="shared" si="114"/>
        <v>0.1947630469273437</v>
      </c>
      <c r="T720">
        <v>331848</v>
      </c>
      <c r="U720">
        <v>77030</v>
      </c>
      <c r="W720" s="2">
        <f t="shared" si="115"/>
        <v>0.18839360396010546</v>
      </c>
      <c r="Z720">
        <f t="shared" si="110"/>
        <v>645279</v>
      </c>
      <c r="AA720">
        <f t="shared" si="111"/>
        <v>151003</v>
      </c>
      <c r="AC720" s="2">
        <f t="shared" si="116"/>
        <v>0.18963507902979096</v>
      </c>
      <c r="AD720" s="2"/>
      <c r="AE720">
        <f t="shared" si="117"/>
        <v>659932</v>
      </c>
      <c r="AF720">
        <f t="shared" si="118"/>
        <v>125000</v>
      </c>
      <c r="AH720" s="2">
        <f t="shared" si="119"/>
        <v>0.15924946364780643</v>
      </c>
      <c r="AI720" s="2"/>
      <c r="AJ720" s="2"/>
    </row>
    <row r="721" spans="2:36" x14ac:dyDescent="0.25">
      <c r="B721" s="1">
        <v>44432</v>
      </c>
      <c r="C721">
        <v>318887</v>
      </c>
      <c r="D721">
        <v>78759</v>
      </c>
      <c r="F721" s="2">
        <f t="shared" si="112"/>
        <v>0.1980631013514533</v>
      </c>
      <c r="I721">
        <v>326725</v>
      </c>
      <c r="J721">
        <v>53799</v>
      </c>
      <c r="L721" s="2">
        <f t="shared" si="113"/>
        <v>0.14138135833745047</v>
      </c>
      <c r="N721">
        <v>315758</v>
      </c>
      <c r="O721">
        <v>78862</v>
      </c>
      <c r="Q721" s="2">
        <f t="shared" si="114"/>
        <v>0.19984288682783438</v>
      </c>
      <c r="T721">
        <v>325172</v>
      </c>
      <c r="U721">
        <v>79208</v>
      </c>
      <c r="W721" s="2">
        <f t="shared" si="115"/>
        <v>0.19587516692220189</v>
      </c>
      <c r="Z721">
        <f t="shared" si="110"/>
        <v>634645</v>
      </c>
      <c r="AA721">
        <f t="shared" si="111"/>
        <v>157621</v>
      </c>
      <c r="AC721" s="2">
        <f t="shared" si="116"/>
        <v>0.19894959521170918</v>
      </c>
      <c r="AD721" s="2"/>
      <c r="AE721">
        <f t="shared" si="117"/>
        <v>651897</v>
      </c>
      <c r="AF721">
        <f t="shared" si="118"/>
        <v>133007</v>
      </c>
      <c r="AH721" s="2">
        <f t="shared" si="119"/>
        <v>0.16945639211929103</v>
      </c>
      <c r="AI721" s="2"/>
      <c r="AJ721" s="2"/>
    </row>
    <row r="722" spans="2:36" x14ac:dyDescent="0.25">
      <c r="B722" s="1">
        <v>44439</v>
      </c>
      <c r="C722">
        <v>319625</v>
      </c>
      <c r="D722">
        <v>80681</v>
      </c>
      <c r="F722" s="2">
        <f t="shared" si="112"/>
        <v>0.20154831553861297</v>
      </c>
      <c r="I722">
        <v>327177</v>
      </c>
      <c r="J722">
        <v>54260</v>
      </c>
      <c r="L722" s="2">
        <f t="shared" si="113"/>
        <v>0.1422515382618886</v>
      </c>
      <c r="N722">
        <v>330889</v>
      </c>
      <c r="O722">
        <v>65708</v>
      </c>
      <c r="Q722" s="2">
        <f t="shared" si="114"/>
        <v>0.16567951850366996</v>
      </c>
      <c r="T722">
        <v>340265</v>
      </c>
      <c r="U722">
        <v>66371</v>
      </c>
      <c r="W722" s="2">
        <f t="shared" si="115"/>
        <v>0.16321968541890045</v>
      </c>
      <c r="Z722">
        <f t="shared" si="110"/>
        <v>650514</v>
      </c>
      <c r="AA722">
        <f t="shared" si="111"/>
        <v>146389</v>
      </c>
      <c r="AC722" s="2">
        <f t="shared" si="116"/>
        <v>0.18369738851528983</v>
      </c>
      <c r="AD722" s="2"/>
      <c r="AE722">
        <f t="shared" si="117"/>
        <v>667442</v>
      </c>
      <c r="AF722">
        <f t="shared" si="118"/>
        <v>120631</v>
      </c>
      <c r="AH722" s="2">
        <f t="shared" si="119"/>
        <v>0.15307084495979434</v>
      </c>
      <c r="AI722" s="2"/>
      <c r="AJ722" s="2"/>
    </row>
    <row r="723" spans="2:36" x14ac:dyDescent="0.25">
      <c r="B723" s="1">
        <v>44446</v>
      </c>
      <c r="C723">
        <v>316871</v>
      </c>
      <c r="D723">
        <v>81414</v>
      </c>
      <c r="F723" s="2">
        <f t="shared" si="112"/>
        <v>0.20441141393725598</v>
      </c>
      <c r="I723">
        <v>323789</v>
      </c>
      <c r="J723">
        <v>52597</v>
      </c>
      <c r="L723" s="2">
        <f t="shared" si="113"/>
        <v>0.13974217957097235</v>
      </c>
      <c r="N723">
        <v>330834</v>
      </c>
      <c r="O723">
        <v>61050</v>
      </c>
      <c r="Q723" s="2">
        <f t="shared" si="114"/>
        <v>0.15578589582631594</v>
      </c>
      <c r="T723">
        <v>340520</v>
      </c>
      <c r="U723">
        <v>61088</v>
      </c>
      <c r="W723" s="2">
        <f t="shared" si="115"/>
        <v>0.15210852373458697</v>
      </c>
      <c r="Z723">
        <f t="shared" si="110"/>
        <v>647705</v>
      </c>
      <c r="AA723">
        <f t="shared" si="111"/>
        <v>142464</v>
      </c>
      <c r="AC723" s="2">
        <f t="shared" si="116"/>
        <v>0.1802956076484904</v>
      </c>
      <c r="AD723" s="2"/>
      <c r="AE723">
        <f t="shared" si="117"/>
        <v>664309</v>
      </c>
      <c r="AF723">
        <f t="shared" si="118"/>
        <v>113685</v>
      </c>
      <c r="AH723" s="2">
        <f t="shared" si="119"/>
        <v>0.14612580559747249</v>
      </c>
      <c r="AI723" s="2"/>
      <c r="AJ723" s="2"/>
    </row>
    <row r="724" spans="2:36" x14ac:dyDescent="0.25">
      <c r="B724" s="1">
        <v>44453</v>
      </c>
      <c r="C724">
        <v>329804</v>
      </c>
      <c r="D724">
        <v>71573</v>
      </c>
      <c r="F724" s="2">
        <f t="shared" si="112"/>
        <v>0.17831863808838075</v>
      </c>
      <c r="I724">
        <v>340733</v>
      </c>
      <c r="J724">
        <v>44671</v>
      </c>
      <c r="L724" s="2">
        <f t="shared" si="113"/>
        <v>0.11590694440119978</v>
      </c>
      <c r="N724">
        <v>343424</v>
      </c>
      <c r="O724">
        <v>58207</v>
      </c>
      <c r="Q724" s="2">
        <f t="shared" si="114"/>
        <v>0.14492656194367468</v>
      </c>
      <c r="T724">
        <v>360460</v>
      </c>
      <c r="U724">
        <v>61813</v>
      </c>
      <c r="W724" s="2">
        <f t="shared" si="115"/>
        <v>0.14638160621209501</v>
      </c>
      <c r="Z724">
        <f t="shared" si="110"/>
        <v>673228</v>
      </c>
      <c r="AA724">
        <f t="shared" si="111"/>
        <v>129780</v>
      </c>
      <c r="AC724" s="2">
        <f t="shared" si="116"/>
        <v>0.16161731888100742</v>
      </c>
      <c r="AD724" s="2"/>
      <c r="AE724">
        <f t="shared" si="117"/>
        <v>701193</v>
      </c>
      <c r="AF724">
        <f t="shared" si="118"/>
        <v>106484</v>
      </c>
      <c r="AH724" s="2">
        <f t="shared" si="119"/>
        <v>0.13183983201205432</v>
      </c>
      <c r="AI724" s="2"/>
      <c r="AJ724" s="2"/>
    </row>
    <row r="725" spans="2:36" x14ac:dyDescent="0.25">
      <c r="B725" s="1">
        <v>44460</v>
      </c>
      <c r="C725">
        <v>325231</v>
      </c>
      <c r="D725">
        <v>79421</v>
      </c>
      <c r="F725" s="2">
        <f t="shared" si="112"/>
        <v>0.19626988128070538</v>
      </c>
      <c r="I725">
        <v>339628</v>
      </c>
      <c r="J725">
        <v>53665</v>
      </c>
      <c r="L725" s="2">
        <f t="shared" si="113"/>
        <v>0.13645043262910858</v>
      </c>
      <c r="N725">
        <v>354471</v>
      </c>
      <c r="O725">
        <v>47491</v>
      </c>
      <c r="Q725" s="2">
        <f t="shared" si="114"/>
        <v>0.11814798413780407</v>
      </c>
      <c r="T725">
        <v>371637</v>
      </c>
      <c r="U725">
        <v>51986</v>
      </c>
      <c r="W725" s="2">
        <f t="shared" si="115"/>
        <v>0.12271760504033068</v>
      </c>
      <c r="Z725">
        <f t="shared" si="110"/>
        <v>679702</v>
      </c>
      <c r="AA725">
        <f t="shared" si="111"/>
        <v>126912</v>
      </c>
      <c r="AC725" s="2">
        <f t="shared" si="116"/>
        <v>0.15733919817905467</v>
      </c>
      <c r="AD725" s="2"/>
      <c r="AE725">
        <f t="shared" si="117"/>
        <v>711265</v>
      </c>
      <c r="AF725">
        <f t="shared" si="118"/>
        <v>105651</v>
      </c>
      <c r="AH725" s="2">
        <f t="shared" si="119"/>
        <v>0.12932908646666241</v>
      </c>
      <c r="AI725" s="2"/>
      <c r="AJ725" s="2"/>
    </row>
    <row r="726" spans="2:36" x14ac:dyDescent="0.25">
      <c r="B726" s="1">
        <v>44467</v>
      </c>
      <c r="C726">
        <v>339873</v>
      </c>
      <c r="D726">
        <v>81956</v>
      </c>
      <c r="F726" s="2">
        <f t="shared" si="112"/>
        <v>0.19428725858108381</v>
      </c>
      <c r="I726">
        <v>352208</v>
      </c>
      <c r="J726">
        <v>54166</v>
      </c>
      <c r="L726" s="2">
        <f t="shared" si="113"/>
        <v>0.13329100779085276</v>
      </c>
      <c r="N726">
        <v>366428</v>
      </c>
      <c r="O726">
        <v>59202</v>
      </c>
      <c r="Q726" s="2">
        <f t="shared" si="114"/>
        <v>0.13909263914667669</v>
      </c>
      <c r="T726">
        <v>391095</v>
      </c>
      <c r="U726">
        <v>62141</v>
      </c>
      <c r="W726" s="2">
        <f t="shared" si="115"/>
        <v>0.13710517258117183</v>
      </c>
      <c r="Z726">
        <f t="shared" si="110"/>
        <v>706301</v>
      </c>
      <c r="AA726">
        <f t="shared" si="111"/>
        <v>141158</v>
      </c>
      <c r="AC726" s="2">
        <f t="shared" si="116"/>
        <v>0.16656617016280434</v>
      </c>
      <c r="AD726" s="2"/>
      <c r="AE726">
        <f t="shared" si="117"/>
        <v>743303</v>
      </c>
      <c r="AF726">
        <f t="shared" si="118"/>
        <v>116307</v>
      </c>
      <c r="AH726" s="2">
        <f t="shared" si="119"/>
        <v>0.13530205558334593</v>
      </c>
      <c r="AI726" s="2"/>
      <c r="AJ726" s="2"/>
    </row>
    <row r="727" spans="2:36" x14ac:dyDescent="0.25">
      <c r="B727" s="1">
        <v>44474</v>
      </c>
      <c r="C727">
        <v>353154</v>
      </c>
      <c r="D727">
        <v>75048</v>
      </c>
      <c r="F727" s="2">
        <f t="shared" si="112"/>
        <v>0.17526307677217762</v>
      </c>
      <c r="I727">
        <v>361307</v>
      </c>
      <c r="J727">
        <v>45150</v>
      </c>
      <c r="L727" s="2">
        <f t="shared" si="113"/>
        <v>0.11108186105787328</v>
      </c>
      <c r="N727">
        <v>365883</v>
      </c>
      <c r="O727">
        <v>66064</v>
      </c>
      <c r="Q727" s="2">
        <f t="shared" si="114"/>
        <v>0.15294468997353841</v>
      </c>
      <c r="T727">
        <v>395059</v>
      </c>
      <c r="U727">
        <v>62382</v>
      </c>
      <c r="W727" s="2">
        <f t="shared" si="115"/>
        <v>0.13637168509162931</v>
      </c>
      <c r="Z727">
        <f t="shared" si="110"/>
        <v>719037</v>
      </c>
      <c r="AA727">
        <f t="shared" si="111"/>
        <v>141112</v>
      </c>
      <c r="AC727" s="2">
        <f t="shared" si="116"/>
        <v>0.1640552973961488</v>
      </c>
      <c r="AD727" s="2"/>
      <c r="AE727">
        <f t="shared" si="117"/>
        <v>756366</v>
      </c>
      <c r="AF727">
        <f t="shared" si="118"/>
        <v>107532</v>
      </c>
      <c r="AH727" s="2">
        <f t="shared" si="119"/>
        <v>0.12447302806581333</v>
      </c>
      <c r="AI727" s="2"/>
      <c r="AJ727" s="2"/>
    </row>
    <row r="728" spans="2:36" x14ac:dyDescent="0.25">
      <c r="B728" s="1">
        <v>44481</v>
      </c>
      <c r="C728">
        <v>366395</v>
      </c>
      <c r="D728">
        <v>72247</v>
      </c>
      <c r="F728" s="2">
        <f t="shared" si="112"/>
        <v>0.16470607009816662</v>
      </c>
      <c r="I728">
        <v>370741</v>
      </c>
      <c r="J728">
        <v>44136</v>
      </c>
      <c r="L728" s="2">
        <f t="shared" si="113"/>
        <v>0.10638333771214119</v>
      </c>
      <c r="N728">
        <v>348378</v>
      </c>
      <c r="O728">
        <v>74331</v>
      </c>
      <c r="Q728" s="2">
        <f t="shared" si="114"/>
        <v>0.17584437520847676</v>
      </c>
      <c r="T728">
        <v>364041</v>
      </c>
      <c r="U728">
        <v>63120</v>
      </c>
      <c r="W728" s="2">
        <f t="shared" si="115"/>
        <v>0.14776629888964582</v>
      </c>
      <c r="Z728">
        <f t="shared" si="110"/>
        <v>714773</v>
      </c>
      <c r="AA728">
        <f t="shared" si="111"/>
        <v>146578</v>
      </c>
      <c r="AC728" s="2">
        <f t="shared" si="116"/>
        <v>0.17017220622022847</v>
      </c>
      <c r="AD728" s="2"/>
      <c r="AE728">
        <f t="shared" si="117"/>
        <v>734782</v>
      </c>
      <c r="AF728">
        <f t="shared" si="118"/>
        <v>107256</v>
      </c>
      <c r="AH728" s="2">
        <f t="shared" si="119"/>
        <v>0.12737667421185267</v>
      </c>
      <c r="AI728" s="2"/>
      <c r="AJ728" s="2"/>
    </row>
    <row r="729" spans="2:36" x14ac:dyDescent="0.25">
      <c r="B729" s="1">
        <v>44488</v>
      </c>
      <c r="C729">
        <v>362657</v>
      </c>
      <c r="D729">
        <v>61183</v>
      </c>
      <c r="F729" s="2">
        <f t="shared" si="112"/>
        <v>0.14435400151000377</v>
      </c>
      <c r="I729">
        <v>381310</v>
      </c>
      <c r="J729">
        <v>34474</v>
      </c>
      <c r="L729" s="2">
        <f t="shared" si="113"/>
        <v>8.2913243414850013E-2</v>
      </c>
      <c r="N729">
        <v>332903</v>
      </c>
      <c r="O729">
        <v>82778</v>
      </c>
      <c r="Q729" s="2">
        <f t="shared" si="114"/>
        <v>0.19913828151876078</v>
      </c>
      <c r="T729">
        <v>344905</v>
      </c>
      <c r="U729">
        <v>67738</v>
      </c>
      <c r="W729" s="2">
        <f t="shared" si="115"/>
        <v>0.16415642577239889</v>
      </c>
      <c r="Z729">
        <f t="shared" si="110"/>
        <v>695560</v>
      </c>
      <c r="AA729">
        <f t="shared" si="111"/>
        <v>143961</v>
      </c>
      <c r="AC729" s="2">
        <f t="shared" si="116"/>
        <v>0.17147992724422617</v>
      </c>
      <c r="AD729" s="2"/>
      <c r="AE729">
        <f t="shared" si="117"/>
        <v>726215</v>
      </c>
      <c r="AF729">
        <f t="shared" si="118"/>
        <v>102212</v>
      </c>
      <c r="AH729" s="2">
        <f t="shared" si="119"/>
        <v>0.12338081689756611</v>
      </c>
      <c r="AI729" s="2"/>
      <c r="AJ729" s="2"/>
    </row>
    <row r="730" spans="2:36" x14ac:dyDescent="0.25">
      <c r="B730" s="1">
        <v>44495</v>
      </c>
      <c r="C730">
        <v>347075</v>
      </c>
      <c r="D730">
        <v>55467</v>
      </c>
      <c r="F730" s="2">
        <f t="shared" si="112"/>
        <v>0.13779183290190838</v>
      </c>
      <c r="I730">
        <v>371907</v>
      </c>
      <c r="J730">
        <v>31063</v>
      </c>
      <c r="L730" s="2">
        <f t="shared" si="113"/>
        <v>7.708514281460159E-2</v>
      </c>
      <c r="N730">
        <v>320358</v>
      </c>
      <c r="O730">
        <v>79461</v>
      </c>
      <c r="Q730" s="2">
        <f t="shared" si="114"/>
        <v>0.19874243095000488</v>
      </c>
      <c r="T730">
        <v>339794</v>
      </c>
      <c r="U730">
        <v>80268</v>
      </c>
      <c r="W730" s="2">
        <f t="shared" si="115"/>
        <v>0.19108607776947212</v>
      </c>
      <c r="Z730">
        <f t="shared" si="110"/>
        <v>667433</v>
      </c>
      <c r="AA730">
        <f t="shared" si="111"/>
        <v>134928</v>
      </c>
      <c r="AC730" s="2">
        <f t="shared" si="116"/>
        <v>0.16816370686012905</v>
      </c>
      <c r="AD730" s="2"/>
      <c r="AE730">
        <f t="shared" si="117"/>
        <v>711701</v>
      </c>
      <c r="AF730">
        <f t="shared" si="118"/>
        <v>111331</v>
      </c>
      <c r="AH730" s="2">
        <f t="shared" si="119"/>
        <v>0.13526934554185013</v>
      </c>
      <c r="AI730" s="2"/>
      <c r="AJ730" s="2"/>
    </row>
    <row r="731" spans="2:36" x14ac:dyDescent="0.25">
      <c r="B731" s="1">
        <v>44502</v>
      </c>
      <c r="C731">
        <v>336559</v>
      </c>
      <c r="D731">
        <v>58742</v>
      </c>
      <c r="F731" s="2">
        <f t="shared" si="112"/>
        <v>0.14860068656542735</v>
      </c>
      <c r="I731">
        <v>357229</v>
      </c>
      <c r="J731">
        <v>33526</v>
      </c>
      <c r="L731" s="2">
        <f t="shared" si="113"/>
        <v>8.5798006423462275E-2</v>
      </c>
      <c r="N731">
        <v>313199</v>
      </c>
      <c r="O731">
        <v>80627</v>
      </c>
      <c r="Q731" s="2">
        <f t="shared" si="114"/>
        <v>0.20472746847592591</v>
      </c>
      <c r="T731">
        <v>328886</v>
      </c>
      <c r="U731">
        <v>79050</v>
      </c>
      <c r="W731" s="2">
        <f t="shared" si="115"/>
        <v>0.19378039692500784</v>
      </c>
      <c r="Z731">
        <f t="shared" si="110"/>
        <v>649758</v>
      </c>
      <c r="AA731">
        <f t="shared" si="111"/>
        <v>139369</v>
      </c>
      <c r="AC731" s="2">
        <f t="shared" si="116"/>
        <v>0.17661162271725592</v>
      </c>
      <c r="AD731" s="2"/>
      <c r="AE731">
        <f t="shared" si="117"/>
        <v>686115</v>
      </c>
      <c r="AF731">
        <f t="shared" si="118"/>
        <v>112576</v>
      </c>
      <c r="AH731" s="2">
        <f t="shared" si="119"/>
        <v>0.14095063046910508</v>
      </c>
      <c r="AI731" s="2"/>
      <c r="AJ731" s="2"/>
    </row>
    <row r="732" spans="2:36" x14ac:dyDescent="0.25">
      <c r="B732" s="1">
        <v>44509</v>
      </c>
      <c r="C732">
        <v>348456</v>
      </c>
      <c r="D732">
        <v>52223</v>
      </c>
      <c r="F732" s="2">
        <f t="shared" si="112"/>
        <v>0.13033625420848111</v>
      </c>
      <c r="I732">
        <v>369417</v>
      </c>
      <c r="J732">
        <v>26732</v>
      </c>
      <c r="L732" s="2">
        <f t="shared" si="113"/>
        <v>6.7479660430797506E-2</v>
      </c>
      <c r="N732">
        <v>308002</v>
      </c>
      <c r="O732">
        <v>85869</v>
      </c>
      <c r="Q732" s="2">
        <f t="shared" si="114"/>
        <v>0.2180130042577392</v>
      </c>
      <c r="T732">
        <v>325795</v>
      </c>
      <c r="U732">
        <v>85762</v>
      </c>
      <c r="W732" s="2">
        <f t="shared" si="115"/>
        <v>0.20838425783062856</v>
      </c>
      <c r="Z732">
        <f t="shared" si="110"/>
        <v>656458</v>
      </c>
      <c r="AA732">
        <f t="shared" si="111"/>
        <v>138092</v>
      </c>
      <c r="AC732" s="2">
        <f t="shared" si="116"/>
        <v>0.17379900572651186</v>
      </c>
      <c r="AD732" s="2"/>
      <c r="AE732">
        <f t="shared" si="117"/>
        <v>695212</v>
      </c>
      <c r="AF732">
        <f t="shared" si="118"/>
        <v>112494</v>
      </c>
      <c r="AH732" s="2">
        <f t="shared" si="119"/>
        <v>0.13927592465575345</v>
      </c>
      <c r="AI732" s="2"/>
      <c r="AJ732" s="2"/>
    </row>
    <row r="733" spans="2:36" x14ac:dyDescent="0.25">
      <c r="B733" s="1">
        <v>44516</v>
      </c>
      <c r="C733">
        <v>312775</v>
      </c>
      <c r="D733">
        <v>41028</v>
      </c>
      <c r="F733" s="2">
        <f t="shared" si="112"/>
        <v>0.11596283807655673</v>
      </c>
      <c r="I733">
        <v>333516</v>
      </c>
      <c r="J733">
        <v>26457</v>
      </c>
      <c r="L733" s="2">
        <f t="shared" si="113"/>
        <v>7.3497178955088296E-2</v>
      </c>
      <c r="N733">
        <v>298049</v>
      </c>
      <c r="O733">
        <v>94473</v>
      </c>
      <c r="Q733" s="2">
        <f t="shared" si="114"/>
        <v>0.24068205094236755</v>
      </c>
      <c r="T733">
        <v>315288</v>
      </c>
      <c r="U733">
        <v>93736</v>
      </c>
      <c r="W733" s="2">
        <f t="shared" si="115"/>
        <v>0.22916992645908307</v>
      </c>
      <c r="Z733">
        <f t="shared" si="110"/>
        <v>610824</v>
      </c>
      <c r="AA733">
        <f t="shared" si="111"/>
        <v>135501</v>
      </c>
      <c r="AC733" s="2">
        <f t="shared" si="116"/>
        <v>0.18155763239875389</v>
      </c>
      <c r="AD733" s="2"/>
      <c r="AE733">
        <f t="shared" si="117"/>
        <v>648804</v>
      </c>
      <c r="AF733">
        <f t="shared" si="118"/>
        <v>120193</v>
      </c>
      <c r="AH733" s="2">
        <f t="shared" si="119"/>
        <v>0.15629839908348148</v>
      </c>
      <c r="AI733" s="2"/>
      <c r="AJ733" s="2"/>
    </row>
    <row r="734" spans="2:36" x14ac:dyDescent="0.25">
      <c r="B734" s="1">
        <v>44523</v>
      </c>
      <c r="C734">
        <v>316079</v>
      </c>
      <c r="D734">
        <v>47739</v>
      </c>
      <c r="F734" s="2">
        <f t="shared" si="112"/>
        <v>0.13121670725472626</v>
      </c>
      <c r="I734">
        <v>336427</v>
      </c>
      <c r="J734">
        <v>33625</v>
      </c>
      <c r="L734" s="2">
        <f t="shared" si="113"/>
        <v>9.0865608076702728E-2</v>
      </c>
      <c r="N734">
        <v>290698</v>
      </c>
      <c r="O734">
        <v>97208</v>
      </c>
      <c r="Q734" s="2">
        <f t="shared" si="114"/>
        <v>0.25059679406866614</v>
      </c>
      <c r="T734">
        <v>308522</v>
      </c>
      <c r="U734">
        <v>96702</v>
      </c>
      <c r="W734" s="2">
        <f t="shared" si="115"/>
        <v>0.23863838272165519</v>
      </c>
      <c r="Z734">
        <f t="shared" si="110"/>
        <v>606777</v>
      </c>
      <c r="AA734">
        <f t="shared" si="111"/>
        <v>144947</v>
      </c>
      <c r="AC734" s="2">
        <f t="shared" si="116"/>
        <v>0.19281943904943835</v>
      </c>
      <c r="AD734" s="2"/>
      <c r="AE734">
        <f t="shared" si="117"/>
        <v>644949</v>
      </c>
      <c r="AF734">
        <f t="shared" si="118"/>
        <v>130327</v>
      </c>
      <c r="AH734" s="2">
        <f t="shared" si="119"/>
        <v>0.16810400425138919</v>
      </c>
      <c r="AI734" s="2"/>
      <c r="AJ734" s="2"/>
    </row>
    <row r="735" spans="2:36" x14ac:dyDescent="0.25">
      <c r="B735" s="1">
        <v>44530</v>
      </c>
      <c r="C735">
        <v>301458</v>
      </c>
      <c r="D735">
        <v>67752</v>
      </c>
      <c r="F735" s="2">
        <f t="shared" si="112"/>
        <v>0.18350532217437232</v>
      </c>
      <c r="I735">
        <v>310522</v>
      </c>
      <c r="J735">
        <v>52891</v>
      </c>
      <c r="L735" s="2">
        <f t="shared" si="113"/>
        <v>0.1455396477286173</v>
      </c>
      <c r="N735">
        <v>249603</v>
      </c>
      <c r="O735">
        <v>110744</v>
      </c>
      <c r="Q735" s="2">
        <f t="shared" si="114"/>
        <v>0.30732599411123168</v>
      </c>
      <c r="T735">
        <v>259068</v>
      </c>
      <c r="U735">
        <v>91902</v>
      </c>
      <c r="W735" s="2">
        <f t="shared" si="115"/>
        <v>0.26185144029404223</v>
      </c>
      <c r="Z735">
        <f t="shared" si="110"/>
        <v>551061</v>
      </c>
      <c r="AA735">
        <f t="shared" si="111"/>
        <v>178496</v>
      </c>
      <c r="AC735" s="2">
        <f t="shared" si="116"/>
        <v>0.24466354239627611</v>
      </c>
      <c r="AD735" s="2"/>
      <c r="AE735">
        <f t="shared" si="117"/>
        <v>569590</v>
      </c>
      <c r="AF735">
        <f t="shared" si="118"/>
        <v>144793</v>
      </c>
      <c r="AH735" s="2">
        <f t="shared" si="119"/>
        <v>0.20268259463061131</v>
      </c>
      <c r="AI735" s="2"/>
      <c r="AJ735" s="2"/>
    </row>
    <row r="736" spans="2:36" x14ac:dyDescent="0.25">
      <c r="B736" s="1">
        <v>44537</v>
      </c>
      <c r="C736">
        <v>296637</v>
      </c>
      <c r="D736">
        <v>70144</v>
      </c>
      <c r="F736" s="2">
        <f t="shared" si="112"/>
        <v>0.19124218539128254</v>
      </c>
      <c r="I736">
        <v>312225</v>
      </c>
      <c r="J736">
        <v>52161</v>
      </c>
      <c r="L736" s="2">
        <f t="shared" si="113"/>
        <v>0.14314765111722186</v>
      </c>
      <c r="N736">
        <v>239794</v>
      </c>
      <c r="O736">
        <v>106226</v>
      </c>
      <c r="Q736" s="2">
        <f t="shared" si="114"/>
        <v>0.30699381538639386</v>
      </c>
      <c r="T736">
        <v>244705</v>
      </c>
      <c r="U736">
        <v>90648</v>
      </c>
      <c r="W736" s="2">
        <f t="shared" si="115"/>
        <v>0.27030621464546312</v>
      </c>
      <c r="Z736">
        <f t="shared" si="110"/>
        <v>536431</v>
      </c>
      <c r="AA736">
        <f t="shared" si="111"/>
        <v>176370</v>
      </c>
      <c r="AC736" s="2">
        <f t="shared" si="116"/>
        <v>0.24743231280539729</v>
      </c>
      <c r="AD736" s="2"/>
      <c r="AE736">
        <f t="shared" si="117"/>
        <v>556930</v>
      </c>
      <c r="AF736">
        <f t="shared" si="118"/>
        <v>142809</v>
      </c>
      <c r="AH736" s="2">
        <f t="shared" si="119"/>
        <v>0.20408895316682363</v>
      </c>
      <c r="AI736" s="2"/>
      <c r="AJ736" s="2"/>
    </row>
    <row r="737" spans="2:36" x14ac:dyDescent="0.25">
      <c r="B737" s="1">
        <v>44544</v>
      </c>
      <c r="C737">
        <v>288931</v>
      </c>
      <c r="D737">
        <v>77077</v>
      </c>
      <c r="F737" s="2">
        <f t="shared" si="112"/>
        <v>0.21058829315206226</v>
      </c>
      <c r="I737">
        <v>304987</v>
      </c>
      <c r="J737">
        <v>59698</v>
      </c>
      <c r="L737" s="2">
        <f t="shared" si="113"/>
        <v>0.16369743751456736</v>
      </c>
      <c r="N737">
        <v>242110</v>
      </c>
      <c r="O737">
        <v>109086</v>
      </c>
      <c r="Q737" s="2">
        <f t="shared" si="114"/>
        <v>0.31061287713983077</v>
      </c>
      <c r="T737">
        <v>245999</v>
      </c>
      <c r="U737">
        <v>91581</v>
      </c>
      <c r="W737" s="2">
        <f t="shared" si="115"/>
        <v>0.27128680609040817</v>
      </c>
      <c r="Z737">
        <f t="shared" si="110"/>
        <v>531041</v>
      </c>
      <c r="AA737">
        <f t="shared" si="111"/>
        <v>186163</v>
      </c>
      <c r="AC737" s="2">
        <f t="shared" si="116"/>
        <v>0.25956771016335661</v>
      </c>
      <c r="AD737" s="2"/>
      <c r="AE737">
        <f t="shared" si="117"/>
        <v>550986</v>
      </c>
      <c r="AF737">
        <f t="shared" si="118"/>
        <v>151279</v>
      </c>
      <c r="AH737" s="2">
        <f t="shared" si="119"/>
        <v>0.21541583305447373</v>
      </c>
      <c r="AI737" s="2"/>
      <c r="AJ737" s="2"/>
    </row>
    <row r="738" spans="2:36" x14ac:dyDescent="0.25">
      <c r="B738" s="1">
        <v>44551</v>
      </c>
      <c r="C738">
        <v>292183</v>
      </c>
      <c r="D738">
        <v>75270</v>
      </c>
      <c r="F738" s="2">
        <f t="shared" si="112"/>
        <v>0.20484252407790929</v>
      </c>
      <c r="I738">
        <v>308410</v>
      </c>
      <c r="J738">
        <v>58040</v>
      </c>
      <c r="L738" s="2">
        <f t="shared" si="113"/>
        <v>0.15838449993177786</v>
      </c>
      <c r="N738">
        <v>242282</v>
      </c>
      <c r="O738">
        <v>108615</v>
      </c>
      <c r="Q738" s="2">
        <f t="shared" si="114"/>
        <v>0.30953527673362841</v>
      </c>
      <c r="T738">
        <v>242502</v>
      </c>
      <c r="U738">
        <v>87946</v>
      </c>
      <c r="W738" s="2">
        <f t="shared" si="115"/>
        <v>0.26614172275214254</v>
      </c>
      <c r="Z738">
        <f t="shared" si="110"/>
        <v>534465</v>
      </c>
      <c r="AA738">
        <f t="shared" si="111"/>
        <v>183885</v>
      </c>
      <c r="AC738" s="2">
        <f t="shared" si="116"/>
        <v>0.25598245980371687</v>
      </c>
      <c r="AD738" s="2"/>
      <c r="AE738">
        <f t="shared" si="117"/>
        <v>550912</v>
      </c>
      <c r="AF738">
        <f t="shared" si="118"/>
        <v>145986</v>
      </c>
      <c r="AH738" s="2">
        <f t="shared" si="119"/>
        <v>0.20947972300107046</v>
      </c>
      <c r="AI738" s="2"/>
      <c r="AJ738" s="2"/>
    </row>
    <row r="739" spans="2:36" x14ac:dyDescent="0.25">
      <c r="B739" s="1">
        <v>44558</v>
      </c>
      <c r="C739">
        <v>298738</v>
      </c>
      <c r="D739">
        <v>64865</v>
      </c>
      <c r="F739" s="2">
        <f t="shared" si="112"/>
        <v>0.17839511775205374</v>
      </c>
      <c r="I739">
        <v>313288</v>
      </c>
      <c r="J739">
        <v>46448</v>
      </c>
      <c r="L739" s="2">
        <f t="shared" si="113"/>
        <v>0.12911690795472236</v>
      </c>
      <c r="N739">
        <v>264347</v>
      </c>
      <c r="O739">
        <v>88764</v>
      </c>
      <c r="Q739" s="2">
        <f t="shared" si="114"/>
        <v>0.25137704574482245</v>
      </c>
      <c r="T739">
        <v>263790</v>
      </c>
      <c r="U739">
        <v>76136</v>
      </c>
      <c r="W739" s="2">
        <f t="shared" si="115"/>
        <v>0.22397815995246023</v>
      </c>
      <c r="Z739">
        <f t="shared" si="110"/>
        <v>563085</v>
      </c>
      <c r="AA739">
        <f t="shared" si="111"/>
        <v>153629</v>
      </c>
      <c r="AC739" s="2">
        <f t="shared" si="116"/>
        <v>0.21435188931707766</v>
      </c>
      <c r="AD739" s="2"/>
      <c r="AE739">
        <f t="shared" si="117"/>
        <v>577078</v>
      </c>
      <c r="AF739">
        <f t="shared" si="118"/>
        <v>122584</v>
      </c>
      <c r="AH739" s="2">
        <f t="shared" si="119"/>
        <v>0.17520459879198813</v>
      </c>
      <c r="AI739" s="2"/>
      <c r="AJ739" s="2"/>
    </row>
    <row r="740" spans="2:36" x14ac:dyDescent="0.25">
      <c r="B740" s="1">
        <v>44565</v>
      </c>
      <c r="C740">
        <v>298199</v>
      </c>
      <c r="D740">
        <v>64844</v>
      </c>
      <c r="F740" s="2">
        <f t="shared" si="112"/>
        <v>0.17861245086670174</v>
      </c>
      <c r="I740">
        <v>312738</v>
      </c>
      <c r="J740">
        <v>46361</v>
      </c>
      <c r="L740" s="2">
        <f t="shared" si="113"/>
        <v>0.12910367336027112</v>
      </c>
      <c r="N740">
        <v>277644</v>
      </c>
      <c r="O740">
        <v>81228</v>
      </c>
      <c r="Q740" s="2">
        <f t="shared" si="114"/>
        <v>0.22634253995853676</v>
      </c>
      <c r="T740">
        <v>276107</v>
      </c>
      <c r="U740">
        <v>69199</v>
      </c>
      <c r="W740" s="2">
        <f t="shared" si="115"/>
        <v>0.2003990663353663</v>
      </c>
      <c r="Z740">
        <f t="shared" si="110"/>
        <v>575843</v>
      </c>
      <c r="AA740">
        <f t="shared" si="111"/>
        <v>146072</v>
      </c>
      <c r="AC740" s="2">
        <f t="shared" si="116"/>
        <v>0.20233961061897868</v>
      </c>
      <c r="AD740" s="2"/>
      <c r="AE740">
        <f t="shared" si="117"/>
        <v>588845</v>
      </c>
      <c r="AF740">
        <f t="shared" si="118"/>
        <v>115560</v>
      </c>
      <c r="AH740" s="2">
        <f t="shared" si="119"/>
        <v>0.16405334999041746</v>
      </c>
      <c r="AI740" s="2"/>
      <c r="AJ740" s="2"/>
    </row>
    <row r="741" spans="2:36" x14ac:dyDescent="0.25">
      <c r="B741" s="1">
        <v>44572</v>
      </c>
      <c r="C741">
        <v>309691</v>
      </c>
      <c r="D741">
        <v>51037</v>
      </c>
      <c r="F741" s="2">
        <f t="shared" si="112"/>
        <v>0.14148333370295624</v>
      </c>
      <c r="I741">
        <v>321751</v>
      </c>
      <c r="J741">
        <v>33925</v>
      </c>
      <c r="L741" s="2">
        <f t="shared" si="113"/>
        <v>9.5381751931533199E-2</v>
      </c>
      <c r="N741">
        <v>315644</v>
      </c>
      <c r="O741">
        <v>74786</v>
      </c>
      <c r="Q741" s="2">
        <f t="shared" si="114"/>
        <v>0.19154778065210154</v>
      </c>
      <c r="T741">
        <v>314703</v>
      </c>
      <c r="U741">
        <v>64776</v>
      </c>
      <c r="W741" s="2">
        <f t="shared" si="115"/>
        <v>0.1706971927300325</v>
      </c>
      <c r="Z741">
        <f t="shared" si="110"/>
        <v>625335</v>
      </c>
      <c r="AA741">
        <f t="shared" si="111"/>
        <v>125823</v>
      </c>
      <c r="AC741" s="2">
        <f t="shared" si="116"/>
        <v>0.16750537170608581</v>
      </c>
      <c r="AD741" s="2"/>
      <c r="AE741">
        <f t="shared" si="117"/>
        <v>636454</v>
      </c>
      <c r="AF741">
        <f t="shared" si="118"/>
        <v>98701</v>
      </c>
      <c r="AH741" s="2">
        <f t="shared" si="119"/>
        <v>0.13425876175772455</v>
      </c>
      <c r="AI741" s="2"/>
      <c r="AJ741" s="2"/>
    </row>
    <row r="742" spans="2:36" x14ac:dyDescent="0.25">
      <c r="B742" s="1">
        <v>44579</v>
      </c>
      <c r="C742">
        <v>324378</v>
      </c>
      <c r="D742">
        <v>44867</v>
      </c>
      <c r="F742" s="2">
        <f t="shared" si="112"/>
        <v>0.1215101084645696</v>
      </c>
      <c r="I742">
        <v>338731</v>
      </c>
      <c r="J742">
        <v>27135</v>
      </c>
      <c r="L742" s="2">
        <f t="shared" si="113"/>
        <v>7.4166498116796861E-2</v>
      </c>
      <c r="N742">
        <v>318461</v>
      </c>
      <c r="O742">
        <v>76003</v>
      </c>
      <c r="Q742" s="2">
        <f t="shared" si="114"/>
        <v>0.19267410967794274</v>
      </c>
      <c r="T742">
        <v>318059</v>
      </c>
      <c r="U742">
        <v>70181</v>
      </c>
      <c r="W742" s="2">
        <f t="shared" si="115"/>
        <v>0.18076705130846898</v>
      </c>
      <c r="Z742">
        <f t="shared" si="110"/>
        <v>642839</v>
      </c>
      <c r="AA742">
        <f t="shared" si="111"/>
        <v>120870</v>
      </c>
      <c r="AC742" s="2">
        <f t="shared" si="116"/>
        <v>0.15826708864240174</v>
      </c>
      <c r="AD742" s="2"/>
      <c r="AE742">
        <f t="shared" si="117"/>
        <v>656790</v>
      </c>
      <c r="AF742">
        <f t="shared" si="118"/>
        <v>97316</v>
      </c>
      <c r="AH742" s="2">
        <f t="shared" si="119"/>
        <v>0.12904817094678997</v>
      </c>
      <c r="AI742" s="2"/>
      <c r="AJ742" s="2"/>
    </row>
    <row r="743" spans="2:36" x14ac:dyDescent="0.25">
      <c r="B743" s="1">
        <v>44586</v>
      </c>
      <c r="C743">
        <v>308832</v>
      </c>
      <c r="D743">
        <v>44978</v>
      </c>
      <c r="F743" s="2">
        <f t="shared" si="112"/>
        <v>0.12712472796133517</v>
      </c>
      <c r="I743">
        <v>322719</v>
      </c>
      <c r="J743">
        <v>25277</v>
      </c>
      <c r="L743" s="2">
        <f t="shared" si="113"/>
        <v>7.2635892366578927E-2</v>
      </c>
      <c r="N743">
        <v>310636</v>
      </c>
      <c r="O743">
        <v>77314</v>
      </c>
      <c r="Q743" s="2">
        <f t="shared" si="114"/>
        <v>0.19928856811444773</v>
      </c>
      <c r="T743">
        <v>313823</v>
      </c>
      <c r="U743">
        <v>71306</v>
      </c>
      <c r="W743" s="2">
        <f t="shared" si="115"/>
        <v>0.18514835288955128</v>
      </c>
      <c r="Z743">
        <f t="shared" si="110"/>
        <v>619468</v>
      </c>
      <c r="AA743">
        <f t="shared" si="111"/>
        <v>122292</v>
      </c>
      <c r="AC743" s="2">
        <f t="shared" si="116"/>
        <v>0.16486734253666954</v>
      </c>
      <c r="AD743" s="2"/>
      <c r="AE743">
        <f t="shared" si="117"/>
        <v>636542</v>
      </c>
      <c r="AF743">
        <f t="shared" si="118"/>
        <v>96583</v>
      </c>
      <c r="AH743" s="2">
        <f t="shared" si="119"/>
        <v>0.13174151747655585</v>
      </c>
      <c r="AI743" s="2"/>
      <c r="AJ743" s="2"/>
    </row>
    <row r="744" spans="2:36" x14ac:dyDescent="0.25">
      <c r="B744" s="1">
        <v>44593</v>
      </c>
      <c r="C744">
        <v>312271</v>
      </c>
      <c r="D744">
        <v>43136</v>
      </c>
      <c r="F744" s="2">
        <f t="shared" si="112"/>
        <v>0.12137071019985538</v>
      </c>
      <c r="I744">
        <v>325614</v>
      </c>
      <c r="J744">
        <v>21742</v>
      </c>
      <c r="L744" s="2">
        <f t="shared" si="113"/>
        <v>6.2592844228975458E-2</v>
      </c>
      <c r="N744">
        <v>297075</v>
      </c>
      <c r="O744">
        <v>84928</v>
      </c>
      <c r="Q744" s="2">
        <f t="shared" si="114"/>
        <v>0.22232286133878529</v>
      </c>
      <c r="T744">
        <v>303138</v>
      </c>
      <c r="U744">
        <v>73547</v>
      </c>
      <c r="W744" s="2">
        <f t="shared" si="115"/>
        <v>0.19524801890173488</v>
      </c>
      <c r="Z744">
        <f t="shared" si="110"/>
        <v>609346</v>
      </c>
      <c r="AA744">
        <f t="shared" si="111"/>
        <v>128064</v>
      </c>
      <c r="AC744" s="2">
        <f t="shared" si="116"/>
        <v>0.17366729499193123</v>
      </c>
      <c r="AD744" s="2"/>
      <c r="AE744">
        <f t="shared" si="117"/>
        <v>628752</v>
      </c>
      <c r="AF744">
        <f t="shared" si="118"/>
        <v>95289</v>
      </c>
      <c r="AH744" s="2">
        <f t="shared" si="119"/>
        <v>0.13160718799073534</v>
      </c>
      <c r="AI744" s="2"/>
      <c r="AJ744" s="2"/>
    </row>
    <row r="745" spans="2:36" x14ac:dyDescent="0.25">
      <c r="B745" s="1">
        <v>44600</v>
      </c>
      <c r="C745">
        <v>306282</v>
      </c>
      <c r="D745">
        <v>45638</v>
      </c>
      <c r="F745" s="2">
        <f t="shared" si="112"/>
        <v>0.12968288247328938</v>
      </c>
      <c r="I745">
        <v>321714</v>
      </c>
      <c r="J745">
        <v>25565</v>
      </c>
      <c r="L745" s="2">
        <f t="shared" si="113"/>
        <v>7.3615162448636404E-2</v>
      </c>
      <c r="N745">
        <v>290071</v>
      </c>
      <c r="O745">
        <v>87195</v>
      </c>
      <c r="Q745" s="2">
        <f t="shared" si="114"/>
        <v>0.23112339834493434</v>
      </c>
      <c r="T745">
        <v>299624</v>
      </c>
      <c r="U745">
        <v>76727</v>
      </c>
      <c r="W745" s="2">
        <f t="shared" si="115"/>
        <v>0.20387085460115689</v>
      </c>
      <c r="Z745">
        <f t="shared" si="110"/>
        <v>596353</v>
      </c>
      <c r="AA745">
        <f t="shared" si="111"/>
        <v>132833</v>
      </c>
      <c r="AC745" s="2">
        <f t="shared" si="116"/>
        <v>0.18216614142345025</v>
      </c>
      <c r="AD745" s="2"/>
      <c r="AE745">
        <f t="shared" si="117"/>
        <v>621338</v>
      </c>
      <c r="AF745">
        <f t="shared" si="118"/>
        <v>102292</v>
      </c>
      <c r="AH745" s="2">
        <f t="shared" si="119"/>
        <v>0.14135953456877134</v>
      </c>
      <c r="AI745" s="2"/>
      <c r="AJ745" s="2"/>
    </row>
    <row r="746" spans="2:36" x14ac:dyDescent="0.25">
      <c r="B746" s="1">
        <v>44607</v>
      </c>
      <c r="C746">
        <v>291400</v>
      </c>
      <c r="D746">
        <v>37945</v>
      </c>
      <c r="F746" s="2">
        <f t="shared" si="112"/>
        <v>0.11521352988507493</v>
      </c>
      <c r="I746">
        <v>310349</v>
      </c>
      <c r="J746">
        <v>18968</v>
      </c>
      <c r="L746" s="2">
        <f t="shared" si="113"/>
        <v>5.7597998281291279E-2</v>
      </c>
      <c r="N746">
        <v>285676</v>
      </c>
      <c r="O746">
        <v>81840</v>
      </c>
      <c r="Q746" s="2">
        <f t="shared" si="114"/>
        <v>0.22268418245736241</v>
      </c>
      <c r="T746">
        <v>291603</v>
      </c>
      <c r="U746">
        <v>68250</v>
      </c>
      <c r="W746" s="2">
        <f t="shared" si="115"/>
        <v>0.18966077815107835</v>
      </c>
      <c r="Z746">
        <f t="shared" si="110"/>
        <v>577076</v>
      </c>
      <c r="AA746">
        <f t="shared" si="111"/>
        <v>119785</v>
      </c>
      <c r="AC746" s="2">
        <f t="shared" si="116"/>
        <v>0.17189224249886276</v>
      </c>
      <c r="AD746" s="2"/>
      <c r="AE746">
        <f t="shared" si="117"/>
        <v>601952</v>
      </c>
      <c r="AF746">
        <f t="shared" si="118"/>
        <v>87218</v>
      </c>
      <c r="AH746" s="2">
        <f t="shared" si="119"/>
        <v>0.12655513153503489</v>
      </c>
      <c r="AI746" s="2"/>
      <c r="AJ746" s="2"/>
    </row>
    <row r="747" spans="2:36" x14ac:dyDescent="0.25">
      <c r="B747" s="1">
        <v>44614</v>
      </c>
      <c r="C747">
        <v>278790</v>
      </c>
      <c r="D747">
        <v>45553</v>
      </c>
      <c r="F747" s="2">
        <f t="shared" si="112"/>
        <v>0.14044699592715121</v>
      </c>
      <c r="I747">
        <v>302678</v>
      </c>
      <c r="J747">
        <v>30318</v>
      </c>
      <c r="L747" s="2">
        <f t="shared" si="113"/>
        <v>9.1046138692356671E-2</v>
      </c>
      <c r="N747">
        <v>291647</v>
      </c>
      <c r="O747">
        <v>78394</v>
      </c>
      <c r="Q747" s="2">
        <f t="shared" si="114"/>
        <v>0.21185220016160372</v>
      </c>
      <c r="T747">
        <v>301844</v>
      </c>
      <c r="U747">
        <v>65097</v>
      </c>
      <c r="W747" s="2">
        <f t="shared" si="115"/>
        <v>0.1774045418745793</v>
      </c>
      <c r="Z747">
        <f t="shared" si="110"/>
        <v>570437</v>
      </c>
      <c r="AA747">
        <f t="shared" si="111"/>
        <v>123947</v>
      </c>
      <c r="AC747" s="2">
        <f t="shared" si="116"/>
        <v>0.17849921657181042</v>
      </c>
      <c r="AD747" s="2"/>
      <c r="AE747">
        <f t="shared" si="117"/>
        <v>604522</v>
      </c>
      <c r="AF747">
        <f t="shared" si="118"/>
        <v>95415</v>
      </c>
      <c r="AH747" s="2">
        <f t="shared" si="119"/>
        <v>0.13631941160418723</v>
      </c>
      <c r="AI747" s="2"/>
      <c r="AJ747" s="2"/>
    </row>
    <row r="748" spans="2:36" x14ac:dyDescent="0.25">
      <c r="B748" s="1">
        <v>44621</v>
      </c>
      <c r="C748">
        <v>287396</v>
      </c>
      <c r="D748">
        <v>43119</v>
      </c>
      <c r="F748" s="2">
        <f t="shared" si="112"/>
        <v>0.1304600396351149</v>
      </c>
      <c r="I748">
        <v>306514</v>
      </c>
      <c r="J748">
        <v>25724</v>
      </c>
      <c r="L748" s="2">
        <f t="shared" si="113"/>
        <v>7.742642322672301E-2</v>
      </c>
      <c r="N748">
        <v>295536</v>
      </c>
      <c r="O748">
        <v>66379</v>
      </c>
      <c r="Q748" s="2">
        <f t="shared" si="114"/>
        <v>0.18341046930909191</v>
      </c>
      <c r="T748">
        <v>315522</v>
      </c>
      <c r="U748">
        <v>60728</v>
      </c>
      <c r="W748" s="2">
        <f t="shared" si="115"/>
        <v>0.1614033222591362</v>
      </c>
      <c r="Z748">
        <f t="shared" si="110"/>
        <v>582932</v>
      </c>
      <c r="AA748">
        <f t="shared" si="111"/>
        <v>109498</v>
      </c>
      <c r="AC748" s="2">
        <f t="shared" si="116"/>
        <v>0.15813584044596565</v>
      </c>
      <c r="AD748" s="2"/>
      <c r="AE748">
        <f t="shared" si="117"/>
        <v>622036</v>
      </c>
      <c r="AF748">
        <f t="shared" si="118"/>
        <v>86452</v>
      </c>
      <c r="AH748" s="2">
        <f t="shared" si="119"/>
        <v>0.12202323821998397</v>
      </c>
      <c r="AI748" s="2"/>
      <c r="AJ748" s="2"/>
    </row>
    <row r="749" spans="2:36" x14ac:dyDescent="0.25">
      <c r="B749" s="1">
        <v>44628</v>
      </c>
      <c r="C749">
        <v>276775</v>
      </c>
      <c r="D749">
        <v>41938</v>
      </c>
      <c r="F749" s="2">
        <f t="shared" si="112"/>
        <v>0.13158547031341677</v>
      </c>
      <c r="I749">
        <v>302461</v>
      </c>
      <c r="J749">
        <v>24927</v>
      </c>
      <c r="L749" s="2">
        <f t="shared" si="113"/>
        <v>7.6139015480103114E-2</v>
      </c>
      <c r="N749">
        <v>242314</v>
      </c>
      <c r="O749">
        <v>113249</v>
      </c>
      <c r="Q749" s="2">
        <f t="shared" si="114"/>
        <v>0.31850614377761466</v>
      </c>
      <c r="T749">
        <v>251973</v>
      </c>
      <c r="U749">
        <v>94301</v>
      </c>
      <c r="W749" s="2">
        <f t="shared" si="115"/>
        <v>0.27233058214015493</v>
      </c>
      <c r="Z749">
        <f t="shared" si="110"/>
        <v>519089</v>
      </c>
      <c r="AA749">
        <f t="shared" si="111"/>
        <v>155187</v>
      </c>
      <c r="AC749" s="2">
        <f t="shared" si="116"/>
        <v>0.23015352763556762</v>
      </c>
      <c r="AD749" s="2"/>
      <c r="AE749">
        <f t="shared" si="117"/>
        <v>554434</v>
      </c>
      <c r="AF749">
        <f t="shared" si="118"/>
        <v>119228</v>
      </c>
      <c r="AH749" s="2">
        <f t="shared" si="119"/>
        <v>0.17698489747083848</v>
      </c>
      <c r="AI749" s="2"/>
      <c r="AJ749" s="2"/>
    </row>
    <row r="750" spans="2:36" x14ac:dyDescent="0.25">
      <c r="B750" s="1">
        <v>44635</v>
      </c>
      <c r="C750">
        <v>266577</v>
      </c>
      <c r="D750">
        <v>42926</v>
      </c>
      <c r="F750" s="2">
        <f t="shared" si="112"/>
        <v>0.13869332445889054</v>
      </c>
      <c r="I750">
        <v>283230</v>
      </c>
      <c r="J750">
        <v>24491</v>
      </c>
      <c r="L750" s="2">
        <f t="shared" si="113"/>
        <v>7.9588328388377788E-2</v>
      </c>
      <c r="N750">
        <v>239584</v>
      </c>
      <c r="O750">
        <v>98559</v>
      </c>
      <c r="Q750" s="2">
        <f t="shared" si="114"/>
        <v>0.29147135975016486</v>
      </c>
      <c r="T750">
        <v>240762</v>
      </c>
      <c r="U750">
        <v>88157</v>
      </c>
      <c r="W750" s="2">
        <f t="shared" si="115"/>
        <v>0.26802039407878536</v>
      </c>
      <c r="Z750">
        <f t="shared" si="110"/>
        <v>506161</v>
      </c>
      <c r="AA750">
        <f t="shared" si="111"/>
        <v>141485</v>
      </c>
      <c r="AC750" s="2">
        <f t="shared" si="116"/>
        <v>0.21846039348656518</v>
      </c>
      <c r="AD750" s="2"/>
      <c r="AE750">
        <f t="shared" si="117"/>
        <v>523992</v>
      </c>
      <c r="AF750">
        <f t="shared" si="118"/>
        <v>112648</v>
      </c>
      <c r="AH750" s="2">
        <f t="shared" si="119"/>
        <v>0.17694144257351094</v>
      </c>
      <c r="AI750" s="2"/>
      <c r="AJ750" s="2"/>
    </row>
    <row r="751" spans="2:36" x14ac:dyDescent="0.25">
      <c r="B751" s="1">
        <v>44642</v>
      </c>
      <c r="C751">
        <v>261939</v>
      </c>
      <c r="D751">
        <v>45315</v>
      </c>
      <c r="F751" s="2">
        <f t="shared" si="112"/>
        <v>0.14748384073112147</v>
      </c>
      <c r="I751">
        <v>286506</v>
      </c>
      <c r="J751">
        <v>22649</v>
      </c>
      <c r="L751" s="2">
        <f t="shared" si="113"/>
        <v>7.326098558975272E-2</v>
      </c>
      <c r="N751">
        <v>244493</v>
      </c>
      <c r="O751">
        <v>97912</v>
      </c>
      <c r="Q751" s="2">
        <f t="shared" si="114"/>
        <v>0.2859537681984784</v>
      </c>
      <c r="T751">
        <v>249298</v>
      </c>
      <c r="U751">
        <v>88861</v>
      </c>
      <c r="W751" s="2">
        <f t="shared" si="115"/>
        <v>0.26277875200719186</v>
      </c>
      <c r="Z751">
        <f t="shared" si="110"/>
        <v>506432</v>
      </c>
      <c r="AA751">
        <f t="shared" si="111"/>
        <v>143227</v>
      </c>
      <c r="AC751" s="2">
        <f t="shared" si="116"/>
        <v>0.22046489004231451</v>
      </c>
      <c r="AD751" s="2"/>
      <c r="AE751">
        <f t="shared" si="117"/>
        <v>535804</v>
      </c>
      <c r="AF751">
        <f t="shared" si="118"/>
        <v>111510</v>
      </c>
      <c r="AH751" s="2">
        <f t="shared" si="119"/>
        <v>0.17226570103535532</v>
      </c>
      <c r="AI751" s="2"/>
      <c r="AJ751" s="2"/>
    </row>
    <row r="752" spans="2:36" x14ac:dyDescent="0.25">
      <c r="B752" s="1">
        <v>44649</v>
      </c>
      <c r="C752">
        <v>256790</v>
      </c>
      <c r="D752">
        <v>44756</v>
      </c>
      <c r="F752" s="2">
        <f t="shared" si="112"/>
        <v>0.14842179965909016</v>
      </c>
      <c r="I752">
        <v>280507</v>
      </c>
      <c r="J752">
        <v>22599</v>
      </c>
      <c r="L752" s="2">
        <f t="shared" si="113"/>
        <v>7.455807539276689E-2</v>
      </c>
      <c r="N752">
        <v>241641</v>
      </c>
      <c r="O752">
        <v>100120</v>
      </c>
      <c r="Q752" s="2">
        <f t="shared" si="114"/>
        <v>0.29295326266016308</v>
      </c>
      <c r="T752">
        <v>245998</v>
      </c>
      <c r="U752">
        <v>93077</v>
      </c>
      <c r="W752" s="2">
        <f t="shared" si="115"/>
        <v>0.2745026911450269</v>
      </c>
      <c r="Z752">
        <f t="shared" si="110"/>
        <v>498431</v>
      </c>
      <c r="AA752">
        <f t="shared" si="111"/>
        <v>144876</v>
      </c>
      <c r="AC752" s="2">
        <f t="shared" si="116"/>
        <v>0.22520507316102575</v>
      </c>
      <c r="AD752" s="2"/>
      <c r="AE752">
        <f t="shared" si="117"/>
        <v>526505</v>
      </c>
      <c r="AF752">
        <f t="shared" si="118"/>
        <v>115676</v>
      </c>
      <c r="AH752" s="2">
        <f t="shared" si="119"/>
        <v>0.18012990107150476</v>
      </c>
      <c r="AI752" s="2"/>
      <c r="AJ752" s="2"/>
    </row>
    <row r="753" spans="2:36" x14ac:dyDescent="0.25">
      <c r="B753" s="1">
        <v>44656</v>
      </c>
      <c r="C753">
        <v>250332</v>
      </c>
      <c r="D753">
        <v>44737</v>
      </c>
      <c r="F753" s="2">
        <f t="shared" si="112"/>
        <v>0.15161538487607984</v>
      </c>
      <c r="I753">
        <v>273968</v>
      </c>
      <c r="J753">
        <v>20847</v>
      </c>
      <c r="L753" s="2">
        <f t="shared" si="113"/>
        <v>7.0712141512473931E-2</v>
      </c>
      <c r="N753">
        <v>241821</v>
      </c>
      <c r="O753">
        <v>100606</v>
      </c>
      <c r="Q753" s="2">
        <f t="shared" si="114"/>
        <v>0.29380276672108213</v>
      </c>
      <c r="T753">
        <v>243142</v>
      </c>
      <c r="U753">
        <v>93866</v>
      </c>
      <c r="W753" s="2">
        <f t="shared" si="115"/>
        <v>0.27852751269999526</v>
      </c>
      <c r="Z753">
        <f t="shared" si="110"/>
        <v>492153</v>
      </c>
      <c r="AA753">
        <f t="shared" si="111"/>
        <v>145343</v>
      </c>
      <c r="AC753" s="2">
        <f t="shared" si="116"/>
        <v>0.22799045013615771</v>
      </c>
      <c r="AD753" s="2"/>
      <c r="AE753">
        <f t="shared" si="117"/>
        <v>517110</v>
      </c>
      <c r="AF753">
        <f t="shared" si="118"/>
        <v>114713</v>
      </c>
      <c r="AH753" s="2">
        <f t="shared" si="119"/>
        <v>0.18155875933607987</v>
      </c>
      <c r="AI753" s="2"/>
      <c r="AJ753" s="2"/>
    </row>
    <row r="754" spans="2:36" x14ac:dyDescent="0.25">
      <c r="B754" s="1">
        <v>44663</v>
      </c>
      <c r="C754">
        <v>255201</v>
      </c>
      <c r="D754">
        <v>47884</v>
      </c>
      <c r="F754" s="2">
        <f t="shared" si="112"/>
        <v>0.1579886830427108</v>
      </c>
      <c r="I754">
        <v>280679</v>
      </c>
      <c r="J754">
        <v>25810</v>
      </c>
      <c r="L754" s="2">
        <f t="shared" si="113"/>
        <v>8.4211831419724686E-2</v>
      </c>
      <c r="N754">
        <v>236915</v>
      </c>
      <c r="O754">
        <v>96598</v>
      </c>
      <c r="Q754" s="2">
        <f t="shared" si="114"/>
        <v>0.28963788517988803</v>
      </c>
      <c r="T754">
        <v>235657</v>
      </c>
      <c r="U754">
        <v>89658</v>
      </c>
      <c r="W754" s="2">
        <f t="shared" si="115"/>
        <v>0.27560364569724727</v>
      </c>
      <c r="Z754">
        <f t="shared" si="110"/>
        <v>492116</v>
      </c>
      <c r="AA754">
        <f t="shared" si="111"/>
        <v>144482</v>
      </c>
      <c r="AC754" s="2">
        <f t="shared" si="116"/>
        <v>0.22695955689461794</v>
      </c>
      <c r="AD754" s="2"/>
      <c r="AE754">
        <f t="shared" si="117"/>
        <v>516336</v>
      </c>
      <c r="AF754">
        <f t="shared" si="118"/>
        <v>115468</v>
      </c>
      <c r="AH754" s="2">
        <f t="shared" si="119"/>
        <v>0.18275921013478863</v>
      </c>
      <c r="AI754" s="2"/>
      <c r="AJ754" s="2"/>
    </row>
    <row r="755" spans="2:36" x14ac:dyDescent="0.25">
      <c r="B755" s="1">
        <v>44670</v>
      </c>
      <c r="C755">
        <v>254661</v>
      </c>
      <c r="D755">
        <v>47877</v>
      </c>
      <c r="F755" s="2">
        <f t="shared" si="112"/>
        <v>0.15825119489122028</v>
      </c>
      <c r="I755">
        <v>269278</v>
      </c>
      <c r="J755">
        <v>28954</v>
      </c>
      <c r="L755" s="2">
        <f t="shared" si="113"/>
        <v>9.7085490490624746E-2</v>
      </c>
      <c r="N755">
        <v>252799</v>
      </c>
      <c r="O755">
        <v>85891</v>
      </c>
      <c r="Q755" s="2">
        <f t="shared" si="114"/>
        <v>0.25359768519885439</v>
      </c>
      <c r="T755">
        <v>253935</v>
      </c>
      <c r="U755">
        <v>80618</v>
      </c>
      <c r="W755" s="2">
        <f t="shared" si="115"/>
        <v>0.24097228241863022</v>
      </c>
      <c r="Z755">
        <f t="shared" si="110"/>
        <v>507460</v>
      </c>
      <c r="AA755">
        <f t="shared" si="111"/>
        <v>133768</v>
      </c>
      <c r="AC755" s="2">
        <f t="shared" si="116"/>
        <v>0.20861222529271958</v>
      </c>
      <c r="AD755" s="2"/>
      <c r="AE755">
        <f t="shared" si="117"/>
        <v>523213</v>
      </c>
      <c r="AF755">
        <f t="shared" si="118"/>
        <v>109572</v>
      </c>
      <c r="AH755" s="2">
        <f t="shared" si="119"/>
        <v>0.17315833972044217</v>
      </c>
      <c r="AI755" s="2"/>
      <c r="AJ755" s="2"/>
    </row>
    <row r="756" spans="2:36" x14ac:dyDescent="0.25">
      <c r="B756" s="1">
        <v>44677</v>
      </c>
      <c r="C756">
        <v>258898</v>
      </c>
      <c r="D756">
        <v>37947</v>
      </c>
      <c r="F756" s="2">
        <f t="shared" si="112"/>
        <v>0.12783439168589669</v>
      </c>
      <c r="I756">
        <v>271717</v>
      </c>
      <c r="J756">
        <v>19388</v>
      </c>
      <c r="L756" s="2">
        <f t="shared" si="113"/>
        <v>6.660139812095292E-2</v>
      </c>
      <c r="N756">
        <v>230232</v>
      </c>
      <c r="O756">
        <v>80011</v>
      </c>
      <c r="Q756" s="2">
        <f t="shared" si="114"/>
        <v>0.25789784136950711</v>
      </c>
      <c r="T756">
        <v>232972</v>
      </c>
      <c r="U756">
        <v>73844</v>
      </c>
      <c r="W756" s="2">
        <f t="shared" si="115"/>
        <v>0.24067845223195661</v>
      </c>
      <c r="Z756">
        <f t="shared" si="110"/>
        <v>489130</v>
      </c>
      <c r="AA756">
        <f t="shared" si="111"/>
        <v>117958</v>
      </c>
      <c r="AC756" s="2">
        <f t="shared" si="116"/>
        <v>0.19430132040165513</v>
      </c>
      <c r="AD756" s="2"/>
      <c r="AE756">
        <f t="shared" si="117"/>
        <v>504689</v>
      </c>
      <c r="AF756">
        <f t="shared" si="118"/>
        <v>93232</v>
      </c>
      <c r="AH756" s="2">
        <f t="shared" si="119"/>
        <v>0.15592695356075467</v>
      </c>
      <c r="AI756" s="2"/>
      <c r="AJ756" s="2"/>
    </row>
    <row r="757" spans="2:36" x14ac:dyDescent="0.25">
      <c r="B757" s="1">
        <v>44684</v>
      </c>
      <c r="C757">
        <v>261383</v>
      </c>
      <c r="D757">
        <v>36857</v>
      </c>
      <c r="F757" s="2">
        <f t="shared" si="112"/>
        <v>0.12358167918454936</v>
      </c>
      <c r="I757">
        <v>275017</v>
      </c>
      <c r="J757">
        <v>20634</v>
      </c>
      <c r="L757" s="2">
        <f t="shared" si="113"/>
        <v>6.9791747702527648E-2</v>
      </c>
      <c r="N757">
        <v>228209</v>
      </c>
      <c r="O757">
        <v>75600</v>
      </c>
      <c r="Q757" s="2">
        <f t="shared" si="114"/>
        <v>0.2488405544272882</v>
      </c>
      <c r="T757">
        <v>232684</v>
      </c>
      <c r="U757">
        <v>69593</v>
      </c>
      <c r="W757" s="2">
        <f t="shared" si="115"/>
        <v>0.23022922683498909</v>
      </c>
      <c r="Z757">
        <f t="shared" si="110"/>
        <v>489592</v>
      </c>
      <c r="AA757">
        <f t="shared" si="111"/>
        <v>112457</v>
      </c>
      <c r="AC757" s="2">
        <f t="shared" si="116"/>
        <v>0.18679044396718539</v>
      </c>
      <c r="AD757" s="2"/>
      <c r="AE757">
        <f t="shared" si="117"/>
        <v>507701</v>
      </c>
      <c r="AF757">
        <f t="shared" si="118"/>
        <v>90227</v>
      </c>
      <c r="AH757" s="2">
        <f t="shared" si="119"/>
        <v>0.15089943939738565</v>
      </c>
      <c r="AI757" s="2"/>
      <c r="AJ757" s="2"/>
    </row>
    <row r="758" spans="2:36" x14ac:dyDescent="0.25">
      <c r="B758" s="1">
        <v>44691</v>
      </c>
      <c r="C758">
        <v>262116</v>
      </c>
      <c r="D758">
        <v>40015</v>
      </c>
      <c r="F758" s="2">
        <f t="shared" si="112"/>
        <v>0.13244254975490763</v>
      </c>
      <c r="I758">
        <v>273410</v>
      </c>
      <c r="J758">
        <v>24458</v>
      </c>
      <c r="L758" s="2">
        <f t="shared" si="113"/>
        <v>8.2110196462862745E-2</v>
      </c>
      <c r="N758">
        <v>228409</v>
      </c>
      <c r="O758">
        <v>73877</v>
      </c>
      <c r="Q758" s="2">
        <f t="shared" si="114"/>
        <v>0.24439438147979067</v>
      </c>
      <c r="T758">
        <v>231177</v>
      </c>
      <c r="U758">
        <v>70545</v>
      </c>
      <c r="W758" s="2">
        <f t="shared" si="115"/>
        <v>0.23380794241056338</v>
      </c>
      <c r="Z758">
        <f t="shared" si="110"/>
        <v>490525</v>
      </c>
      <c r="AA758">
        <f t="shared" si="111"/>
        <v>113892</v>
      </c>
      <c r="AC758" s="2">
        <f t="shared" si="116"/>
        <v>0.18843282038724921</v>
      </c>
      <c r="AD758" s="2"/>
      <c r="AE758">
        <f t="shared" si="117"/>
        <v>504587</v>
      </c>
      <c r="AF758">
        <f t="shared" si="118"/>
        <v>95003</v>
      </c>
      <c r="AH758" s="2">
        <f t="shared" si="119"/>
        <v>0.15844660518020648</v>
      </c>
      <c r="AI758" s="2"/>
      <c r="AJ758" s="2"/>
    </row>
    <row r="759" spans="2:36" x14ac:dyDescent="0.25">
      <c r="B759" s="1">
        <v>44698</v>
      </c>
      <c r="C759">
        <v>291322</v>
      </c>
      <c r="D759">
        <v>27474</v>
      </c>
      <c r="F759" s="2">
        <f t="shared" si="112"/>
        <v>8.6180504146852535E-2</v>
      </c>
      <c r="I759">
        <v>300126</v>
      </c>
      <c r="J759">
        <v>15296</v>
      </c>
      <c r="L759" s="2">
        <f t="shared" si="113"/>
        <v>4.8493763909936531E-2</v>
      </c>
      <c r="N759">
        <v>242583</v>
      </c>
      <c r="O759">
        <v>66461</v>
      </c>
      <c r="Q759" s="2">
        <f t="shared" si="114"/>
        <v>0.21505351988713581</v>
      </c>
      <c r="T759">
        <v>245874</v>
      </c>
      <c r="U759">
        <v>61441</v>
      </c>
      <c r="W759" s="2">
        <f t="shared" si="115"/>
        <v>0.19992841221547922</v>
      </c>
      <c r="Z759">
        <f t="shared" si="110"/>
        <v>533905</v>
      </c>
      <c r="AA759">
        <f t="shared" si="111"/>
        <v>93935</v>
      </c>
      <c r="AC759" s="2">
        <f t="shared" si="116"/>
        <v>0.14961614424057085</v>
      </c>
      <c r="AD759" s="2"/>
      <c r="AE759">
        <f t="shared" si="117"/>
        <v>546000</v>
      </c>
      <c r="AF759">
        <f t="shared" si="118"/>
        <v>76737</v>
      </c>
      <c r="AH759" s="2">
        <f t="shared" si="119"/>
        <v>0.12322537443575698</v>
      </c>
      <c r="AI759" s="2"/>
      <c r="AJ759" s="2"/>
    </row>
    <row r="760" spans="2:36" x14ac:dyDescent="0.25">
      <c r="B760" s="1">
        <v>44705</v>
      </c>
      <c r="C760">
        <v>287463</v>
      </c>
      <c r="D760">
        <v>29804</v>
      </c>
      <c r="F760" s="2">
        <f t="shared" si="112"/>
        <v>9.3939804644037991E-2</v>
      </c>
      <c r="I760">
        <v>295362</v>
      </c>
      <c r="J760">
        <v>19344</v>
      </c>
      <c r="L760" s="2">
        <f t="shared" si="113"/>
        <v>6.1466892909572746E-2</v>
      </c>
      <c r="N760">
        <v>251704</v>
      </c>
      <c r="O760">
        <v>61563</v>
      </c>
      <c r="Q760" s="2">
        <f t="shared" si="114"/>
        <v>0.19651926312059681</v>
      </c>
      <c r="T760">
        <v>254705</v>
      </c>
      <c r="U760">
        <v>57633</v>
      </c>
      <c r="W760" s="2">
        <f t="shared" si="115"/>
        <v>0.18452125581901657</v>
      </c>
      <c r="Z760">
        <f t="shared" si="110"/>
        <v>539167</v>
      </c>
      <c r="AA760">
        <f t="shared" si="111"/>
        <v>91367</v>
      </c>
      <c r="AC760" s="2">
        <f t="shared" si="116"/>
        <v>0.14490416060038</v>
      </c>
      <c r="AD760" s="2"/>
      <c r="AE760">
        <f t="shared" si="117"/>
        <v>550067</v>
      </c>
      <c r="AF760">
        <f t="shared" si="118"/>
        <v>76977</v>
      </c>
      <c r="AH760" s="2">
        <f t="shared" si="119"/>
        <v>0.12276172007068084</v>
      </c>
      <c r="AI760" s="2"/>
      <c r="AJ760" s="2"/>
    </row>
    <row r="761" spans="2:36" x14ac:dyDescent="0.25">
      <c r="B761" s="1">
        <v>44712</v>
      </c>
      <c r="C761">
        <v>291899</v>
      </c>
      <c r="D761">
        <v>26192</v>
      </c>
      <c r="F761" s="2">
        <f t="shared" si="112"/>
        <v>8.2341216821601365E-2</v>
      </c>
      <c r="I761">
        <v>299558</v>
      </c>
      <c r="J761">
        <v>16355</v>
      </c>
      <c r="L761" s="2">
        <f t="shared" si="113"/>
        <v>5.1770582407181721E-2</v>
      </c>
      <c r="N761">
        <v>255851</v>
      </c>
      <c r="O761">
        <v>57949</v>
      </c>
      <c r="Q761" s="2">
        <f t="shared" si="114"/>
        <v>0.18466857871255576</v>
      </c>
      <c r="T761">
        <v>262141</v>
      </c>
      <c r="U761">
        <v>51704</v>
      </c>
      <c r="W761" s="2">
        <f t="shared" si="115"/>
        <v>0.16474374293042743</v>
      </c>
      <c r="Z761">
        <f t="shared" si="110"/>
        <v>547750</v>
      </c>
      <c r="AA761">
        <f t="shared" si="111"/>
        <v>84141</v>
      </c>
      <c r="AC761" s="2">
        <f t="shared" si="116"/>
        <v>0.13315745911874041</v>
      </c>
      <c r="AD761" s="2"/>
      <c r="AE761">
        <f t="shared" si="117"/>
        <v>561699</v>
      </c>
      <c r="AF761">
        <f t="shared" si="118"/>
        <v>68059</v>
      </c>
      <c r="AH761" s="2">
        <f t="shared" si="119"/>
        <v>0.10807167197558427</v>
      </c>
      <c r="AI761" s="2"/>
      <c r="AJ761" s="2"/>
    </row>
    <row r="762" spans="2:36" x14ac:dyDescent="0.25">
      <c r="B762" s="1">
        <v>44719</v>
      </c>
      <c r="C762">
        <v>290174</v>
      </c>
      <c r="D762">
        <v>26693</v>
      </c>
      <c r="F762" s="2">
        <f t="shared" si="112"/>
        <v>8.424039107890692E-2</v>
      </c>
      <c r="I762">
        <v>302985</v>
      </c>
      <c r="J762">
        <v>18106</v>
      </c>
      <c r="L762" s="2">
        <f t="shared" si="113"/>
        <v>5.6388998757361621E-2</v>
      </c>
      <c r="N762">
        <v>266482</v>
      </c>
      <c r="O762">
        <v>52789</v>
      </c>
      <c r="Q762" s="2">
        <f t="shared" si="114"/>
        <v>0.16534229541674628</v>
      </c>
      <c r="T762">
        <v>278277</v>
      </c>
      <c r="U762">
        <v>49484</v>
      </c>
      <c r="W762" s="2">
        <f t="shared" si="115"/>
        <v>0.15097586351030171</v>
      </c>
      <c r="Z762">
        <f t="shared" si="110"/>
        <v>556656</v>
      </c>
      <c r="AA762">
        <f t="shared" si="111"/>
        <v>79482</v>
      </c>
      <c r="AC762" s="2">
        <f t="shared" si="116"/>
        <v>0.12494458749516614</v>
      </c>
      <c r="AD762" s="2"/>
      <c r="AE762">
        <f t="shared" si="117"/>
        <v>581262</v>
      </c>
      <c r="AF762">
        <f t="shared" si="118"/>
        <v>67590</v>
      </c>
      <c r="AH762" s="2">
        <f t="shared" si="119"/>
        <v>0.10416859314604872</v>
      </c>
      <c r="AI762" s="2"/>
      <c r="AJ762" s="2"/>
    </row>
    <row r="763" spans="2:36" x14ac:dyDescent="0.25">
      <c r="B763" s="1">
        <v>44726</v>
      </c>
      <c r="C763">
        <v>282212</v>
      </c>
      <c r="D763">
        <v>32372</v>
      </c>
      <c r="F763" s="2">
        <f t="shared" si="112"/>
        <v>0.10290415278590138</v>
      </c>
      <c r="I763">
        <v>290072</v>
      </c>
      <c r="J763">
        <v>24088</v>
      </c>
      <c r="L763" s="2">
        <f t="shared" si="113"/>
        <v>7.6674306086070787E-2</v>
      </c>
      <c r="N763">
        <v>271708</v>
      </c>
      <c r="O763">
        <v>47434</v>
      </c>
      <c r="Q763" s="2">
        <f t="shared" si="114"/>
        <v>0.14862976355352789</v>
      </c>
      <c r="T763">
        <v>285167</v>
      </c>
      <c r="U763">
        <v>45831</v>
      </c>
      <c r="W763" s="2">
        <f t="shared" si="115"/>
        <v>0.13846307228442467</v>
      </c>
      <c r="Z763">
        <f t="shared" si="110"/>
        <v>553920</v>
      </c>
      <c r="AA763">
        <f t="shared" si="111"/>
        <v>79806</v>
      </c>
      <c r="AC763" s="2">
        <f t="shared" si="116"/>
        <v>0.12593139621855501</v>
      </c>
      <c r="AD763" s="2"/>
      <c r="AE763">
        <f t="shared" si="117"/>
        <v>575239</v>
      </c>
      <c r="AF763">
        <f t="shared" si="118"/>
        <v>69919</v>
      </c>
      <c r="AH763" s="2">
        <f t="shared" si="119"/>
        <v>0.10837500271251384</v>
      </c>
      <c r="AI763" s="2"/>
      <c r="AJ763" s="2"/>
    </row>
    <row r="764" spans="2:36" x14ac:dyDescent="0.25">
      <c r="B764" s="1">
        <v>44733</v>
      </c>
      <c r="C764">
        <v>254988</v>
      </c>
      <c r="D764">
        <v>38635</v>
      </c>
      <c r="F764" s="2">
        <f t="shared" si="112"/>
        <v>0.13158029173463931</v>
      </c>
      <c r="I764">
        <v>261295</v>
      </c>
      <c r="J764">
        <v>27283</v>
      </c>
      <c r="L764" s="2">
        <f t="shared" si="113"/>
        <v>9.4542896547900393E-2</v>
      </c>
      <c r="N764">
        <v>246258</v>
      </c>
      <c r="O764">
        <v>47929</v>
      </c>
      <c r="Q764" s="2">
        <f t="shared" si="114"/>
        <v>0.16292018342074938</v>
      </c>
      <c r="T764">
        <v>253890</v>
      </c>
      <c r="U764">
        <v>45002</v>
      </c>
      <c r="W764" s="2">
        <f t="shared" si="115"/>
        <v>0.15056274507179851</v>
      </c>
      <c r="Z764">
        <f t="shared" si="110"/>
        <v>501246</v>
      </c>
      <c r="AA764">
        <f t="shared" si="111"/>
        <v>86564</v>
      </c>
      <c r="AC764" s="2">
        <f t="shared" si="116"/>
        <v>0.14726527279222879</v>
      </c>
      <c r="AD764" s="2"/>
      <c r="AE764">
        <f t="shared" si="117"/>
        <v>515185</v>
      </c>
      <c r="AF764">
        <f t="shared" si="118"/>
        <v>72285</v>
      </c>
      <c r="AH764" s="2">
        <f t="shared" si="119"/>
        <v>0.12304458099988085</v>
      </c>
      <c r="AI764" s="2"/>
      <c r="AJ764" s="2"/>
    </row>
    <row r="765" spans="2:36" x14ac:dyDescent="0.25">
      <c r="B765" s="1">
        <v>44740</v>
      </c>
      <c r="C765">
        <v>261002</v>
      </c>
      <c r="D765">
        <v>35253</v>
      </c>
      <c r="F765" s="2">
        <f t="shared" si="112"/>
        <v>0.11899545999223642</v>
      </c>
      <c r="I765">
        <v>267187</v>
      </c>
      <c r="J765">
        <v>23876</v>
      </c>
      <c r="L765" s="2">
        <f t="shared" si="113"/>
        <v>8.2030350817520609E-2</v>
      </c>
      <c r="N765">
        <v>237123</v>
      </c>
      <c r="O765">
        <v>48006</v>
      </c>
      <c r="Q765" s="2">
        <f t="shared" si="114"/>
        <v>0.16836589754111297</v>
      </c>
      <c r="T765">
        <v>240029</v>
      </c>
      <c r="U765">
        <v>42830</v>
      </c>
      <c r="W765" s="2">
        <f t="shared" si="115"/>
        <v>0.15141819775930765</v>
      </c>
      <c r="Z765">
        <f t="shared" si="110"/>
        <v>498125</v>
      </c>
      <c r="AA765">
        <f t="shared" si="111"/>
        <v>83259</v>
      </c>
      <c r="AC765" s="2">
        <f t="shared" si="116"/>
        <v>0.1432082754255363</v>
      </c>
      <c r="AD765" s="2"/>
      <c r="AE765">
        <f t="shared" si="117"/>
        <v>507216</v>
      </c>
      <c r="AF765">
        <f t="shared" si="118"/>
        <v>66706</v>
      </c>
      <c r="AH765" s="2">
        <f t="shared" si="119"/>
        <v>0.11622833764867002</v>
      </c>
      <c r="AI765" s="2"/>
      <c r="AJ765" s="2"/>
    </row>
    <row r="766" spans="2:36" x14ac:dyDescent="0.25">
      <c r="B766" s="1">
        <v>44747</v>
      </c>
      <c r="C766">
        <v>245861</v>
      </c>
      <c r="D766">
        <v>54159</v>
      </c>
      <c r="F766" s="2">
        <f t="shared" si="112"/>
        <v>0.18051796546896873</v>
      </c>
      <c r="I766">
        <v>245477</v>
      </c>
      <c r="J766">
        <v>44520</v>
      </c>
      <c r="L766" s="2">
        <f t="shared" si="113"/>
        <v>0.15351882950513282</v>
      </c>
      <c r="N766">
        <v>206564</v>
      </c>
      <c r="O766">
        <v>65072</v>
      </c>
      <c r="Q766" s="2">
        <f t="shared" si="114"/>
        <v>0.23955587624615293</v>
      </c>
      <c r="T766">
        <v>200283</v>
      </c>
      <c r="U766">
        <v>57281</v>
      </c>
      <c r="W766" s="2">
        <f t="shared" si="115"/>
        <v>0.22239521051078567</v>
      </c>
      <c r="Z766">
        <f t="shared" si="110"/>
        <v>452425</v>
      </c>
      <c r="AA766">
        <f t="shared" si="111"/>
        <v>119231</v>
      </c>
      <c r="AC766" s="2">
        <f t="shared" si="116"/>
        <v>0.20857123864701849</v>
      </c>
      <c r="AD766" s="2"/>
      <c r="AE766">
        <f t="shared" si="117"/>
        <v>445760</v>
      </c>
      <c r="AF766">
        <f t="shared" si="118"/>
        <v>101801</v>
      </c>
      <c r="AH766" s="2">
        <f t="shared" si="119"/>
        <v>0.18591718548253072</v>
      </c>
      <c r="AI766" s="2"/>
      <c r="AJ766" s="2"/>
    </row>
    <row r="767" spans="2:36" x14ac:dyDescent="0.25">
      <c r="B767" s="1">
        <v>44754</v>
      </c>
      <c r="C767">
        <v>244944</v>
      </c>
      <c r="D767">
        <v>44449</v>
      </c>
      <c r="F767" s="2">
        <f t="shared" si="112"/>
        <v>0.15359390171842444</v>
      </c>
      <c r="I767">
        <v>249002</v>
      </c>
      <c r="J767">
        <v>33713</v>
      </c>
      <c r="L767" s="2">
        <f t="shared" si="113"/>
        <v>0.11924729851617354</v>
      </c>
      <c r="N767">
        <v>197480</v>
      </c>
      <c r="O767">
        <v>56495</v>
      </c>
      <c r="Q767" s="2">
        <f t="shared" si="114"/>
        <v>0.22244315385372576</v>
      </c>
      <c r="T767">
        <v>189261</v>
      </c>
      <c r="U767">
        <v>49633</v>
      </c>
      <c r="W767" s="2">
        <f t="shared" si="115"/>
        <v>0.20776160137969141</v>
      </c>
      <c r="Z767">
        <f t="shared" si="110"/>
        <v>442424</v>
      </c>
      <c r="AA767">
        <f t="shared" si="111"/>
        <v>100944</v>
      </c>
      <c r="AC767" s="2">
        <f t="shared" si="116"/>
        <v>0.18577464996098408</v>
      </c>
      <c r="AD767" s="2"/>
      <c r="AE767">
        <f t="shared" si="117"/>
        <v>438263</v>
      </c>
      <c r="AF767">
        <f t="shared" si="118"/>
        <v>83346</v>
      </c>
      <c r="AH767" s="2">
        <f t="shared" si="119"/>
        <v>0.15978635337963878</v>
      </c>
      <c r="AI767" s="2"/>
      <c r="AJ767" s="2"/>
    </row>
    <row r="768" spans="2:36" x14ac:dyDescent="0.25">
      <c r="B768" s="1">
        <v>44761</v>
      </c>
      <c r="C768">
        <v>253328</v>
      </c>
      <c r="D768">
        <v>41916</v>
      </c>
      <c r="F768" s="2">
        <f t="shared" si="112"/>
        <v>0.1419707089729173</v>
      </c>
      <c r="I768">
        <v>257160</v>
      </c>
      <c r="J768">
        <v>29527</v>
      </c>
      <c r="L768" s="2">
        <f t="shared" si="113"/>
        <v>0.10299385741243935</v>
      </c>
      <c r="N768">
        <v>207690</v>
      </c>
      <c r="O768">
        <v>56738</v>
      </c>
      <c r="Q768" s="2">
        <f t="shared" si="114"/>
        <v>0.21456880511897378</v>
      </c>
      <c r="T768">
        <v>206170</v>
      </c>
      <c r="U768">
        <v>51378</v>
      </c>
      <c r="W768" s="2">
        <f t="shared" si="115"/>
        <v>0.19948902728811715</v>
      </c>
      <c r="Z768">
        <f t="shared" si="110"/>
        <v>461018</v>
      </c>
      <c r="AA768">
        <f t="shared" si="111"/>
        <v>98654</v>
      </c>
      <c r="AC768" s="2">
        <f t="shared" si="116"/>
        <v>0.17627110164524937</v>
      </c>
      <c r="AD768" s="2"/>
      <c r="AE768">
        <f t="shared" si="117"/>
        <v>463330</v>
      </c>
      <c r="AF768">
        <f t="shared" si="118"/>
        <v>80905</v>
      </c>
      <c r="AH768" s="2">
        <f t="shared" si="119"/>
        <v>0.14865820831074811</v>
      </c>
      <c r="AI768" s="2"/>
      <c r="AJ768" s="2"/>
    </row>
    <row r="769" spans="2:36" x14ac:dyDescent="0.25">
      <c r="B769" s="1">
        <v>44768</v>
      </c>
      <c r="C769">
        <v>243710</v>
      </c>
      <c r="D769">
        <v>43534</v>
      </c>
      <c r="F769" s="2">
        <f t="shared" si="112"/>
        <v>0.15155756081937308</v>
      </c>
      <c r="I769">
        <v>248311</v>
      </c>
      <c r="J769">
        <v>33215</v>
      </c>
      <c r="L769" s="2">
        <f t="shared" si="113"/>
        <v>0.11798199811029887</v>
      </c>
      <c r="N769">
        <v>215098</v>
      </c>
      <c r="O769">
        <v>55254</v>
      </c>
      <c r="Q769" s="2">
        <f t="shared" si="114"/>
        <v>0.20437799609398119</v>
      </c>
      <c r="T769">
        <v>215086</v>
      </c>
      <c r="U769">
        <v>48697</v>
      </c>
      <c r="W769" s="2">
        <f t="shared" si="115"/>
        <v>0.18461007722256551</v>
      </c>
      <c r="Z769">
        <f t="shared" si="110"/>
        <v>458808</v>
      </c>
      <c r="AA769">
        <f t="shared" si="111"/>
        <v>98788</v>
      </c>
      <c r="AC769" s="2">
        <f t="shared" si="116"/>
        <v>0.17716769847703356</v>
      </c>
      <c r="AD769" s="2"/>
      <c r="AE769">
        <f t="shared" si="117"/>
        <v>463397</v>
      </c>
      <c r="AF769">
        <f t="shared" si="118"/>
        <v>81912</v>
      </c>
      <c r="AH769" s="2">
        <f t="shared" si="119"/>
        <v>0.15021208159043772</v>
      </c>
      <c r="AI769" s="2"/>
      <c r="AJ769" s="2"/>
    </row>
    <row r="770" spans="2:36" x14ac:dyDescent="0.25">
      <c r="B770" s="1">
        <v>44775</v>
      </c>
      <c r="C770">
        <v>224177</v>
      </c>
      <c r="D770">
        <v>45634</v>
      </c>
      <c r="F770" s="2">
        <f t="shared" si="112"/>
        <v>0.16913320806045715</v>
      </c>
      <c r="I770">
        <v>228214</v>
      </c>
      <c r="J770">
        <v>35779</v>
      </c>
      <c r="L770" s="2">
        <f t="shared" si="113"/>
        <v>0.1355301087528836</v>
      </c>
      <c r="N770">
        <v>217624</v>
      </c>
      <c r="O770">
        <v>63301</v>
      </c>
      <c r="Q770" s="2">
        <f t="shared" si="114"/>
        <v>0.22533060425380438</v>
      </c>
      <c r="T770">
        <v>215902</v>
      </c>
      <c r="U770">
        <v>55724</v>
      </c>
      <c r="W770" s="2">
        <f t="shared" si="115"/>
        <v>0.20514972793473379</v>
      </c>
      <c r="Z770">
        <f t="shared" si="110"/>
        <v>441801</v>
      </c>
      <c r="AA770">
        <f t="shared" si="111"/>
        <v>108935</v>
      </c>
      <c r="AC770" s="2">
        <f t="shared" si="116"/>
        <v>0.19779894541123152</v>
      </c>
      <c r="AD770" s="2"/>
      <c r="AE770">
        <f t="shared" si="117"/>
        <v>444116</v>
      </c>
      <c r="AF770">
        <f t="shared" si="118"/>
        <v>91503</v>
      </c>
      <c r="AH770" s="2">
        <f t="shared" si="119"/>
        <v>0.1708359860273814</v>
      </c>
      <c r="AI770" s="2"/>
      <c r="AJ770" s="2"/>
    </row>
    <row r="771" spans="2:36" x14ac:dyDescent="0.25">
      <c r="B771" s="1">
        <v>44782</v>
      </c>
      <c r="C771">
        <v>207962</v>
      </c>
      <c r="D771">
        <v>58045</v>
      </c>
      <c r="F771" s="2">
        <f t="shared" si="112"/>
        <v>0.21820854338419665</v>
      </c>
      <c r="I771">
        <v>214172</v>
      </c>
      <c r="J771">
        <v>47390</v>
      </c>
      <c r="L771" s="2">
        <f t="shared" si="113"/>
        <v>0.18118075255579938</v>
      </c>
      <c r="N771">
        <v>200801</v>
      </c>
      <c r="O771">
        <v>66922</v>
      </c>
      <c r="Q771" s="2">
        <f t="shared" si="114"/>
        <v>0.24996731696566973</v>
      </c>
      <c r="T771">
        <v>196704</v>
      </c>
      <c r="U771">
        <v>59024</v>
      </c>
      <c r="W771" s="2">
        <f t="shared" si="115"/>
        <v>0.23080773321654258</v>
      </c>
      <c r="Z771">
        <f t="shared" si="110"/>
        <v>408763</v>
      </c>
      <c r="AA771">
        <f t="shared" si="111"/>
        <v>124967</v>
      </c>
      <c r="AC771" s="2">
        <f t="shared" si="116"/>
        <v>0.2341389841305529</v>
      </c>
      <c r="AD771" s="2"/>
      <c r="AE771">
        <f t="shared" si="117"/>
        <v>410876</v>
      </c>
      <c r="AF771">
        <f t="shared" si="118"/>
        <v>106414</v>
      </c>
      <c r="AH771" s="2">
        <f t="shared" si="119"/>
        <v>0.20571439618009241</v>
      </c>
      <c r="AI771" s="2"/>
      <c r="AJ771" s="2"/>
    </row>
    <row r="772" spans="2:36" x14ac:dyDescent="0.25">
      <c r="B772" s="1">
        <v>44789</v>
      </c>
      <c r="C772">
        <v>203553</v>
      </c>
      <c r="D772">
        <v>68235</v>
      </c>
      <c r="F772" s="2">
        <f t="shared" si="112"/>
        <v>0.25105964943264603</v>
      </c>
      <c r="I772">
        <v>210189</v>
      </c>
      <c r="J772">
        <v>56786</v>
      </c>
      <c r="L772" s="2">
        <f t="shared" si="113"/>
        <v>0.21270156381683678</v>
      </c>
      <c r="N772">
        <v>197668</v>
      </c>
      <c r="O772">
        <v>76522</v>
      </c>
      <c r="Q772" s="2">
        <f t="shared" si="114"/>
        <v>0.27908384696743133</v>
      </c>
      <c r="T772">
        <v>192627</v>
      </c>
      <c r="U772">
        <v>68173</v>
      </c>
      <c r="W772" s="2">
        <f t="shared" si="115"/>
        <v>0.26139953987730064</v>
      </c>
      <c r="Z772">
        <f t="shared" si="110"/>
        <v>401221</v>
      </c>
      <c r="AA772">
        <f t="shared" si="111"/>
        <v>144757</v>
      </c>
      <c r="AC772" s="2">
        <f t="shared" si="116"/>
        <v>0.26513339365322414</v>
      </c>
      <c r="AD772" s="2"/>
      <c r="AE772">
        <f t="shared" si="117"/>
        <v>402816</v>
      </c>
      <c r="AF772">
        <f t="shared" si="118"/>
        <v>124959</v>
      </c>
      <c r="AH772" s="2">
        <f t="shared" si="119"/>
        <v>0.23676566718772205</v>
      </c>
      <c r="AI772" s="2"/>
      <c r="AJ772" s="2"/>
    </row>
    <row r="773" spans="2:36" x14ac:dyDescent="0.25">
      <c r="B773" s="1">
        <v>44796</v>
      </c>
      <c r="C773">
        <v>203267</v>
      </c>
      <c r="D773">
        <v>42940</v>
      </c>
      <c r="F773" s="2">
        <f t="shared" si="112"/>
        <v>0.17440608918511658</v>
      </c>
      <c r="I773">
        <v>215812</v>
      </c>
      <c r="J773">
        <v>32381</v>
      </c>
      <c r="L773" s="2">
        <f t="shared" si="113"/>
        <v>0.13046701558867493</v>
      </c>
      <c r="N773">
        <v>207298</v>
      </c>
      <c r="O773">
        <v>60021</v>
      </c>
      <c r="Q773" s="2">
        <f t="shared" si="114"/>
        <v>0.22452949472353256</v>
      </c>
      <c r="T773">
        <v>207131</v>
      </c>
      <c r="U773">
        <v>52773</v>
      </c>
      <c r="W773" s="2">
        <f t="shared" si="115"/>
        <v>0.20304804851021915</v>
      </c>
      <c r="Z773">
        <f t="shared" si="110"/>
        <v>410565</v>
      </c>
      <c r="AA773">
        <f t="shared" si="111"/>
        <v>102961</v>
      </c>
      <c r="AC773" s="2">
        <f t="shared" si="116"/>
        <v>0.20049812472980921</v>
      </c>
      <c r="AD773" s="2"/>
      <c r="AE773">
        <f t="shared" si="117"/>
        <v>422943</v>
      </c>
      <c r="AF773">
        <f t="shared" si="118"/>
        <v>85154</v>
      </c>
      <c r="AH773" s="2">
        <f t="shared" si="119"/>
        <v>0.16759398303867176</v>
      </c>
      <c r="AI773" s="2"/>
      <c r="AJ773" s="2"/>
    </row>
    <row r="774" spans="2:36" x14ac:dyDescent="0.25">
      <c r="B774" s="1">
        <v>44803</v>
      </c>
      <c r="C774">
        <v>200782</v>
      </c>
      <c r="D774">
        <v>53127</v>
      </c>
      <c r="F774" s="2">
        <f t="shared" si="112"/>
        <v>0.20923637996290009</v>
      </c>
      <c r="I774">
        <v>214090</v>
      </c>
      <c r="J774">
        <v>41378</v>
      </c>
      <c r="L774" s="2">
        <f t="shared" si="113"/>
        <v>0.16196940517011915</v>
      </c>
      <c r="N774">
        <v>225716</v>
      </c>
      <c r="O774">
        <v>62331</v>
      </c>
      <c r="Q774" s="2">
        <f t="shared" si="114"/>
        <v>0.21639176939874397</v>
      </c>
      <c r="T774">
        <v>228314</v>
      </c>
      <c r="U774">
        <v>56495</v>
      </c>
      <c r="W774" s="2">
        <f t="shared" si="115"/>
        <v>0.19836100685020489</v>
      </c>
      <c r="Z774">
        <f t="shared" si="110"/>
        <v>426498</v>
      </c>
      <c r="AA774">
        <f t="shared" si="111"/>
        <v>115458</v>
      </c>
      <c r="AC774" s="2">
        <f t="shared" si="116"/>
        <v>0.21303943493567742</v>
      </c>
      <c r="AD774" s="2"/>
      <c r="AE774">
        <f t="shared" si="117"/>
        <v>442404</v>
      </c>
      <c r="AF774">
        <f t="shared" si="118"/>
        <v>97873</v>
      </c>
      <c r="AH774" s="2">
        <f t="shared" si="119"/>
        <v>0.18115337132619008</v>
      </c>
      <c r="AI774" s="2"/>
      <c r="AJ774" s="2"/>
    </row>
    <row r="775" spans="2:36" x14ac:dyDescent="0.25">
      <c r="B775" s="1">
        <v>44810</v>
      </c>
      <c r="C775">
        <v>198513</v>
      </c>
      <c r="D775">
        <v>53303</v>
      </c>
      <c r="F775" s="2">
        <f t="shared" si="112"/>
        <v>0.21167439717889253</v>
      </c>
      <c r="I775">
        <v>218282</v>
      </c>
      <c r="J775">
        <v>43875</v>
      </c>
      <c r="L775" s="2">
        <f t="shared" si="113"/>
        <v>0.16736154289223634</v>
      </c>
      <c r="N775">
        <v>209720</v>
      </c>
      <c r="O775">
        <v>65128</v>
      </c>
      <c r="Q775" s="2">
        <f t="shared" si="114"/>
        <v>0.236960065199674</v>
      </c>
      <c r="T775">
        <v>210777</v>
      </c>
      <c r="U775">
        <v>57049</v>
      </c>
      <c r="W775" s="2">
        <f t="shared" si="115"/>
        <v>0.21300769902847372</v>
      </c>
      <c r="Z775">
        <f t="shared" si="110"/>
        <v>408233</v>
      </c>
      <c r="AA775">
        <f t="shared" si="111"/>
        <v>118431</v>
      </c>
      <c r="AC775" s="2">
        <f t="shared" si="116"/>
        <v>0.22487012592468822</v>
      </c>
      <c r="AD775" s="2"/>
      <c r="AE775">
        <f t="shared" si="117"/>
        <v>429059</v>
      </c>
      <c r="AF775">
        <f t="shared" si="118"/>
        <v>100924</v>
      </c>
      <c r="AH775" s="2">
        <f t="shared" si="119"/>
        <v>0.1904287496014023</v>
      </c>
      <c r="AI775" s="2"/>
      <c r="AJ775" s="2"/>
    </row>
    <row r="776" spans="2:36" x14ac:dyDescent="0.25">
      <c r="B776" s="1">
        <v>44817</v>
      </c>
      <c r="C776">
        <v>202300</v>
      </c>
      <c r="D776">
        <v>43952</v>
      </c>
      <c r="F776" s="2">
        <f t="shared" si="112"/>
        <v>0.17848382957295778</v>
      </c>
      <c r="I776">
        <v>219511</v>
      </c>
      <c r="J776">
        <v>34712</v>
      </c>
      <c r="L776" s="2">
        <f t="shared" si="113"/>
        <v>0.13654154030123158</v>
      </c>
      <c r="N776">
        <v>205552</v>
      </c>
      <c r="O776">
        <v>58150</v>
      </c>
      <c r="Q776" s="2">
        <f t="shared" si="114"/>
        <v>0.22051406511896005</v>
      </c>
      <c r="T776">
        <v>205617</v>
      </c>
      <c r="U776">
        <v>48918</v>
      </c>
      <c r="W776" s="2">
        <f t="shared" si="115"/>
        <v>0.1921857504861807</v>
      </c>
      <c r="Z776">
        <f t="shared" si="110"/>
        <v>407852</v>
      </c>
      <c r="AA776">
        <f t="shared" si="111"/>
        <v>102102</v>
      </c>
      <c r="AC776" s="2">
        <f t="shared" si="116"/>
        <v>0.20021805888374244</v>
      </c>
      <c r="AD776" s="2"/>
      <c r="AE776">
        <f t="shared" si="117"/>
        <v>425128</v>
      </c>
      <c r="AF776">
        <f t="shared" si="118"/>
        <v>83630</v>
      </c>
      <c r="AH776" s="2">
        <f t="shared" si="119"/>
        <v>0.1643807075269578</v>
      </c>
      <c r="AI776" s="2"/>
      <c r="AJ776" s="2"/>
    </row>
    <row r="777" spans="2:36" x14ac:dyDescent="0.25">
      <c r="B777" s="1">
        <v>44824</v>
      </c>
      <c r="C777">
        <v>206193</v>
      </c>
      <c r="D777">
        <v>41165</v>
      </c>
      <c r="F777" s="2">
        <f t="shared" si="112"/>
        <v>0.16641871295854591</v>
      </c>
      <c r="I777">
        <v>225063</v>
      </c>
      <c r="J777">
        <v>32323</v>
      </c>
      <c r="L777" s="2">
        <f t="shared" si="113"/>
        <v>0.12558181097651</v>
      </c>
      <c r="N777">
        <v>204829</v>
      </c>
      <c r="O777">
        <v>52526</v>
      </c>
      <c r="Q777" s="2">
        <f t="shared" si="114"/>
        <v>0.20409939577626235</v>
      </c>
      <c r="T777">
        <v>205018</v>
      </c>
      <c r="U777">
        <v>42684</v>
      </c>
      <c r="W777" s="2">
        <f t="shared" si="115"/>
        <v>0.17231996511937731</v>
      </c>
      <c r="Z777">
        <f t="shared" ref="Z777:Z840" si="120">IFERROR(+C777+N777,C777)</f>
        <v>411022</v>
      </c>
      <c r="AA777">
        <f t="shared" ref="AA777:AA840" si="121">IFERROR(+D777+O777,D777)</f>
        <v>93691</v>
      </c>
      <c r="AC777" s="2">
        <f t="shared" si="116"/>
        <v>0.18563223059441702</v>
      </c>
      <c r="AD777" s="2"/>
      <c r="AE777">
        <f t="shared" si="117"/>
        <v>430081</v>
      </c>
      <c r="AF777">
        <f t="shared" si="118"/>
        <v>75007</v>
      </c>
      <c r="AH777" s="2">
        <f t="shared" si="119"/>
        <v>0.14850283514951851</v>
      </c>
      <c r="AI777" s="2"/>
      <c r="AJ777" s="2"/>
    </row>
    <row r="778" spans="2:36" x14ac:dyDescent="0.25">
      <c r="B778" s="1">
        <v>44831</v>
      </c>
      <c r="C778">
        <v>190822</v>
      </c>
      <c r="D778">
        <v>51655</v>
      </c>
      <c r="F778" s="2">
        <f t="shared" ref="F778:F841" si="122">+D778/SUM(C778:D778)</f>
        <v>0.21303051423433975</v>
      </c>
      <c r="I778">
        <v>211808</v>
      </c>
      <c r="J778">
        <v>42146</v>
      </c>
      <c r="L778" s="2">
        <f t="shared" ref="L778:L841" si="123">+J778/SUM(I778:J778)</f>
        <v>0.16595918945950841</v>
      </c>
      <c r="N778">
        <v>200092</v>
      </c>
      <c r="O778">
        <v>56352</v>
      </c>
      <c r="Q778" s="2">
        <f t="shared" ref="Q778:Q841" si="124">+O778/SUM(N778:O778)</f>
        <v>0.21974388170516759</v>
      </c>
      <c r="T778">
        <v>202350</v>
      </c>
      <c r="U778">
        <v>44477</v>
      </c>
      <c r="W778" s="2">
        <f t="shared" ref="W778:W841" si="125">+U778/SUM(T778:U778)</f>
        <v>0.18019503538915921</v>
      </c>
      <c r="Z778">
        <f t="shared" si="120"/>
        <v>390914</v>
      </c>
      <c r="AA778">
        <f t="shared" si="121"/>
        <v>108007</v>
      </c>
      <c r="AC778" s="2">
        <f t="shared" ref="AC778:AC841" si="126">+AA778/SUM(Z778:AA778)</f>
        <v>0.21648116635699841</v>
      </c>
      <c r="AD778" s="2"/>
      <c r="AE778">
        <f t="shared" ref="AE778:AE841" si="127">IFERROR(+I778+T778,I778)</f>
        <v>414158</v>
      </c>
      <c r="AF778">
        <f t="shared" ref="AF778:AF841" si="128">IFERROR(+J778+U778,J778)</f>
        <v>86623</v>
      </c>
      <c r="AH778" s="2">
        <f t="shared" ref="AH778:AH841" si="129">+AF778/SUM(AE778:AF778)</f>
        <v>0.17297581178199653</v>
      </c>
      <c r="AI778" s="2"/>
      <c r="AJ778" s="2"/>
    </row>
    <row r="779" spans="2:36" x14ac:dyDescent="0.25">
      <c r="B779" s="1">
        <v>44838</v>
      </c>
      <c r="C779">
        <v>195247</v>
      </c>
      <c r="D779">
        <v>36371</v>
      </c>
      <c r="F779" s="2">
        <f t="shared" si="122"/>
        <v>0.15703010992237218</v>
      </c>
      <c r="I779">
        <v>219497</v>
      </c>
      <c r="J779">
        <v>30136</v>
      </c>
      <c r="L779" s="2">
        <f t="shared" si="123"/>
        <v>0.12072121874912371</v>
      </c>
      <c r="N779">
        <v>222518</v>
      </c>
      <c r="O779">
        <v>53122</v>
      </c>
      <c r="Q779" s="2">
        <f t="shared" si="124"/>
        <v>0.19272239152517776</v>
      </c>
      <c r="T779">
        <v>226784</v>
      </c>
      <c r="U779">
        <v>41452</v>
      </c>
      <c r="W779" s="2">
        <f t="shared" si="125"/>
        <v>0.15453555823975901</v>
      </c>
      <c r="Z779">
        <f t="shared" si="120"/>
        <v>417765</v>
      </c>
      <c r="AA779">
        <f t="shared" si="121"/>
        <v>89493</v>
      </c>
      <c r="AC779" s="2">
        <f t="shared" si="126"/>
        <v>0.17642501448966799</v>
      </c>
      <c r="AD779" s="2"/>
      <c r="AE779">
        <f t="shared" si="127"/>
        <v>446281</v>
      </c>
      <c r="AF779">
        <f t="shared" si="128"/>
        <v>71588</v>
      </c>
      <c r="AH779" s="2">
        <f t="shared" si="129"/>
        <v>0.13823573143014933</v>
      </c>
      <c r="AI779" s="2"/>
      <c r="AJ779" s="2"/>
    </row>
    <row r="780" spans="2:36" x14ac:dyDescent="0.25">
      <c r="B780" s="1">
        <v>44845</v>
      </c>
      <c r="C780">
        <v>210330</v>
      </c>
      <c r="D780">
        <v>32841</v>
      </c>
      <c r="F780" s="2">
        <f t="shared" si="122"/>
        <v>0.13505311077389984</v>
      </c>
      <c r="I780">
        <v>232159</v>
      </c>
      <c r="J780">
        <v>23493</v>
      </c>
      <c r="L780" s="2">
        <f t="shared" si="123"/>
        <v>9.1894450268333511E-2</v>
      </c>
      <c r="N780">
        <v>230450</v>
      </c>
      <c r="O780">
        <v>48005</v>
      </c>
      <c r="Q780" s="2">
        <f t="shared" si="124"/>
        <v>0.17239769442100158</v>
      </c>
      <c r="T780">
        <v>236737</v>
      </c>
      <c r="U780">
        <v>35574</v>
      </c>
      <c r="W780" s="2">
        <f t="shared" si="125"/>
        <v>0.13063739621241888</v>
      </c>
      <c r="Z780">
        <f t="shared" si="120"/>
        <v>440780</v>
      </c>
      <c r="AA780">
        <f t="shared" si="121"/>
        <v>80846</v>
      </c>
      <c r="AC780" s="2">
        <f t="shared" si="126"/>
        <v>0.15498843999340522</v>
      </c>
      <c r="AD780" s="2"/>
      <c r="AE780">
        <f t="shared" si="127"/>
        <v>468896</v>
      </c>
      <c r="AF780">
        <f t="shared" si="128"/>
        <v>59067</v>
      </c>
      <c r="AH780" s="2">
        <f t="shared" si="129"/>
        <v>0.11187715805842455</v>
      </c>
      <c r="AI780" s="2"/>
      <c r="AJ780" s="2"/>
    </row>
    <row r="781" spans="2:36" x14ac:dyDescent="0.25">
      <c r="B781" s="1">
        <v>44852</v>
      </c>
      <c r="C781">
        <v>195314</v>
      </c>
      <c r="D781">
        <v>47335</v>
      </c>
      <c r="F781" s="2">
        <f t="shared" si="122"/>
        <v>0.19507601514945455</v>
      </c>
      <c r="I781">
        <v>212701</v>
      </c>
      <c r="J781">
        <v>36651</v>
      </c>
      <c r="L781" s="2">
        <f t="shared" si="123"/>
        <v>0.14698498508133082</v>
      </c>
      <c r="N781">
        <v>212743</v>
      </c>
      <c r="O781">
        <v>50896</v>
      </c>
      <c r="Q781" s="2">
        <f t="shared" si="124"/>
        <v>0.19305186258482243</v>
      </c>
      <c r="T781">
        <v>214300</v>
      </c>
      <c r="U781">
        <v>37423</v>
      </c>
      <c r="W781" s="2">
        <f t="shared" si="125"/>
        <v>0.14866738438680613</v>
      </c>
      <c r="Z781">
        <f t="shared" si="120"/>
        <v>408057</v>
      </c>
      <c r="AA781">
        <f t="shared" si="121"/>
        <v>98231</v>
      </c>
      <c r="AC781" s="2">
        <f t="shared" si="126"/>
        <v>0.19402197958474229</v>
      </c>
      <c r="AD781" s="2"/>
      <c r="AE781">
        <f t="shared" si="127"/>
        <v>427001</v>
      </c>
      <c r="AF781">
        <f t="shared" si="128"/>
        <v>74074</v>
      </c>
      <c r="AH781" s="2">
        <f t="shared" si="129"/>
        <v>0.14783016514493838</v>
      </c>
      <c r="AI781" s="2"/>
      <c r="AJ781" s="2"/>
    </row>
    <row r="782" spans="2:36" x14ac:dyDescent="0.25">
      <c r="B782" s="1">
        <v>44859</v>
      </c>
      <c r="C782">
        <v>197343</v>
      </c>
      <c r="D782">
        <v>43660</v>
      </c>
      <c r="F782" s="2">
        <f t="shared" si="122"/>
        <v>0.18115957062775151</v>
      </c>
      <c r="I782">
        <v>217534</v>
      </c>
      <c r="J782">
        <v>35605</v>
      </c>
      <c r="L782" s="2">
        <f t="shared" si="123"/>
        <v>0.14065394901615319</v>
      </c>
      <c r="N782">
        <v>240628</v>
      </c>
      <c r="O782">
        <v>47908</v>
      </c>
      <c r="Q782" s="2">
        <f t="shared" si="124"/>
        <v>0.16603820667091801</v>
      </c>
      <c r="T782">
        <v>241221</v>
      </c>
      <c r="U782">
        <v>35770</v>
      </c>
      <c r="W782" s="2">
        <f t="shared" si="125"/>
        <v>0.129137769819236</v>
      </c>
      <c r="Z782">
        <f t="shared" si="120"/>
        <v>437971</v>
      </c>
      <c r="AA782">
        <f t="shared" si="121"/>
        <v>91568</v>
      </c>
      <c r="AC782" s="2">
        <f t="shared" si="126"/>
        <v>0.17292021928507625</v>
      </c>
      <c r="AD782" s="2"/>
      <c r="AE782">
        <f t="shared" si="127"/>
        <v>458755</v>
      </c>
      <c r="AF782">
        <f t="shared" si="128"/>
        <v>71375</v>
      </c>
      <c r="AH782" s="2">
        <f t="shared" si="129"/>
        <v>0.13463678720313885</v>
      </c>
      <c r="AI782" s="2"/>
      <c r="AJ782" s="2"/>
    </row>
    <row r="783" spans="2:36" x14ac:dyDescent="0.25">
      <c r="B783" s="1">
        <v>44866</v>
      </c>
      <c r="C783">
        <v>212424</v>
      </c>
      <c r="D783">
        <v>43011</v>
      </c>
      <c r="F783" s="2">
        <f t="shared" si="122"/>
        <v>0.16838334605672675</v>
      </c>
      <c r="I783">
        <v>231845</v>
      </c>
      <c r="J783">
        <v>33801</v>
      </c>
      <c r="L783" s="2">
        <f t="shared" si="123"/>
        <v>0.12724076402430301</v>
      </c>
      <c r="N783">
        <v>255762</v>
      </c>
      <c r="O783">
        <v>45870</v>
      </c>
      <c r="Q783" s="2">
        <f t="shared" si="124"/>
        <v>0.15207272437937619</v>
      </c>
      <c r="T783">
        <v>267511</v>
      </c>
      <c r="U783">
        <v>39846</v>
      </c>
      <c r="W783" s="2">
        <f t="shared" si="125"/>
        <v>0.12964077603568488</v>
      </c>
      <c r="Z783">
        <f t="shared" si="120"/>
        <v>468186</v>
      </c>
      <c r="AA783">
        <f t="shared" si="121"/>
        <v>88881</v>
      </c>
      <c r="AC783" s="2">
        <f t="shared" si="126"/>
        <v>0.159551723580826</v>
      </c>
      <c r="AD783" s="2"/>
      <c r="AE783">
        <f t="shared" si="127"/>
        <v>499356</v>
      </c>
      <c r="AF783">
        <f t="shared" si="128"/>
        <v>73647</v>
      </c>
      <c r="AH783" s="2">
        <f t="shared" si="129"/>
        <v>0.12852812288940896</v>
      </c>
      <c r="AI783" s="2"/>
      <c r="AJ783" s="2"/>
    </row>
    <row r="784" spans="2:36" x14ac:dyDescent="0.25">
      <c r="B784" s="1">
        <v>44873</v>
      </c>
      <c r="C784">
        <v>229598</v>
      </c>
      <c r="D784">
        <v>43942</v>
      </c>
      <c r="F784" s="2">
        <f t="shared" si="122"/>
        <v>0.16064195364480516</v>
      </c>
      <c r="I784">
        <v>244997</v>
      </c>
      <c r="J784">
        <v>31186</v>
      </c>
      <c r="L784" s="2">
        <f t="shared" si="123"/>
        <v>0.1129178841565194</v>
      </c>
      <c r="N784">
        <v>265498</v>
      </c>
      <c r="O784">
        <v>46792</v>
      </c>
      <c r="Q784" s="2">
        <f t="shared" si="124"/>
        <v>0.14983508917992891</v>
      </c>
      <c r="T784">
        <v>281003</v>
      </c>
      <c r="U784">
        <v>42916</v>
      </c>
      <c r="W784" s="2">
        <f t="shared" si="125"/>
        <v>0.1324899126016072</v>
      </c>
      <c r="Z784">
        <f t="shared" si="120"/>
        <v>495096</v>
      </c>
      <c r="AA784">
        <f t="shared" si="121"/>
        <v>90734</v>
      </c>
      <c r="AC784" s="2">
        <f t="shared" si="126"/>
        <v>0.15488110885410444</v>
      </c>
      <c r="AD784" s="2"/>
      <c r="AE784">
        <f t="shared" si="127"/>
        <v>526000</v>
      </c>
      <c r="AF784">
        <f t="shared" si="128"/>
        <v>74102</v>
      </c>
      <c r="AH784" s="2">
        <f t="shared" si="129"/>
        <v>0.12348234133530633</v>
      </c>
      <c r="AI784" s="2"/>
      <c r="AJ784" s="2"/>
    </row>
    <row r="785" spans="2:36" x14ac:dyDescent="0.25">
      <c r="B785" s="1">
        <v>44880</v>
      </c>
      <c r="C785">
        <v>212532</v>
      </c>
      <c r="D785">
        <v>46241</v>
      </c>
      <c r="F785" s="2">
        <f t="shared" si="122"/>
        <v>0.17869329489552618</v>
      </c>
      <c r="I785">
        <v>229574</v>
      </c>
      <c r="J785">
        <v>37741</v>
      </c>
      <c r="L785" s="2">
        <f t="shared" si="123"/>
        <v>0.14118549277070122</v>
      </c>
      <c r="N785">
        <v>244570</v>
      </c>
      <c r="O785">
        <v>53068</v>
      </c>
      <c r="Q785" s="2">
        <f t="shared" si="124"/>
        <v>0.17829712603901385</v>
      </c>
      <c r="T785">
        <v>257700</v>
      </c>
      <c r="U785">
        <v>49150</v>
      </c>
      <c r="W785" s="2">
        <f t="shared" si="125"/>
        <v>0.16017598175004075</v>
      </c>
      <c r="Z785">
        <f t="shared" si="120"/>
        <v>457102</v>
      </c>
      <c r="AA785">
        <f t="shared" si="121"/>
        <v>99309</v>
      </c>
      <c r="AC785" s="2">
        <f t="shared" si="126"/>
        <v>0.17848137437973008</v>
      </c>
      <c r="AD785" s="2"/>
      <c r="AE785">
        <f t="shared" si="127"/>
        <v>487274</v>
      </c>
      <c r="AF785">
        <f t="shared" si="128"/>
        <v>86891</v>
      </c>
      <c r="AH785" s="2">
        <f t="shared" si="129"/>
        <v>0.15133454668954047</v>
      </c>
      <c r="AI785" s="2"/>
      <c r="AJ785" s="2"/>
    </row>
    <row r="786" spans="2:36" x14ac:dyDescent="0.25">
      <c r="B786" s="1">
        <v>44887</v>
      </c>
      <c r="C786">
        <v>196423</v>
      </c>
      <c r="D786">
        <v>49260</v>
      </c>
      <c r="F786" s="2">
        <f t="shared" si="122"/>
        <v>0.20050227325455974</v>
      </c>
      <c r="I786">
        <v>217421</v>
      </c>
      <c r="J786">
        <v>45707</v>
      </c>
      <c r="L786" s="2">
        <f t="shared" si="123"/>
        <v>0.17370633303943328</v>
      </c>
      <c r="N786">
        <v>199790</v>
      </c>
      <c r="O786">
        <v>76545</v>
      </c>
      <c r="Q786" s="2">
        <f t="shared" si="124"/>
        <v>0.27700074185318546</v>
      </c>
      <c r="T786">
        <v>205023</v>
      </c>
      <c r="U786">
        <v>66975</v>
      </c>
      <c r="W786" s="2">
        <f t="shared" si="125"/>
        <v>0.24623342818697197</v>
      </c>
      <c r="Z786">
        <f t="shared" si="120"/>
        <v>396213</v>
      </c>
      <c r="AA786">
        <f t="shared" si="121"/>
        <v>125805</v>
      </c>
      <c r="AC786" s="2">
        <f t="shared" si="126"/>
        <v>0.24099743686999298</v>
      </c>
      <c r="AD786" s="2"/>
      <c r="AE786">
        <f t="shared" si="127"/>
        <v>422444</v>
      </c>
      <c r="AF786">
        <f t="shared" si="128"/>
        <v>112682</v>
      </c>
      <c r="AH786" s="2">
        <f t="shared" si="129"/>
        <v>0.21057096833269173</v>
      </c>
      <c r="AI786" s="2"/>
      <c r="AJ786" s="2"/>
    </row>
    <row r="787" spans="2:36" x14ac:dyDescent="0.25">
      <c r="B787" s="1">
        <v>44894</v>
      </c>
      <c r="C787">
        <v>186206</v>
      </c>
      <c r="D787">
        <v>46409</v>
      </c>
      <c r="F787" s="2">
        <f t="shared" si="122"/>
        <v>0.19950991982460289</v>
      </c>
      <c r="I787">
        <v>206157</v>
      </c>
      <c r="J787">
        <v>40568</v>
      </c>
      <c r="L787" s="2">
        <f t="shared" si="123"/>
        <v>0.16442598034248657</v>
      </c>
      <c r="N787">
        <v>181383</v>
      </c>
      <c r="O787">
        <v>92136</v>
      </c>
      <c r="Q787" s="2">
        <f t="shared" si="124"/>
        <v>0.33685411251137948</v>
      </c>
      <c r="T787">
        <v>183827</v>
      </c>
      <c r="U787">
        <v>84616</v>
      </c>
      <c r="W787" s="2">
        <f t="shared" si="125"/>
        <v>0.31521030535346423</v>
      </c>
      <c r="Z787">
        <f t="shared" si="120"/>
        <v>367589</v>
      </c>
      <c r="AA787">
        <f t="shared" si="121"/>
        <v>138545</v>
      </c>
      <c r="AC787" s="2">
        <f t="shared" si="126"/>
        <v>0.27373185757131513</v>
      </c>
      <c r="AD787" s="2"/>
      <c r="AE787">
        <f t="shared" si="127"/>
        <v>389984</v>
      </c>
      <c r="AF787">
        <f t="shared" si="128"/>
        <v>125184</v>
      </c>
      <c r="AH787" s="2">
        <f t="shared" si="129"/>
        <v>0.2429964594074166</v>
      </c>
      <c r="AI787" s="2"/>
      <c r="AJ787" s="2"/>
    </row>
    <row r="788" spans="2:36" x14ac:dyDescent="0.25">
      <c r="B788" s="1">
        <v>44901</v>
      </c>
      <c r="C788">
        <v>208273</v>
      </c>
      <c r="D788">
        <v>64192</v>
      </c>
      <c r="F788" s="2">
        <f t="shared" si="122"/>
        <v>0.23559723267208632</v>
      </c>
      <c r="I788">
        <v>229669</v>
      </c>
      <c r="J788">
        <v>58392</v>
      </c>
      <c r="L788" s="2">
        <f t="shared" si="123"/>
        <v>0.20270706551737305</v>
      </c>
      <c r="N788">
        <v>177932</v>
      </c>
      <c r="O788">
        <v>91226</v>
      </c>
      <c r="Q788" s="2">
        <f t="shared" si="124"/>
        <v>0.33893103678880065</v>
      </c>
      <c r="T788">
        <v>181292</v>
      </c>
      <c r="U788">
        <v>86267</v>
      </c>
      <c r="W788" s="2">
        <f t="shared" si="125"/>
        <v>0.32242234423061827</v>
      </c>
      <c r="Z788">
        <f t="shared" si="120"/>
        <v>386205</v>
      </c>
      <c r="AA788">
        <f t="shared" si="121"/>
        <v>155418</v>
      </c>
      <c r="AC788" s="2">
        <f t="shared" si="126"/>
        <v>0.28694867093901111</v>
      </c>
      <c r="AD788" s="2"/>
      <c r="AE788">
        <f t="shared" si="127"/>
        <v>410961</v>
      </c>
      <c r="AF788">
        <f t="shared" si="128"/>
        <v>144659</v>
      </c>
      <c r="AH788" s="2">
        <f t="shared" si="129"/>
        <v>0.26035599870415033</v>
      </c>
      <c r="AI788" s="2"/>
      <c r="AJ788" s="2"/>
    </row>
    <row r="789" spans="2:36" x14ac:dyDescent="0.25">
      <c r="B789" s="1">
        <v>44908</v>
      </c>
      <c r="C789">
        <v>209842</v>
      </c>
      <c r="D789">
        <v>65359</v>
      </c>
      <c r="F789" s="2">
        <f t="shared" si="122"/>
        <v>0.23749550328668864</v>
      </c>
      <c r="I789">
        <v>233664</v>
      </c>
      <c r="J789">
        <v>58011</v>
      </c>
      <c r="L789" s="2">
        <f t="shared" si="123"/>
        <v>0.19888917459501157</v>
      </c>
      <c r="N789">
        <v>182258</v>
      </c>
      <c r="O789">
        <v>101296</v>
      </c>
      <c r="Q789" s="2">
        <f t="shared" si="124"/>
        <v>0.35723706948235612</v>
      </c>
      <c r="T789">
        <v>183328</v>
      </c>
      <c r="U789">
        <v>93935</v>
      </c>
      <c r="W789" s="2">
        <f t="shared" si="125"/>
        <v>0.33879385276794954</v>
      </c>
      <c r="Z789">
        <f t="shared" si="120"/>
        <v>392100</v>
      </c>
      <c r="AA789">
        <f t="shared" si="121"/>
        <v>166655</v>
      </c>
      <c r="AC789" s="2">
        <f t="shared" si="126"/>
        <v>0.29826131309786935</v>
      </c>
      <c r="AD789" s="2"/>
      <c r="AE789">
        <f t="shared" si="127"/>
        <v>416992</v>
      </c>
      <c r="AF789">
        <f t="shared" si="128"/>
        <v>151946</v>
      </c>
      <c r="AH789" s="2">
        <f t="shared" si="129"/>
        <v>0.26706952251387672</v>
      </c>
      <c r="AI789" s="2"/>
      <c r="AJ789" s="2"/>
    </row>
    <row r="790" spans="2:36" x14ac:dyDescent="0.25">
      <c r="B790" s="1">
        <v>44915</v>
      </c>
      <c r="C790">
        <v>213065</v>
      </c>
      <c r="D790">
        <v>50393</v>
      </c>
      <c r="F790" s="2">
        <f t="shared" si="122"/>
        <v>0.19127526968245412</v>
      </c>
      <c r="I790">
        <v>231821</v>
      </c>
      <c r="J790">
        <v>43238</v>
      </c>
      <c r="L790" s="2">
        <f t="shared" si="123"/>
        <v>0.15719536535797773</v>
      </c>
      <c r="N790">
        <v>186696</v>
      </c>
      <c r="O790">
        <v>93364</v>
      </c>
      <c r="Q790" s="2">
        <f t="shared" si="124"/>
        <v>0.33337142040991219</v>
      </c>
      <c r="T790">
        <v>185853</v>
      </c>
      <c r="U790">
        <v>86320</v>
      </c>
      <c r="W790" s="2">
        <f t="shared" si="125"/>
        <v>0.31715122367023912</v>
      </c>
      <c r="Z790">
        <f t="shared" si="120"/>
        <v>399761</v>
      </c>
      <c r="AA790">
        <f t="shared" si="121"/>
        <v>143757</v>
      </c>
      <c r="AC790" s="2">
        <f t="shared" si="126"/>
        <v>0.26449354023233823</v>
      </c>
      <c r="AD790" s="2"/>
      <c r="AE790">
        <f t="shared" si="127"/>
        <v>417674</v>
      </c>
      <c r="AF790">
        <f t="shared" si="128"/>
        <v>129558</v>
      </c>
      <c r="AH790" s="2">
        <f t="shared" si="129"/>
        <v>0.23675150575989709</v>
      </c>
      <c r="AI790" s="2"/>
      <c r="AJ790" s="2"/>
    </row>
    <row r="791" spans="2:36" x14ac:dyDescent="0.25">
      <c r="B791" s="1">
        <v>44922</v>
      </c>
      <c r="C791">
        <v>212511</v>
      </c>
      <c r="D791">
        <v>43509</v>
      </c>
      <c r="F791" s="2">
        <f t="shared" si="122"/>
        <v>0.16994375439418796</v>
      </c>
      <c r="I791">
        <v>231788</v>
      </c>
      <c r="J791">
        <v>36379</v>
      </c>
      <c r="L791" s="2">
        <f t="shared" si="123"/>
        <v>0.13565800415412785</v>
      </c>
      <c r="N791">
        <v>209075</v>
      </c>
      <c r="O791">
        <v>74319</v>
      </c>
      <c r="Q791" s="2">
        <f t="shared" si="124"/>
        <v>0.26224620140158222</v>
      </c>
      <c r="T791">
        <v>211159</v>
      </c>
      <c r="U791">
        <v>67456</v>
      </c>
      <c r="W791" s="2">
        <f t="shared" si="125"/>
        <v>0.2421118748093247</v>
      </c>
      <c r="Z791">
        <f t="shared" si="120"/>
        <v>421586</v>
      </c>
      <c r="AA791">
        <f t="shared" si="121"/>
        <v>117828</v>
      </c>
      <c r="AC791" s="2">
        <f t="shared" si="126"/>
        <v>0.21843704464474412</v>
      </c>
      <c r="AD791" s="2"/>
      <c r="AE791">
        <f t="shared" si="127"/>
        <v>442947</v>
      </c>
      <c r="AF791">
        <f t="shared" si="128"/>
        <v>103835</v>
      </c>
      <c r="AH791" s="2">
        <f t="shared" si="129"/>
        <v>0.18990200847869901</v>
      </c>
      <c r="AI791" s="2"/>
      <c r="AJ791" s="2"/>
    </row>
    <row r="792" spans="2:36" x14ac:dyDescent="0.25">
      <c r="B792" s="1">
        <v>44929</v>
      </c>
      <c r="C792">
        <v>201793</v>
      </c>
      <c r="D792">
        <v>62953</v>
      </c>
      <c r="F792" s="2">
        <f t="shared" si="122"/>
        <v>0.2377864065934896</v>
      </c>
      <c r="I792">
        <v>221499</v>
      </c>
      <c r="J792">
        <v>56013</v>
      </c>
      <c r="L792" s="2">
        <f t="shared" si="123"/>
        <v>0.20183992043587304</v>
      </c>
      <c r="N792">
        <v>224375</v>
      </c>
      <c r="O792">
        <v>72822</v>
      </c>
      <c r="Q792" s="2">
        <f t="shared" si="124"/>
        <v>0.24502939127918519</v>
      </c>
      <c r="T792">
        <v>227206</v>
      </c>
      <c r="U792">
        <v>65750</v>
      </c>
      <c r="W792" s="2">
        <f t="shared" si="125"/>
        <v>0.22443643414028044</v>
      </c>
      <c r="Z792">
        <f t="shared" si="120"/>
        <v>426168</v>
      </c>
      <c r="AA792">
        <f t="shared" si="121"/>
        <v>135775</v>
      </c>
      <c r="AC792" s="2">
        <f t="shared" si="126"/>
        <v>0.24161703233246076</v>
      </c>
      <c r="AD792" s="2"/>
      <c r="AE792">
        <f t="shared" si="127"/>
        <v>448705</v>
      </c>
      <c r="AF792">
        <f t="shared" si="128"/>
        <v>121763</v>
      </c>
      <c r="AH792" s="2">
        <f t="shared" si="129"/>
        <v>0.21344404944712062</v>
      </c>
      <c r="AI792" s="2"/>
      <c r="AJ792" s="2"/>
    </row>
    <row r="793" spans="2:36" x14ac:dyDescent="0.25">
      <c r="B793" s="1">
        <v>44936</v>
      </c>
      <c r="C793">
        <v>191544</v>
      </c>
      <c r="D793">
        <v>62212</v>
      </c>
      <c r="F793" s="2">
        <f t="shared" si="122"/>
        <v>0.24516464635318969</v>
      </c>
      <c r="I793">
        <v>210664</v>
      </c>
      <c r="J793">
        <v>54479</v>
      </c>
      <c r="L793" s="2">
        <f t="shared" si="123"/>
        <v>0.20547025567335361</v>
      </c>
      <c r="N793">
        <v>230671</v>
      </c>
      <c r="O793">
        <v>84320</v>
      </c>
      <c r="Q793" s="2">
        <f t="shared" si="124"/>
        <v>0.26769018797362465</v>
      </c>
      <c r="T793">
        <v>232987</v>
      </c>
      <c r="U793">
        <v>75875</v>
      </c>
      <c r="W793" s="2">
        <f t="shared" si="125"/>
        <v>0.24565987398903069</v>
      </c>
      <c r="Z793">
        <f t="shared" si="120"/>
        <v>422215</v>
      </c>
      <c r="AA793">
        <f t="shared" si="121"/>
        <v>146532</v>
      </c>
      <c r="AC793" s="2">
        <f t="shared" si="126"/>
        <v>0.25764004029911369</v>
      </c>
      <c r="AD793" s="2"/>
      <c r="AE793">
        <f t="shared" si="127"/>
        <v>443651</v>
      </c>
      <c r="AF793">
        <f t="shared" si="128"/>
        <v>130354</v>
      </c>
      <c r="AH793" s="2">
        <f t="shared" si="129"/>
        <v>0.22709558279109068</v>
      </c>
      <c r="AI793" s="2"/>
      <c r="AJ793" s="2"/>
    </row>
    <row r="794" spans="2:36" x14ac:dyDescent="0.25">
      <c r="B794" s="1">
        <v>44943</v>
      </c>
      <c r="C794">
        <v>200164</v>
      </c>
      <c r="D794">
        <v>41349</v>
      </c>
      <c r="F794" s="2">
        <f t="shared" si="122"/>
        <v>0.1712081751292891</v>
      </c>
      <c r="I794">
        <v>217767</v>
      </c>
      <c r="J794">
        <v>35715</v>
      </c>
      <c r="L794" s="2">
        <f t="shared" si="123"/>
        <v>0.1408975785262859</v>
      </c>
      <c r="N794">
        <v>259796</v>
      </c>
      <c r="O794">
        <v>56560</v>
      </c>
      <c r="Q794" s="2">
        <f t="shared" si="124"/>
        <v>0.17878592471772306</v>
      </c>
      <c r="T794">
        <v>261824</v>
      </c>
      <c r="U794">
        <v>49372</v>
      </c>
      <c r="W794" s="2">
        <f t="shared" si="125"/>
        <v>0.15865242483836553</v>
      </c>
      <c r="Z794">
        <f t="shared" si="120"/>
        <v>459960</v>
      </c>
      <c r="AA794">
        <f t="shared" si="121"/>
        <v>97909</v>
      </c>
      <c r="AC794" s="2">
        <f t="shared" si="126"/>
        <v>0.17550536057748325</v>
      </c>
      <c r="AD794" s="2"/>
      <c r="AE794">
        <f t="shared" si="127"/>
        <v>479591</v>
      </c>
      <c r="AF794">
        <f t="shared" si="128"/>
        <v>85087</v>
      </c>
      <c r="AH794" s="2">
        <f t="shared" si="129"/>
        <v>0.15068233577366216</v>
      </c>
      <c r="AI794" s="2"/>
      <c r="AJ794" s="2"/>
    </row>
    <row r="795" spans="2:36" x14ac:dyDescent="0.25">
      <c r="B795" s="1">
        <v>44950</v>
      </c>
      <c r="C795">
        <v>197545</v>
      </c>
      <c r="D795">
        <v>34535</v>
      </c>
      <c r="F795" s="2">
        <f t="shared" si="122"/>
        <v>0.14880644605308516</v>
      </c>
      <c r="I795">
        <v>219944</v>
      </c>
      <c r="J795">
        <v>31470</v>
      </c>
      <c r="L795" s="2">
        <f t="shared" si="123"/>
        <v>0.12517202701520203</v>
      </c>
      <c r="N795">
        <v>280225</v>
      </c>
      <c r="O795">
        <v>42640</v>
      </c>
      <c r="Q795" s="2">
        <f t="shared" si="124"/>
        <v>0.1320675824260914</v>
      </c>
      <c r="T795">
        <v>284481</v>
      </c>
      <c r="U795">
        <v>32339</v>
      </c>
      <c r="W795" s="2">
        <f t="shared" si="125"/>
        <v>0.10207373271889401</v>
      </c>
      <c r="Z795">
        <f t="shared" si="120"/>
        <v>477770</v>
      </c>
      <c r="AA795">
        <f t="shared" si="121"/>
        <v>77175</v>
      </c>
      <c r="AC795" s="2">
        <f t="shared" si="126"/>
        <v>0.13906783555127084</v>
      </c>
      <c r="AD795" s="2"/>
      <c r="AE795">
        <f t="shared" si="127"/>
        <v>504425</v>
      </c>
      <c r="AF795">
        <f t="shared" si="128"/>
        <v>63809</v>
      </c>
      <c r="AH795" s="2">
        <f t="shared" si="129"/>
        <v>0.11229352696248376</v>
      </c>
      <c r="AI795" s="2"/>
      <c r="AJ795" s="2"/>
    </row>
    <row r="796" spans="2:36" x14ac:dyDescent="0.25">
      <c r="B796" s="1">
        <v>44957</v>
      </c>
      <c r="C796">
        <v>206008</v>
      </c>
      <c r="D796">
        <v>48582</v>
      </c>
      <c r="F796" s="2">
        <f t="shared" si="122"/>
        <v>0.19082446286185631</v>
      </c>
      <c r="I796">
        <v>230234</v>
      </c>
      <c r="J796">
        <v>45746</v>
      </c>
      <c r="L796" s="2">
        <f t="shared" si="123"/>
        <v>0.16575838828900644</v>
      </c>
      <c r="N796">
        <v>283214</v>
      </c>
      <c r="O796">
        <v>32024</v>
      </c>
      <c r="Q796" s="2">
        <f t="shared" si="124"/>
        <v>0.10158673763949777</v>
      </c>
      <c r="T796">
        <v>292452</v>
      </c>
      <c r="U796">
        <v>24437</v>
      </c>
      <c r="W796" s="2">
        <f t="shared" si="125"/>
        <v>7.7115330604722795E-2</v>
      </c>
      <c r="Z796">
        <f t="shared" si="120"/>
        <v>489222</v>
      </c>
      <c r="AA796">
        <f t="shared" si="121"/>
        <v>80606</v>
      </c>
      <c r="AC796" s="2">
        <f t="shared" si="126"/>
        <v>0.14145672027348605</v>
      </c>
      <c r="AD796" s="2"/>
      <c r="AE796">
        <f t="shared" si="127"/>
        <v>522686</v>
      </c>
      <c r="AF796">
        <f t="shared" si="128"/>
        <v>70183</v>
      </c>
      <c r="AH796" s="2">
        <f t="shared" si="129"/>
        <v>0.11837859628349602</v>
      </c>
      <c r="AI796" s="2"/>
      <c r="AJ796" s="2"/>
    </row>
    <row r="797" spans="2:36" x14ac:dyDescent="0.25">
      <c r="B797" s="1">
        <v>44964</v>
      </c>
      <c r="C797">
        <v>207741</v>
      </c>
      <c r="D797">
        <v>61735</v>
      </c>
      <c r="F797" s="2">
        <f t="shared" si="122"/>
        <v>0.22909275779661267</v>
      </c>
      <c r="I797">
        <v>231397</v>
      </c>
      <c r="J797">
        <v>56782</v>
      </c>
      <c r="L797" s="2">
        <f t="shared" si="123"/>
        <v>0.19703725809306022</v>
      </c>
      <c r="N797">
        <v>278028</v>
      </c>
      <c r="O797">
        <v>38591</v>
      </c>
      <c r="Q797" s="2">
        <f t="shared" si="124"/>
        <v>0.12188466263869192</v>
      </c>
      <c r="T797">
        <v>282357</v>
      </c>
      <c r="U797">
        <v>30632</v>
      </c>
      <c r="W797" s="2">
        <f t="shared" si="125"/>
        <v>9.7869254191041852E-2</v>
      </c>
      <c r="Z797">
        <f t="shared" si="120"/>
        <v>485769</v>
      </c>
      <c r="AA797">
        <f t="shared" si="121"/>
        <v>100326</v>
      </c>
      <c r="AC797" s="2">
        <f t="shared" si="126"/>
        <v>0.17117702761497711</v>
      </c>
      <c r="AD797" s="2"/>
      <c r="AE797">
        <f t="shared" si="127"/>
        <v>513754</v>
      </c>
      <c r="AF797">
        <f t="shared" si="128"/>
        <v>87414</v>
      </c>
      <c r="AH797" s="2">
        <f t="shared" si="129"/>
        <v>0.14540694115455247</v>
      </c>
      <c r="AI797" s="2"/>
      <c r="AJ797" s="2"/>
    </row>
    <row r="798" spans="2:36" x14ac:dyDescent="0.25">
      <c r="B798" s="1">
        <v>44971</v>
      </c>
      <c r="C798">
        <v>218288</v>
      </c>
      <c r="D798">
        <v>54509</v>
      </c>
      <c r="F798" s="2">
        <f t="shared" si="122"/>
        <v>0.19981524723512356</v>
      </c>
      <c r="I798">
        <v>243466</v>
      </c>
      <c r="J798">
        <v>52215</v>
      </c>
      <c r="L798" s="2">
        <f t="shared" si="123"/>
        <v>0.17659234107027505</v>
      </c>
      <c r="N798">
        <v>316809</v>
      </c>
      <c r="O798">
        <v>31626</v>
      </c>
      <c r="Q798" s="2">
        <f t="shared" si="124"/>
        <v>9.0765853028541912E-2</v>
      </c>
      <c r="T798">
        <v>323748</v>
      </c>
      <c r="U798">
        <v>23840</v>
      </c>
      <c r="W798" s="2">
        <f t="shared" si="125"/>
        <v>6.8586947765745657E-2</v>
      </c>
      <c r="Z798">
        <f t="shared" si="120"/>
        <v>535097</v>
      </c>
      <c r="AA798">
        <f t="shared" si="121"/>
        <v>86135</v>
      </c>
      <c r="AC798" s="2">
        <f t="shared" si="126"/>
        <v>0.13865190460246735</v>
      </c>
      <c r="AD798" s="2"/>
      <c r="AE798">
        <f t="shared" si="127"/>
        <v>567214</v>
      </c>
      <c r="AF798">
        <f t="shared" si="128"/>
        <v>76055</v>
      </c>
      <c r="AH798" s="2">
        <f t="shared" si="129"/>
        <v>0.1182320304569317</v>
      </c>
      <c r="AI798" s="2"/>
      <c r="AJ798" s="2"/>
    </row>
    <row r="799" spans="2:36" x14ac:dyDescent="0.25">
      <c r="B799" s="1">
        <v>44978</v>
      </c>
      <c r="C799">
        <v>199714</v>
      </c>
      <c r="D799">
        <v>65678</v>
      </c>
      <c r="F799" s="2">
        <f t="shared" si="122"/>
        <v>0.24747543256767349</v>
      </c>
      <c r="I799">
        <v>226610</v>
      </c>
      <c r="J799">
        <v>62318</v>
      </c>
      <c r="L799" s="2">
        <f t="shared" si="123"/>
        <v>0.21568695315095801</v>
      </c>
      <c r="N799">
        <v>300907</v>
      </c>
      <c r="O799">
        <v>36488</v>
      </c>
      <c r="Q799" s="2">
        <f t="shared" si="124"/>
        <v>0.10814623808888692</v>
      </c>
      <c r="T799">
        <v>305050</v>
      </c>
      <c r="U799">
        <v>28497</v>
      </c>
      <c r="W799" s="2">
        <f t="shared" si="125"/>
        <v>8.5436235373125821E-2</v>
      </c>
      <c r="Z799">
        <f t="shared" si="120"/>
        <v>500621</v>
      </c>
      <c r="AA799">
        <f t="shared" si="121"/>
        <v>102166</v>
      </c>
      <c r="AC799" s="2">
        <f t="shared" si="126"/>
        <v>0.16948938845728259</v>
      </c>
      <c r="AD799" s="2"/>
      <c r="AE799">
        <f t="shared" si="127"/>
        <v>531660</v>
      </c>
      <c r="AF799">
        <f t="shared" si="128"/>
        <v>90815</v>
      </c>
      <c r="AH799" s="2">
        <f t="shared" si="129"/>
        <v>0.14589340937387044</v>
      </c>
      <c r="AI799" s="2"/>
      <c r="AJ799" s="2"/>
    </row>
    <row r="800" spans="2:36" x14ac:dyDescent="0.25">
      <c r="B800" s="1">
        <v>44985</v>
      </c>
      <c r="C800">
        <v>210034</v>
      </c>
      <c r="D800">
        <v>70080</v>
      </c>
      <c r="F800" s="2">
        <f t="shared" si="122"/>
        <v>0.25018385371670104</v>
      </c>
      <c r="I800">
        <v>238553</v>
      </c>
      <c r="J800">
        <v>66336</v>
      </c>
      <c r="L800" s="2">
        <f t="shared" si="123"/>
        <v>0.21757426473241082</v>
      </c>
      <c r="N800">
        <v>308046</v>
      </c>
      <c r="O800">
        <v>28131</v>
      </c>
      <c r="Q800" s="2">
        <f t="shared" si="124"/>
        <v>8.3679133313700818E-2</v>
      </c>
      <c r="T800">
        <v>307855</v>
      </c>
      <c r="U800">
        <v>21855</v>
      </c>
      <c r="W800" s="2">
        <f t="shared" si="125"/>
        <v>6.628552364198842E-2</v>
      </c>
      <c r="Z800">
        <f t="shared" si="120"/>
        <v>518080</v>
      </c>
      <c r="AA800">
        <f t="shared" si="121"/>
        <v>98211</v>
      </c>
      <c r="AC800" s="2">
        <f t="shared" si="126"/>
        <v>0.15935816034957512</v>
      </c>
      <c r="AD800" s="2"/>
      <c r="AE800">
        <f t="shared" si="127"/>
        <v>546408</v>
      </c>
      <c r="AF800">
        <f t="shared" si="128"/>
        <v>88191</v>
      </c>
      <c r="AH800" s="2">
        <f t="shared" si="129"/>
        <v>0.13897122434797407</v>
      </c>
      <c r="AI800" s="2"/>
      <c r="AJ800" s="2"/>
    </row>
    <row r="801" spans="2:36" x14ac:dyDescent="0.25">
      <c r="B801" s="1">
        <v>44992</v>
      </c>
      <c r="C801">
        <v>206873</v>
      </c>
      <c r="D801">
        <v>59936</v>
      </c>
      <c r="F801" s="2">
        <f t="shared" si="122"/>
        <v>0.22464009834750701</v>
      </c>
      <c r="I801">
        <v>232357</v>
      </c>
      <c r="J801">
        <v>56264</v>
      </c>
      <c r="L801" s="2">
        <f t="shared" si="123"/>
        <v>0.19494077007563551</v>
      </c>
      <c r="N801">
        <v>319819</v>
      </c>
      <c r="O801">
        <v>27853</v>
      </c>
      <c r="Q801" s="2">
        <f t="shared" si="124"/>
        <v>8.011286499919465E-2</v>
      </c>
      <c r="T801">
        <v>320337</v>
      </c>
      <c r="U801">
        <v>22046</v>
      </c>
      <c r="W801" s="2">
        <f t="shared" si="125"/>
        <v>6.4389879170402731E-2</v>
      </c>
      <c r="Z801">
        <f t="shared" si="120"/>
        <v>526692</v>
      </c>
      <c r="AA801">
        <f t="shared" si="121"/>
        <v>87789</v>
      </c>
      <c r="AC801" s="2">
        <f t="shared" si="126"/>
        <v>0.14286690719485223</v>
      </c>
      <c r="AD801" s="2"/>
      <c r="AE801">
        <f t="shared" si="127"/>
        <v>552694</v>
      </c>
      <c r="AF801">
        <f t="shared" si="128"/>
        <v>78310</v>
      </c>
      <c r="AH801" s="2">
        <f t="shared" si="129"/>
        <v>0.12410380916761225</v>
      </c>
      <c r="AI801" s="2"/>
      <c r="AJ801" s="2"/>
    </row>
    <row r="802" spans="2:36" x14ac:dyDescent="0.25">
      <c r="B802" s="1">
        <v>44999</v>
      </c>
      <c r="C802">
        <v>185607</v>
      </c>
      <c r="D802">
        <v>89321</v>
      </c>
      <c r="F802" s="2">
        <f t="shared" si="122"/>
        <v>0.32488869813187454</v>
      </c>
      <c r="I802">
        <v>206008</v>
      </c>
      <c r="J802">
        <v>82034</v>
      </c>
      <c r="L802" s="2">
        <f t="shared" si="123"/>
        <v>0.28479874462751958</v>
      </c>
      <c r="N802">
        <v>272442</v>
      </c>
      <c r="O802">
        <v>46758</v>
      </c>
      <c r="Q802" s="2">
        <f t="shared" si="124"/>
        <v>0.14648496240601505</v>
      </c>
      <c r="T802">
        <v>270872</v>
      </c>
      <c r="U802">
        <v>37488</v>
      </c>
      <c r="W802" s="2">
        <f t="shared" si="125"/>
        <v>0.12157218835127773</v>
      </c>
      <c r="Z802">
        <f t="shared" si="120"/>
        <v>458049</v>
      </c>
      <c r="AA802">
        <f t="shared" si="121"/>
        <v>136079</v>
      </c>
      <c r="AC802" s="2">
        <f t="shared" si="126"/>
        <v>0.22903987019632133</v>
      </c>
      <c r="AD802" s="2"/>
      <c r="AE802">
        <f t="shared" si="127"/>
        <v>476880</v>
      </c>
      <c r="AF802">
        <f t="shared" si="128"/>
        <v>119522</v>
      </c>
      <c r="AH802" s="2">
        <f t="shared" si="129"/>
        <v>0.20040509589169722</v>
      </c>
      <c r="AI802" s="2"/>
      <c r="AJ802" s="2"/>
    </row>
    <row r="803" spans="2:36" x14ac:dyDescent="0.25">
      <c r="B803" s="1">
        <v>45006</v>
      </c>
      <c r="C803">
        <v>178905</v>
      </c>
      <c r="D803">
        <v>126758</v>
      </c>
      <c r="F803" s="2">
        <f t="shared" si="122"/>
        <v>0.41469854054955946</v>
      </c>
      <c r="I803">
        <v>197887</v>
      </c>
      <c r="J803">
        <v>126585</v>
      </c>
      <c r="L803" s="2">
        <f t="shared" si="123"/>
        <v>0.39012611257674007</v>
      </c>
      <c r="N803">
        <v>234054</v>
      </c>
      <c r="O803">
        <v>69307</v>
      </c>
      <c r="Q803" s="2">
        <f t="shared" si="124"/>
        <v>0.22846377747963648</v>
      </c>
      <c r="T803">
        <v>227992</v>
      </c>
      <c r="U803">
        <v>58067</v>
      </c>
      <c r="W803" s="2">
        <f t="shared" si="125"/>
        <v>0.20298959305597797</v>
      </c>
      <c r="Z803">
        <f t="shared" si="120"/>
        <v>412959</v>
      </c>
      <c r="AA803">
        <f t="shared" si="121"/>
        <v>196065</v>
      </c>
      <c r="AC803" s="2">
        <f t="shared" si="126"/>
        <v>0.32193312578814626</v>
      </c>
      <c r="AD803" s="2"/>
      <c r="AE803">
        <f t="shared" si="127"/>
        <v>425879</v>
      </c>
      <c r="AF803">
        <f t="shared" si="128"/>
        <v>184652</v>
      </c>
      <c r="AH803" s="2">
        <f t="shared" si="129"/>
        <v>0.30244492089672759</v>
      </c>
      <c r="AI803" s="2"/>
      <c r="AJ803" s="2"/>
    </row>
    <row r="804" spans="2:36" x14ac:dyDescent="0.25">
      <c r="B804" s="1">
        <v>45013</v>
      </c>
      <c r="C804">
        <v>174327</v>
      </c>
      <c r="D804">
        <v>76400</v>
      </c>
      <c r="F804" s="2">
        <f t="shared" si="122"/>
        <v>0.30471389200205801</v>
      </c>
      <c r="I804">
        <v>193134</v>
      </c>
      <c r="J804">
        <v>79858</v>
      </c>
      <c r="L804" s="2">
        <f t="shared" si="123"/>
        <v>0.29252871879029424</v>
      </c>
      <c r="N804">
        <v>236467</v>
      </c>
      <c r="O804">
        <v>72206</v>
      </c>
      <c r="Q804" s="2">
        <f t="shared" si="124"/>
        <v>0.23392392596696179</v>
      </c>
      <c r="T804">
        <v>225060</v>
      </c>
      <c r="U804">
        <v>63953</v>
      </c>
      <c r="W804" s="2">
        <f t="shared" si="125"/>
        <v>0.22128070363616861</v>
      </c>
      <c r="Z804">
        <f t="shared" si="120"/>
        <v>410794</v>
      </c>
      <c r="AA804">
        <f t="shared" si="121"/>
        <v>148606</v>
      </c>
      <c r="AC804" s="2">
        <f t="shared" si="126"/>
        <v>0.26565248480514836</v>
      </c>
      <c r="AD804" s="2"/>
      <c r="AE804">
        <f t="shared" si="127"/>
        <v>418194</v>
      </c>
      <c r="AF804">
        <f t="shared" si="128"/>
        <v>143811</v>
      </c>
      <c r="AH804" s="2">
        <f t="shared" si="129"/>
        <v>0.2558891824805829</v>
      </c>
      <c r="AI804" s="2"/>
      <c r="AJ804" s="2"/>
    </row>
    <row r="805" spans="2:36" x14ac:dyDescent="0.25">
      <c r="B805" s="1">
        <v>45020</v>
      </c>
      <c r="C805">
        <v>200741</v>
      </c>
      <c r="D805">
        <v>34478</v>
      </c>
      <c r="F805" s="2">
        <f t="shared" si="122"/>
        <v>0.14657829512071729</v>
      </c>
      <c r="I805">
        <v>211536</v>
      </c>
      <c r="J805">
        <v>35122</v>
      </c>
      <c r="L805" s="2">
        <f t="shared" si="123"/>
        <v>0.14239148943070973</v>
      </c>
      <c r="N805">
        <v>282681</v>
      </c>
      <c r="O805">
        <v>38350</v>
      </c>
      <c r="Q805" s="2">
        <f t="shared" si="124"/>
        <v>0.11945886845818628</v>
      </c>
      <c r="T805">
        <v>269296</v>
      </c>
      <c r="U805">
        <v>34835</v>
      </c>
      <c r="W805" s="2">
        <f t="shared" si="125"/>
        <v>0.1145394583255242</v>
      </c>
      <c r="Z805">
        <f t="shared" si="120"/>
        <v>483422</v>
      </c>
      <c r="AA805">
        <f t="shared" si="121"/>
        <v>72828</v>
      </c>
      <c r="AC805" s="2">
        <f t="shared" si="126"/>
        <v>0.13092674157303372</v>
      </c>
      <c r="AD805" s="2"/>
      <c r="AE805">
        <f t="shared" si="127"/>
        <v>480832</v>
      </c>
      <c r="AF805">
        <f t="shared" si="128"/>
        <v>69957</v>
      </c>
      <c r="AH805" s="2">
        <f t="shared" si="129"/>
        <v>0.12701234047884036</v>
      </c>
      <c r="AI805" s="2"/>
      <c r="AJ805" s="2"/>
    </row>
    <row r="806" spans="2:36" x14ac:dyDescent="0.25">
      <c r="B806" s="1">
        <v>45027</v>
      </c>
      <c r="C806">
        <v>212632</v>
      </c>
      <c r="D806">
        <v>24338</v>
      </c>
      <c r="F806" s="2">
        <f t="shared" si="122"/>
        <v>0.10270498375321771</v>
      </c>
      <c r="I806">
        <v>222967</v>
      </c>
      <c r="J806">
        <v>24474</v>
      </c>
      <c r="L806" s="2">
        <f t="shared" si="123"/>
        <v>9.8908426655243062E-2</v>
      </c>
      <c r="N806">
        <v>282189</v>
      </c>
      <c r="O806">
        <v>36225</v>
      </c>
      <c r="Q806" s="2">
        <f t="shared" si="124"/>
        <v>0.11376698260754867</v>
      </c>
      <c r="T806">
        <v>267766</v>
      </c>
      <c r="U806">
        <v>33725</v>
      </c>
      <c r="W806" s="2">
        <f t="shared" si="125"/>
        <v>0.11186071889376466</v>
      </c>
      <c r="Z806">
        <f t="shared" si="120"/>
        <v>494821</v>
      </c>
      <c r="AA806">
        <f t="shared" si="121"/>
        <v>60563</v>
      </c>
      <c r="AC806" s="2">
        <f t="shared" si="126"/>
        <v>0.10904707373636979</v>
      </c>
      <c r="AD806" s="2"/>
      <c r="AE806">
        <f t="shared" si="127"/>
        <v>490733</v>
      </c>
      <c r="AF806">
        <f t="shared" si="128"/>
        <v>58199</v>
      </c>
      <c r="AH806" s="2">
        <f t="shared" si="129"/>
        <v>0.10602223954879657</v>
      </c>
      <c r="AI806" s="2"/>
      <c r="AJ806" s="2"/>
    </row>
    <row r="807" spans="2:36" x14ac:dyDescent="0.25">
      <c r="B807" s="1">
        <v>45034</v>
      </c>
      <c r="C807">
        <v>221223</v>
      </c>
      <c r="D807">
        <v>29482</v>
      </c>
      <c r="F807" s="2">
        <f t="shared" si="122"/>
        <v>0.1175963782134381</v>
      </c>
      <c r="I807">
        <v>234597</v>
      </c>
      <c r="J807">
        <v>22156</v>
      </c>
      <c r="L807" s="2">
        <f t="shared" si="123"/>
        <v>8.6293052077288282E-2</v>
      </c>
      <c r="N807">
        <v>291149</v>
      </c>
      <c r="O807">
        <v>38206</v>
      </c>
      <c r="Q807" s="2">
        <f t="shared" si="124"/>
        <v>0.11600248971474549</v>
      </c>
      <c r="T807">
        <v>276559</v>
      </c>
      <c r="U807">
        <v>34572</v>
      </c>
      <c r="W807" s="2">
        <f t="shared" si="125"/>
        <v>0.1111171821515696</v>
      </c>
      <c r="Z807">
        <f t="shared" si="120"/>
        <v>512372</v>
      </c>
      <c r="AA807">
        <f t="shared" si="121"/>
        <v>67688</v>
      </c>
      <c r="AC807" s="2">
        <f t="shared" si="126"/>
        <v>0.11669137675412888</v>
      </c>
      <c r="AD807" s="2"/>
      <c r="AE807">
        <f t="shared" si="127"/>
        <v>511156</v>
      </c>
      <c r="AF807">
        <f t="shared" si="128"/>
        <v>56728</v>
      </c>
      <c r="AH807" s="2">
        <f t="shared" si="129"/>
        <v>9.9893640250473689E-2</v>
      </c>
      <c r="AI807" s="2"/>
      <c r="AJ807" s="2"/>
    </row>
    <row r="808" spans="2:36" x14ac:dyDescent="0.25">
      <c r="B808" s="1">
        <v>45041</v>
      </c>
      <c r="C808">
        <v>215016</v>
      </c>
      <c r="D808">
        <v>40926</v>
      </c>
      <c r="F808" s="2">
        <f t="shared" si="122"/>
        <v>0.15990341561760085</v>
      </c>
      <c r="I808">
        <v>224505</v>
      </c>
      <c r="J808">
        <v>31589</v>
      </c>
      <c r="L808" s="2">
        <f t="shared" si="123"/>
        <v>0.12334923895132256</v>
      </c>
      <c r="N808">
        <v>253385</v>
      </c>
      <c r="O808">
        <v>52043</v>
      </c>
      <c r="Q808" s="2">
        <f t="shared" si="124"/>
        <v>0.17039367706955486</v>
      </c>
      <c r="T808">
        <v>254128</v>
      </c>
      <c r="U808">
        <v>46895</v>
      </c>
      <c r="W808" s="2">
        <f t="shared" si="125"/>
        <v>0.15578543832198868</v>
      </c>
      <c r="Z808">
        <f t="shared" si="120"/>
        <v>468401</v>
      </c>
      <c r="AA808">
        <f t="shared" si="121"/>
        <v>92969</v>
      </c>
      <c r="AC808" s="2">
        <f t="shared" si="126"/>
        <v>0.16561091615155779</v>
      </c>
      <c r="AD808" s="2"/>
      <c r="AE808">
        <f t="shared" si="127"/>
        <v>478633</v>
      </c>
      <c r="AF808">
        <f t="shared" si="128"/>
        <v>78484</v>
      </c>
      <c r="AH808" s="2">
        <f t="shared" si="129"/>
        <v>0.14087525600547102</v>
      </c>
      <c r="AI808" s="2"/>
      <c r="AJ808" s="2"/>
    </row>
    <row r="809" spans="2:36" x14ac:dyDescent="0.25">
      <c r="B809" s="1">
        <v>45048</v>
      </c>
      <c r="C809">
        <v>188610</v>
      </c>
      <c r="D809">
        <v>56779</v>
      </c>
      <c r="F809" s="2">
        <f t="shared" si="122"/>
        <v>0.23138363985345717</v>
      </c>
      <c r="I809">
        <v>204320</v>
      </c>
      <c r="J809">
        <v>47273</v>
      </c>
      <c r="L809" s="2">
        <f t="shared" si="123"/>
        <v>0.1878947347501719</v>
      </c>
      <c r="N809">
        <v>210784</v>
      </c>
      <c r="O809">
        <v>82784</v>
      </c>
      <c r="Q809" s="2">
        <f t="shared" si="124"/>
        <v>0.28199258774798341</v>
      </c>
      <c r="T809">
        <v>211745</v>
      </c>
      <c r="U809">
        <v>73909</v>
      </c>
      <c r="W809" s="2">
        <f t="shared" si="125"/>
        <v>0.25873609331568959</v>
      </c>
      <c r="Z809">
        <f t="shared" si="120"/>
        <v>399394</v>
      </c>
      <c r="AA809">
        <f t="shared" si="121"/>
        <v>139563</v>
      </c>
      <c r="AC809" s="2">
        <f t="shared" si="126"/>
        <v>0.25895015743370992</v>
      </c>
      <c r="AD809" s="2"/>
      <c r="AE809">
        <f t="shared" si="127"/>
        <v>416065</v>
      </c>
      <c r="AF809">
        <f t="shared" si="128"/>
        <v>121182</v>
      </c>
      <c r="AH809" s="2">
        <f t="shared" si="129"/>
        <v>0.22556105478485688</v>
      </c>
      <c r="AI809" s="2"/>
      <c r="AJ809" s="2"/>
    </row>
    <row r="810" spans="2:36" x14ac:dyDescent="0.25">
      <c r="B810" s="1">
        <v>45055</v>
      </c>
      <c r="C810">
        <v>209337</v>
      </c>
      <c r="D810">
        <v>62081</v>
      </c>
      <c r="F810" s="2">
        <f t="shared" si="122"/>
        <v>0.22872838205277468</v>
      </c>
      <c r="I810">
        <v>221673</v>
      </c>
      <c r="J810">
        <v>49748</v>
      </c>
      <c r="L810" s="2">
        <f t="shared" si="123"/>
        <v>0.18328721801187087</v>
      </c>
      <c r="N810">
        <v>213763</v>
      </c>
      <c r="O810">
        <v>114262</v>
      </c>
      <c r="Q810" s="2">
        <f t="shared" si="124"/>
        <v>0.34833320631049464</v>
      </c>
      <c r="T810">
        <v>213029</v>
      </c>
      <c r="U810">
        <v>100287</v>
      </c>
      <c r="W810" s="2">
        <f t="shared" si="125"/>
        <v>0.32008260031405994</v>
      </c>
      <c r="Z810">
        <f t="shared" si="120"/>
        <v>423100</v>
      </c>
      <c r="AA810">
        <f t="shared" si="121"/>
        <v>176343</v>
      </c>
      <c r="AC810" s="2">
        <f t="shared" si="126"/>
        <v>0.29417809533183303</v>
      </c>
      <c r="AD810" s="2"/>
      <c r="AE810">
        <f t="shared" si="127"/>
        <v>434702</v>
      </c>
      <c r="AF810">
        <f t="shared" si="128"/>
        <v>150035</v>
      </c>
      <c r="AH810" s="2">
        <f t="shared" si="129"/>
        <v>0.25658543926585797</v>
      </c>
      <c r="AI810" s="2"/>
      <c r="AJ810" s="2"/>
    </row>
    <row r="811" spans="2:36" x14ac:dyDescent="0.25">
      <c r="B811" s="1">
        <v>45062</v>
      </c>
      <c r="C811">
        <v>209384</v>
      </c>
      <c r="D811">
        <v>77714</v>
      </c>
      <c r="F811" s="2">
        <f t="shared" si="122"/>
        <v>0.27068805773638271</v>
      </c>
      <c r="I811">
        <v>221809</v>
      </c>
      <c r="J811">
        <v>61516</v>
      </c>
      <c r="L811" s="2">
        <f t="shared" si="123"/>
        <v>0.21712168004941321</v>
      </c>
      <c r="N811">
        <v>200739</v>
      </c>
      <c r="O811">
        <v>110123</v>
      </c>
      <c r="Q811" s="2">
        <f t="shared" si="124"/>
        <v>0.35425043910159493</v>
      </c>
      <c r="T811">
        <v>201602</v>
      </c>
      <c r="U811">
        <v>94880</v>
      </c>
      <c r="W811" s="2">
        <f t="shared" si="125"/>
        <v>0.32001942782361154</v>
      </c>
      <c r="Z811">
        <f t="shared" si="120"/>
        <v>410123</v>
      </c>
      <c r="AA811">
        <f t="shared" si="121"/>
        <v>187837</v>
      </c>
      <c r="AC811" s="2">
        <f t="shared" si="126"/>
        <v>0.31412970767275405</v>
      </c>
      <c r="AD811" s="2"/>
      <c r="AE811">
        <f t="shared" si="127"/>
        <v>423411</v>
      </c>
      <c r="AF811">
        <f t="shared" si="128"/>
        <v>156396</v>
      </c>
      <c r="AH811" s="2">
        <f t="shared" si="129"/>
        <v>0.26973803351804998</v>
      </c>
      <c r="AI811" s="2"/>
      <c r="AJ811" s="2"/>
    </row>
    <row r="812" spans="2:36" x14ac:dyDescent="0.25">
      <c r="B812" s="1">
        <v>45069</v>
      </c>
      <c r="C812">
        <v>196246</v>
      </c>
      <c r="D812">
        <v>76588</v>
      </c>
      <c r="F812" s="2">
        <f t="shared" si="122"/>
        <v>0.28071281438530388</v>
      </c>
      <c r="I812">
        <v>214885</v>
      </c>
      <c r="J812">
        <v>71718</v>
      </c>
      <c r="L812" s="2">
        <f t="shared" si="123"/>
        <v>0.2502346451363035</v>
      </c>
      <c r="N812">
        <v>225167</v>
      </c>
      <c r="O812">
        <v>99910</v>
      </c>
      <c r="Q812" s="2">
        <f t="shared" si="124"/>
        <v>0.30734256806848836</v>
      </c>
      <c r="T812">
        <v>218092</v>
      </c>
      <c r="U812">
        <v>81217</v>
      </c>
      <c r="W812" s="2">
        <f t="shared" si="125"/>
        <v>0.27134833900751398</v>
      </c>
      <c r="Z812">
        <f t="shared" si="120"/>
        <v>421413</v>
      </c>
      <c r="AA812">
        <f t="shared" si="121"/>
        <v>176498</v>
      </c>
      <c r="AC812" s="2">
        <f t="shared" si="126"/>
        <v>0.2951910903127723</v>
      </c>
      <c r="AD812" s="2"/>
      <c r="AE812">
        <f t="shared" si="127"/>
        <v>432977</v>
      </c>
      <c r="AF812">
        <f t="shared" si="128"/>
        <v>152935</v>
      </c>
      <c r="AH812" s="2">
        <f t="shared" si="129"/>
        <v>0.26102042627561817</v>
      </c>
      <c r="AI812" s="2"/>
      <c r="AJ812" s="2"/>
    </row>
    <row r="813" spans="2:36" x14ac:dyDescent="0.25">
      <c r="B813" s="1">
        <v>45076</v>
      </c>
      <c r="C813">
        <v>185237</v>
      </c>
      <c r="D813">
        <v>106797</v>
      </c>
      <c r="F813" s="2">
        <f t="shared" si="122"/>
        <v>0.36570056911181575</v>
      </c>
      <c r="I813">
        <v>209546</v>
      </c>
      <c r="J813">
        <v>98208</v>
      </c>
      <c r="L813" s="2">
        <f t="shared" si="123"/>
        <v>0.31911201804038292</v>
      </c>
      <c r="N813">
        <v>234342</v>
      </c>
      <c r="O813">
        <v>79435</v>
      </c>
      <c r="Q813" s="2">
        <f t="shared" si="124"/>
        <v>0.25315749720342789</v>
      </c>
      <c r="T813">
        <v>226958</v>
      </c>
      <c r="U813">
        <v>66658</v>
      </c>
      <c r="W813" s="2">
        <f t="shared" si="125"/>
        <v>0.22702441283853741</v>
      </c>
      <c r="Z813">
        <f t="shared" si="120"/>
        <v>419579</v>
      </c>
      <c r="AA813">
        <f t="shared" si="121"/>
        <v>186232</v>
      </c>
      <c r="AC813" s="2">
        <f t="shared" si="126"/>
        <v>0.30740940656409343</v>
      </c>
      <c r="AD813" s="2"/>
      <c r="AE813">
        <f t="shared" si="127"/>
        <v>436504</v>
      </c>
      <c r="AF813">
        <f t="shared" si="128"/>
        <v>164866</v>
      </c>
      <c r="AH813" s="2">
        <f t="shared" si="129"/>
        <v>0.27415068925952407</v>
      </c>
      <c r="AI813" s="2"/>
      <c r="AJ813" s="2"/>
    </row>
    <row r="814" spans="2:36" x14ac:dyDescent="0.25">
      <c r="B814" s="1">
        <v>45083</v>
      </c>
      <c r="C814">
        <v>196737</v>
      </c>
      <c r="D814">
        <v>115383</v>
      </c>
      <c r="F814" s="2">
        <f t="shared" si="122"/>
        <v>0.36967512495194155</v>
      </c>
      <c r="I814">
        <v>212408</v>
      </c>
      <c r="J814">
        <v>92984</v>
      </c>
      <c r="L814" s="2">
        <f t="shared" si="123"/>
        <v>0.30447424948918111</v>
      </c>
      <c r="N814">
        <v>253484</v>
      </c>
      <c r="O814">
        <v>77204</v>
      </c>
      <c r="Q814" s="2">
        <f t="shared" si="124"/>
        <v>0.23346477646603445</v>
      </c>
      <c r="T814">
        <v>244508</v>
      </c>
      <c r="U814">
        <v>62449</v>
      </c>
      <c r="W814" s="2">
        <f t="shared" si="125"/>
        <v>0.2034454337252449</v>
      </c>
      <c r="Z814">
        <f t="shared" si="120"/>
        <v>450221</v>
      </c>
      <c r="AA814">
        <f t="shared" si="121"/>
        <v>192587</v>
      </c>
      <c r="AC814" s="2">
        <f t="shared" si="126"/>
        <v>0.29960268073826091</v>
      </c>
      <c r="AD814" s="2"/>
      <c r="AE814">
        <f t="shared" si="127"/>
        <v>456916</v>
      </c>
      <c r="AF814">
        <f t="shared" si="128"/>
        <v>155433</v>
      </c>
      <c r="AH814" s="2">
        <f t="shared" si="129"/>
        <v>0.25383074031312208</v>
      </c>
      <c r="AI814" s="2"/>
      <c r="AJ814" s="2"/>
    </row>
    <row r="815" spans="2:36" x14ac:dyDescent="0.25">
      <c r="B815" s="1">
        <v>45090</v>
      </c>
      <c r="C815">
        <v>209069</v>
      </c>
      <c r="D815">
        <v>138025</v>
      </c>
      <c r="F815" s="2">
        <f t="shared" si="122"/>
        <v>0.39765884745918972</v>
      </c>
      <c r="I815">
        <v>216383</v>
      </c>
      <c r="J815">
        <v>112159</v>
      </c>
      <c r="L815" s="2">
        <f t="shared" si="123"/>
        <v>0.34138405439791564</v>
      </c>
      <c r="N815">
        <v>236449</v>
      </c>
      <c r="O815">
        <v>67944</v>
      </c>
      <c r="Q815" s="2">
        <f t="shared" si="124"/>
        <v>0.22321144047333547</v>
      </c>
      <c r="T815">
        <v>226892</v>
      </c>
      <c r="U815">
        <v>52622</v>
      </c>
      <c r="W815" s="2">
        <f t="shared" si="125"/>
        <v>0.18826248416895039</v>
      </c>
      <c r="Z815">
        <f t="shared" si="120"/>
        <v>445518</v>
      </c>
      <c r="AA815">
        <f t="shared" si="121"/>
        <v>205969</v>
      </c>
      <c r="AC815" s="2">
        <f t="shared" si="126"/>
        <v>0.31615212582906488</v>
      </c>
      <c r="AD815" s="2"/>
      <c r="AE815">
        <f t="shared" si="127"/>
        <v>443275</v>
      </c>
      <c r="AF815">
        <f t="shared" si="128"/>
        <v>164781</v>
      </c>
      <c r="AH815" s="2">
        <f t="shared" si="129"/>
        <v>0.27099642138224111</v>
      </c>
      <c r="AI815" s="2"/>
      <c r="AJ815" s="2"/>
    </row>
    <row r="816" spans="2:36" x14ac:dyDescent="0.25">
      <c r="B816" s="1">
        <v>45097</v>
      </c>
      <c r="C816">
        <v>210478</v>
      </c>
      <c r="D816">
        <v>118736</v>
      </c>
      <c r="F816" s="2">
        <f t="shared" si="122"/>
        <v>0.36066509929711371</v>
      </c>
      <c r="I816">
        <v>218958</v>
      </c>
      <c r="J816">
        <v>112158</v>
      </c>
      <c r="L816" s="2">
        <f t="shared" si="123"/>
        <v>0.33872721342369444</v>
      </c>
      <c r="N816">
        <v>249743</v>
      </c>
      <c r="O816">
        <v>64668</v>
      </c>
      <c r="Q816" s="2">
        <f t="shared" si="124"/>
        <v>0.20567982672361973</v>
      </c>
      <c r="T816">
        <v>239888</v>
      </c>
      <c r="U816">
        <v>49502</v>
      </c>
      <c r="W816" s="2">
        <f t="shared" si="125"/>
        <v>0.17105635992950691</v>
      </c>
      <c r="Z816">
        <f t="shared" si="120"/>
        <v>460221</v>
      </c>
      <c r="AA816">
        <f t="shared" si="121"/>
        <v>183404</v>
      </c>
      <c r="AC816" s="2">
        <f t="shared" si="126"/>
        <v>0.28495474849485336</v>
      </c>
      <c r="AD816" s="2"/>
      <c r="AE816">
        <f t="shared" si="127"/>
        <v>458846</v>
      </c>
      <c r="AF816">
        <f t="shared" si="128"/>
        <v>161660</v>
      </c>
      <c r="AH816" s="2">
        <f t="shared" si="129"/>
        <v>0.26052930995026641</v>
      </c>
      <c r="AI816" s="2"/>
      <c r="AJ816" s="2"/>
    </row>
    <row r="817" spans="2:36" x14ac:dyDescent="0.25">
      <c r="B817" s="1">
        <v>45104</v>
      </c>
      <c r="C817">
        <v>202078</v>
      </c>
      <c r="D817">
        <v>145858</v>
      </c>
      <c r="F817" s="2">
        <f t="shared" si="122"/>
        <v>0.41920927986756185</v>
      </c>
      <c r="I817">
        <v>207303</v>
      </c>
      <c r="J817">
        <v>135760</v>
      </c>
      <c r="L817" s="2">
        <f t="shared" si="123"/>
        <v>0.39572906434095195</v>
      </c>
      <c r="N817">
        <v>238983</v>
      </c>
      <c r="O817">
        <v>79835</v>
      </c>
      <c r="Q817" s="2">
        <f t="shared" si="124"/>
        <v>0.25040932444215824</v>
      </c>
      <c r="T817">
        <v>227633</v>
      </c>
      <c r="U817">
        <v>67833</v>
      </c>
      <c r="W817" s="2">
        <f t="shared" si="125"/>
        <v>0.2295797147556741</v>
      </c>
      <c r="Z817">
        <f t="shared" si="120"/>
        <v>441061</v>
      </c>
      <c r="AA817">
        <f t="shared" si="121"/>
        <v>225693</v>
      </c>
      <c r="AC817" s="2">
        <f t="shared" si="126"/>
        <v>0.33849515713441541</v>
      </c>
      <c r="AD817" s="2"/>
      <c r="AE817">
        <f t="shared" si="127"/>
        <v>434936</v>
      </c>
      <c r="AF817">
        <f t="shared" si="128"/>
        <v>203593</v>
      </c>
      <c r="AH817" s="2">
        <f t="shared" si="129"/>
        <v>0.31884691219975914</v>
      </c>
      <c r="AI817" s="2"/>
      <c r="AJ817" s="2"/>
    </row>
    <row r="818" spans="2:36" x14ac:dyDescent="0.25">
      <c r="B818" s="1">
        <v>45111</v>
      </c>
      <c r="C818">
        <v>195740</v>
      </c>
      <c r="D818">
        <v>117712</v>
      </c>
      <c r="F818" s="2">
        <f t="shared" si="122"/>
        <v>0.37553437208886847</v>
      </c>
      <c r="I818">
        <v>207518</v>
      </c>
      <c r="J818">
        <v>112155</v>
      </c>
      <c r="L818" s="2">
        <f t="shared" si="123"/>
        <v>0.35084289258085605</v>
      </c>
      <c r="N818">
        <v>253003</v>
      </c>
      <c r="O818">
        <v>70081</v>
      </c>
      <c r="Q818" s="2">
        <f t="shared" si="124"/>
        <v>0.2169126295328769</v>
      </c>
      <c r="T818">
        <v>244514</v>
      </c>
      <c r="U818">
        <v>59608</v>
      </c>
      <c r="W818" s="2">
        <f t="shared" si="125"/>
        <v>0.19600028935756045</v>
      </c>
      <c r="Z818">
        <f t="shared" si="120"/>
        <v>448743</v>
      </c>
      <c r="AA818">
        <f t="shared" si="121"/>
        <v>187793</v>
      </c>
      <c r="AC818" s="2">
        <f t="shared" si="126"/>
        <v>0.29502337652544397</v>
      </c>
      <c r="AD818" s="2"/>
      <c r="AE818">
        <f t="shared" si="127"/>
        <v>452032</v>
      </c>
      <c r="AF818">
        <f t="shared" si="128"/>
        <v>171763</v>
      </c>
      <c r="AH818" s="2">
        <f t="shared" si="129"/>
        <v>0.27535167803525196</v>
      </c>
      <c r="AI818" s="2"/>
      <c r="AJ818" s="2"/>
    </row>
    <row r="819" spans="2:36" x14ac:dyDescent="0.25">
      <c r="B819" s="1">
        <v>45118</v>
      </c>
      <c r="C819">
        <v>223385</v>
      </c>
      <c r="D819">
        <v>101082</v>
      </c>
      <c r="F819" s="2">
        <f t="shared" si="122"/>
        <v>0.31153245168229743</v>
      </c>
      <c r="I819">
        <v>229288</v>
      </c>
      <c r="J819">
        <v>101077</v>
      </c>
      <c r="L819" s="2">
        <f t="shared" si="123"/>
        <v>0.30595553403054199</v>
      </c>
      <c r="N819">
        <v>275205</v>
      </c>
      <c r="O819">
        <v>45615</v>
      </c>
      <c r="Q819" s="2">
        <f t="shared" si="124"/>
        <v>0.14218253226108099</v>
      </c>
      <c r="T819">
        <v>269537</v>
      </c>
      <c r="U819">
        <v>36508</v>
      </c>
      <c r="W819" s="2">
        <f t="shared" si="125"/>
        <v>0.11928964694734434</v>
      </c>
      <c r="Z819">
        <f t="shared" si="120"/>
        <v>498590</v>
      </c>
      <c r="AA819">
        <f t="shared" si="121"/>
        <v>146697</v>
      </c>
      <c r="AC819" s="2">
        <f t="shared" si="126"/>
        <v>0.22733605356996189</v>
      </c>
      <c r="AD819" s="2"/>
      <c r="AE819">
        <f t="shared" si="127"/>
        <v>498825</v>
      </c>
      <c r="AF819">
        <f t="shared" si="128"/>
        <v>137585</v>
      </c>
      <c r="AH819" s="2">
        <f t="shared" si="129"/>
        <v>0.21618924906899639</v>
      </c>
      <c r="AI819" s="2"/>
      <c r="AJ819" s="2"/>
    </row>
    <row r="820" spans="2:36" x14ac:dyDescent="0.25">
      <c r="B820" s="1">
        <v>45125</v>
      </c>
      <c r="C820">
        <v>242461</v>
      </c>
      <c r="D820">
        <v>80540</v>
      </c>
      <c r="F820" s="2">
        <f t="shared" si="122"/>
        <v>0.24934907322268351</v>
      </c>
      <c r="I820">
        <v>247874</v>
      </c>
      <c r="J820">
        <v>74589</v>
      </c>
      <c r="L820" s="2">
        <f t="shared" si="123"/>
        <v>0.23131025885140311</v>
      </c>
      <c r="N820">
        <v>244132</v>
      </c>
      <c r="O820">
        <v>56506</v>
      </c>
      <c r="Q820" s="2">
        <f t="shared" si="124"/>
        <v>0.18795361863769716</v>
      </c>
      <c r="T820">
        <v>238646</v>
      </c>
      <c r="U820">
        <v>45950</v>
      </c>
      <c r="W820" s="2">
        <f t="shared" si="125"/>
        <v>0.16145694247283868</v>
      </c>
      <c r="Z820">
        <f t="shared" si="120"/>
        <v>486593</v>
      </c>
      <c r="AA820">
        <f t="shared" si="121"/>
        <v>137046</v>
      </c>
      <c r="AC820" s="2">
        <f t="shared" si="126"/>
        <v>0.21975213224317272</v>
      </c>
      <c r="AD820" s="2"/>
      <c r="AE820">
        <f t="shared" si="127"/>
        <v>486520</v>
      </c>
      <c r="AF820">
        <f t="shared" si="128"/>
        <v>120539</v>
      </c>
      <c r="AH820" s="2">
        <f t="shared" si="129"/>
        <v>0.19856224847996654</v>
      </c>
      <c r="AI820" s="2"/>
      <c r="AJ820" s="2"/>
    </row>
    <row r="821" spans="2:36" x14ac:dyDescent="0.25">
      <c r="B821" s="1">
        <v>45132</v>
      </c>
      <c r="C821">
        <v>244610</v>
      </c>
      <c r="D821">
        <v>61760</v>
      </c>
      <c r="F821" s="2">
        <f t="shared" si="122"/>
        <v>0.20158631719815909</v>
      </c>
      <c r="I821">
        <v>246884</v>
      </c>
      <c r="J821">
        <v>54780</v>
      </c>
      <c r="L821" s="2">
        <f t="shared" si="123"/>
        <v>0.18159276546091016</v>
      </c>
      <c r="N821">
        <v>248901</v>
      </c>
      <c r="O821">
        <v>60829</v>
      </c>
      <c r="Q821" s="2">
        <f t="shared" si="124"/>
        <v>0.19639363316436897</v>
      </c>
      <c r="T821">
        <v>246123</v>
      </c>
      <c r="U821">
        <v>49483</v>
      </c>
      <c r="W821" s="2">
        <f t="shared" si="125"/>
        <v>0.16739511376629704</v>
      </c>
      <c r="Z821">
        <f t="shared" si="120"/>
        <v>493511</v>
      </c>
      <c r="AA821">
        <f t="shared" si="121"/>
        <v>122589</v>
      </c>
      <c r="AC821" s="2">
        <f t="shared" si="126"/>
        <v>0.19897581561434832</v>
      </c>
      <c r="AD821" s="2"/>
      <c r="AE821">
        <f t="shared" si="127"/>
        <v>493007</v>
      </c>
      <c r="AF821">
        <f t="shared" si="128"/>
        <v>104263</v>
      </c>
      <c r="AH821" s="2">
        <f t="shared" si="129"/>
        <v>0.17456594170140807</v>
      </c>
      <c r="AI821" s="2"/>
      <c r="AJ821" s="2"/>
    </row>
    <row r="822" spans="2:36" x14ac:dyDescent="0.25">
      <c r="B822" s="1">
        <v>45139</v>
      </c>
      <c r="C822">
        <v>256964</v>
      </c>
      <c r="D822">
        <v>58029</v>
      </c>
      <c r="F822" s="2">
        <f t="shared" si="122"/>
        <v>0.18422314146663576</v>
      </c>
      <c r="I822">
        <v>256814</v>
      </c>
      <c r="J822">
        <v>50855</v>
      </c>
      <c r="L822" s="2">
        <f t="shared" si="123"/>
        <v>0.16529127081376413</v>
      </c>
      <c r="N822">
        <v>257000</v>
      </c>
      <c r="O822">
        <v>42695</v>
      </c>
      <c r="Q822" s="2">
        <f t="shared" si="124"/>
        <v>0.1424615025275697</v>
      </c>
      <c r="T822">
        <v>252472</v>
      </c>
      <c r="U822">
        <v>37104</v>
      </c>
      <c r="W822" s="2">
        <f t="shared" si="125"/>
        <v>0.12813216564908694</v>
      </c>
      <c r="Z822">
        <f t="shared" si="120"/>
        <v>513964</v>
      </c>
      <c r="AA822">
        <f t="shared" si="121"/>
        <v>100724</v>
      </c>
      <c r="AC822" s="2">
        <f t="shared" si="126"/>
        <v>0.16386199177468894</v>
      </c>
      <c r="AD822" s="2"/>
      <c r="AE822">
        <f t="shared" si="127"/>
        <v>509286</v>
      </c>
      <c r="AF822">
        <f t="shared" si="128"/>
        <v>87959</v>
      </c>
      <c r="AH822" s="2">
        <f t="shared" si="129"/>
        <v>0.14727456906294736</v>
      </c>
      <c r="AI822" s="2"/>
      <c r="AJ822" s="2"/>
    </row>
    <row r="823" spans="2:36" x14ac:dyDescent="0.25">
      <c r="B823" s="1">
        <v>45146</v>
      </c>
      <c r="C823">
        <v>256368</v>
      </c>
      <c r="D823">
        <v>50993</v>
      </c>
      <c r="F823" s="2">
        <f t="shared" si="122"/>
        <v>0.16590588916615967</v>
      </c>
      <c r="I823">
        <v>255153</v>
      </c>
      <c r="J823">
        <v>44995</v>
      </c>
      <c r="L823" s="2">
        <f t="shared" si="123"/>
        <v>0.14990937804016685</v>
      </c>
      <c r="N823">
        <v>264013</v>
      </c>
      <c r="O823">
        <v>49302</v>
      </c>
      <c r="Q823" s="2">
        <f t="shared" si="124"/>
        <v>0.15735601551154588</v>
      </c>
      <c r="T823">
        <v>259791</v>
      </c>
      <c r="U823">
        <v>48804</v>
      </c>
      <c r="W823" s="2">
        <f t="shared" si="125"/>
        <v>0.15814903028240898</v>
      </c>
      <c r="Z823">
        <f t="shared" si="120"/>
        <v>520381</v>
      </c>
      <c r="AA823">
        <f t="shared" si="121"/>
        <v>100295</v>
      </c>
      <c r="AC823" s="2">
        <f t="shared" si="126"/>
        <v>0.16158994386765399</v>
      </c>
      <c r="AD823" s="2"/>
      <c r="AE823">
        <f t="shared" si="127"/>
        <v>514944</v>
      </c>
      <c r="AF823">
        <f t="shared" si="128"/>
        <v>93799</v>
      </c>
      <c r="AH823" s="2">
        <f t="shared" si="129"/>
        <v>0.15408637142439421</v>
      </c>
      <c r="AI823" s="2"/>
      <c r="AJ823" s="2"/>
    </row>
    <row r="824" spans="2:36" x14ac:dyDescent="0.25">
      <c r="B824" s="1">
        <v>45153</v>
      </c>
      <c r="C824">
        <v>239367</v>
      </c>
      <c r="D824">
        <v>65525</v>
      </c>
      <c r="F824" s="2">
        <f t="shared" si="122"/>
        <v>0.21491216561930127</v>
      </c>
      <c r="I824">
        <v>231591</v>
      </c>
      <c r="J824">
        <v>52771</v>
      </c>
      <c r="L824" s="2">
        <f t="shared" si="123"/>
        <v>0.18557683516081613</v>
      </c>
      <c r="N824">
        <v>281058</v>
      </c>
      <c r="O824">
        <v>46998</v>
      </c>
      <c r="Q824" s="2">
        <f t="shared" si="124"/>
        <v>0.14326212597849147</v>
      </c>
      <c r="T824">
        <v>275625</v>
      </c>
      <c r="U824">
        <v>44890</v>
      </c>
      <c r="W824" s="2">
        <f t="shared" si="125"/>
        <v>0.14005584762023618</v>
      </c>
      <c r="Z824">
        <f t="shared" si="120"/>
        <v>520425</v>
      </c>
      <c r="AA824">
        <f t="shared" si="121"/>
        <v>112523</v>
      </c>
      <c r="AC824" s="2">
        <f t="shared" si="126"/>
        <v>0.17777605743283809</v>
      </c>
      <c r="AD824" s="2"/>
      <c r="AE824">
        <f t="shared" si="127"/>
        <v>507216</v>
      </c>
      <c r="AF824">
        <f t="shared" si="128"/>
        <v>97661</v>
      </c>
      <c r="AH824" s="2">
        <f t="shared" si="129"/>
        <v>0.16145596542768198</v>
      </c>
      <c r="AI824" s="2"/>
      <c r="AJ824" s="2"/>
    </row>
    <row r="825" spans="2:36" x14ac:dyDescent="0.25">
      <c r="B825" s="1">
        <v>45160</v>
      </c>
      <c r="C825">
        <v>219601</v>
      </c>
      <c r="D825">
        <v>75393</v>
      </c>
      <c r="F825" s="2">
        <f t="shared" si="122"/>
        <v>0.25557468965470487</v>
      </c>
      <c r="I825">
        <v>227435</v>
      </c>
      <c r="J825">
        <v>65560</v>
      </c>
      <c r="L825" s="2">
        <f t="shared" si="123"/>
        <v>0.22375808460895238</v>
      </c>
      <c r="N825">
        <v>274260</v>
      </c>
      <c r="O825">
        <v>52573</v>
      </c>
      <c r="Q825" s="2">
        <f t="shared" si="124"/>
        <v>0.16085584992947469</v>
      </c>
      <c r="T825">
        <v>264484</v>
      </c>
      <c r="U825">
        <v>46713</v>
      </c>
      <c r="W825" s="2">
        <f t="shared" si="125"/>
        <v>0.15010748818272671</v>
      </c>
      <c r="Z825">
        <f t="shared" si="120"/>
        <v>493861</v>
      </c>
      <c r="AA825">
        <f t="shared" si="121"/>
        <v>127966</v>
      </c>
      <c r="AC825" s="2">
        <f t="shared" si="126"/>
        <v>0.20579035648178673</v>
      </c>
      <c r="AD825" s="2"/>
      <c r="AE825">
        <f t="shared" si="127"/>
        <v>491919</v>
      </c>
      <c r="AF825">
        <f t="shared" si="128"/>
        <v>112273</v>
      </c>
      <c r="AH825" s="2">
        <f t="shared" si="129"/>
        <v>0.18582338064721149</v>
      </c>
      <c r="AI825" s="2"/>
      <c r="AJ825" s="2"/>
    </row>
    <row r="826" spans="2:36" x14ac:dyDescent="0.25">
      <c r="B826" s="1">
        <v>45167</v>
      </c>
      <c r="C826">
        <v>225285</v>
      </c>
      <c r="D826">
        <v>53520</v>
      </c>
      <c r="F826" s="2">
        <f t="shared" si="122"/>
        <v>0.19196212406520685</v>
      </c>
      <c r="I826">
        <v>236158</v>
      </c>
      <c r="J826">
        <v>48509</v>
      </c>
      <c r="L826" s="2">
        <f t="shared" si="123"/>
        <v>0.17040612364622523</v>
      </c>
      <c r="N826">
        <v>257593</v>
      </c>
      <c r="O826">
        <v>56660</v>
      </c>
      <c r="Q826" s="2">
        <f t="shared" si="124"/>
        <v>0.18030058583370723</v>
      </c>
      <c r="T826">
        <v>254673</v>
      </c>
      <c r="U826">
        <v>52446</v>
      </c>
      <c r="W826" s="2">
        <f t="shared" si="125"/>
        <v>0.17076768288513572</v>
      </c>
      <c r="Z826">
        <f t="shared" si="120"/>
        <v>482878</v>
      </c>
      <c r="AA826">
        <f t="shared" si="121"/>
        <v>110180</v>
      </c>
      <c r="AC826" s="2">
        <f t="shared" si="126"/>
        <v>0.18578284080140559</v>
      </c>
      <c r="AD826" s="2"/>
      <c r="AE826">
        <f t="shared" si="127"/>
        <v>490831</v>
      </c>
      <c r="AF826">
        <f t="shared" si="128"/>
        <v>100955</v>
      </c>
      <c r="AH826" s="2">
        <f t="shared" si="129"/>
        <v>0.17059376193421272</v>
      </c>
      <c r="AI826" s="2"/>
      <c r="AJ826" s="2"/>
    </row>
    <row r="827" spans="2:36" x14ac:dyDescent="0.25">
      <c r="B827" s="1">
        <v>45174</v>
      </c>
      <c r="C827">
        <v>268738</v>
      </c>
      <c r="D827">
        <v>35820</v>
      </c>
      <c r="F827" s="2">
        <f t="shared" si="122"/>
        <v>0.11761306549163049</v>
      </c>
      <c r="I827">
        <v>279404</v>
      </c>
      <c r="J827">
        <v>30414</v>
      </c>
      <c r="L827" s="2">
        <f t="shared" si="123"/>
        <v>9.8167311131051135E-2</v>
      </c>
      <c r="N827">
        <v>272860</v>
      </c>
      <c r="O827">
        <v>49143</v>
      </c>
      <c r="Q827" s="2">
        <f t="shared" si="124"/>
        <v>0.15261659052865967</v>
      </c>
      <c r="T827">
        <v>272356</v>
      </c>
      <c r="U827">
        <v>44709</v>
      </c>
      <c r="W827" s="2">
        <f t="shared" si="125"/>
        <v>0.14100894138425873</v>
      </c>
      <c r="Z827">
        <f t="shared" si="120"/>
        <v>541598</v>
      </c>
      <c r="AA827">
        <f t="shared" si="121"/>
        <v>84963</v>
      </c>
      <c r="AC827" s="2">
        <f t="shared" si="126"/>
        <v>0.13560212014472653</v>
      </c>
      <c r="AD827" s="2"/>
      <c r="AE827">
        <f t="shared" si="127"/>
        <v>551760</v>
      </c>
      <c r="AF827">
        <f t="shared" si="128"/>
        <v>75123</v>
      </c>
      <c r="AH827" s="2">
        <f t="shared" si="129"/>
        <v>0.1198357588258096</v>
      </c>
      <c r="AI827" s="2"/>
      <c r="AJ827" s="2"/>
    </row>
    <row r="828" spans="2:36" x14ac:dyDescent="0.25">
      <c r="B828" s="1">
        <v>45181</v>
      </c>
      <c r="C828">
        <v>293746</v>
      </c>
      <c r="D828">
        <v>29716</v>
      </c>
      <c r="F828" s="2">
        <f t="shared" si="122"/>
        <v>9.1868596620313978E-2</v>
      </c>
      <c r="I828">
        <v>299873</v>
      </c>
      <c r="J828">
        <v>20561</v>
      </c>
      <c r="L828" s="2">
        <f t="shared" si="123"/>
        <v>6.4166099727244921E-2</v>
      </c>
      <c r="N828">
        <v>294418</v>
      </c>
      <c r="O828">
        <v>47868</v>
      </c>
      <c r="Q828" s="2">
        <f t="shared" si="124"/>
        <v>0.13984796339902889</v>
      </c>
      <c r="T828">
        <v>288376</v>
      </c>
      <c r="U828">
        <v>40749</v>
      </c>
      <c r="W828" s="2">
        <f t="shared" si="125"/>
        <v>0.12381010254462591</v>
      </c>
      <c r="Z828">
        <f t="shared" si="120"/>
        <v>588164</v>
      </c>
      <c r="AA828">
        <f t="shared" si="121"/>
        <v>77584</v>
      </c>
      <c r="AC828" s="2">
        <f t="shared" si="126"/>
        <v>0.11653658741746126</v>
      </c>
      <c r="AD828" s="2"/>
      <c r="AE828">
        <f t="shared" si="127"/>
        <v>588249</v>
      </c>
      <c r="AF828">
        <f t="shared" si="128"/>
        <v>61310</v>
      </c>
      <c r="AH828" s="2">
        <f t="shared" si="129"/>
        <v>9.4387114950297044E-2</v>
      </c>
      <c r="AI828" s="2"/>
      <c r="AJ828" s="2"/>
    </row>
    <row r="829" spans="2:36" x14ac:dyDescent="0.25">
      <c r="B829" s="1">
        <v>45188</v>
      </c>
      <c r="C829">
        <v>311274</v>
      </c>
      <c r="D829">
        <v>29654</v>
      </c>
      <c r="F829" s="2">
        <f t="shared" si="122"/>
        <v>8.6980242162568056E-2</v>
      </c>
      <c r="I829">
        <v>314868</v>
      </c>
      <c r="J829">
        <v>20472</v>
      </c>
      <c r="L829" s="2">
        <f t="shared" si="123"/>
        <v>6.1048488101628197E-2</v>
      </c>
      <c r="N829">
        <v>299443</v>
      </c>
      <c r="O829">
        <v>36141</v>
      </c>
      <c r="Q829" s="2">
        <f t="shared" si="124"/>
        <v>0.10769583770382378</v>
      </c>
      <c r="T829">
        <v>290652</v>
      </c>
      <c r="U829">
        <v>25121</v>
      </c>
      <c r="W829" s="2">
        <f t="shared" si="125"/>
        <v>7.9553983399467343E-2</v>
      </c>
      <c r="Z829">
        <f t="shared" si="120"/>
        <v>610717</v>
      </c>
      <c r="AA829">
        <f t="shared" si="121"/>
        <v>65795</v>
      </c>
      <c r="AC829" s="2">
        <f t="shared" si="126"/>
        <v>9.7256220140958333E-2</v>
      </c>
      <c r="AD829" s="2"/>
      <c r="AE829">
        <f t="shared" si="127"/>
        <v>605520</v>
      </c>
      <c r="AF829">
        <f t="shared" si="128"/>
        <v>45593</v>
      </c>
      <c r="AH829" s="2">
        <f t="shared" si="129"/>
        <v>7.0023175700684823E-2</v>
      </c>
      <c r="AI829" s="2"/>
      <c r="AJ829" s="2"/>
    </row>
    <row r="830" spans="2:36" x14ac:dyDescent="0.25">
      <c r="B830" s="1">
        <v>45195</v>
      </c>
      <c r="C830">
        <v>330645</v>
      </c>
      <c r="D830">
        <v>28985</v>
      </c>
      <c r="F830" s="2">
        <f t="shared" si="122"/>
        <v>8.0596724411200402E-2</v>
      </c>
      <c r="I830">
        <v>335926</v>
      </c>
      <c r="J830">
        <v>21407</v>
      </c>
      <c r="L830" s="2">
        <f t="shared" si="123"/>
        <v>5.9907705137784643E-2</v>
      </c>
      <c r="N830">
        <v>289265</v>
      </c>
      <c r="O830">
        <v>51422</v>
      </c>
      <c r="Q830" s="2">
        <f t="shared" si="124"/>
        <v>0.15093619656752386</v>
      </c>
      <c r="T830">
        <v>283492</v>
      </c>
      <c r="U830">
        <v>39950</v>
      </c>
      <c r="W830" s="2">
        <f t="shared" si="125"/>
        <v>0.1235151897403553</v>
      </c>
      <c r="Z830">
        <f t="shared" si="120"/>
        <v>619910</v>
      </c>
      <c r="AA830">
        <f t="shared" si="121"/>
        <v>80407</v>
      </c>
      <c r="AC830" s="2">
        <f t="shared" si="126"/>
        <v>0.1148151479972641</v>
      </c>
      <c r="AD830" s="2"/>
      <c r="AE830">
        <f t="shared" si="127"/>
        <v>619418</v>
      </c>
      <c r="AF830">
        <f t="shared" si="128"/>
        <v>61357</v>
      </c>
      <c r="AH830" s="2">
        <f t="shared" si="129"/>
        <v>9.0128162755682861E-2</v>
      </c>
      <c r="AI830" s="2"/>
      <c r="AJ830" s="2"/>
    </row>
    <row r="831" spans="2:36" x14ac:dyDescent="0.25">
      <c r="B831" s="1">
        <v>45202</v>
      </c>
      <c r="C831">
        <v>323533</v>
      </c>
      <c r="D831">
        <v>30298</v>
      </c>
      <c r="F831" s="2">
        <f t="shared" si="122"/>
        <v>8.5628449740130175E-2</v>
      </c>
      <c r="I831">
        <v>326582</v>
      </c>
      <c r="J831">
        <v>19920</v>
      </c>
      <c r="L831" s="2">
        <f t="shared" si="123"/>
        <v>5.7488845663228497E-2</v>
      </c>
      <c r="N831">
        <v>275030</v>
      </c>
      <c r="O831">
        <v>57782</v>
      </c>
      <c r="Q831" s="2">
        <f t="shared" si="124"/>
        <v>0.17361753782916481</v>
      </c>
      <c r="T831">
        <v>261078</v>
      </c>
      <c r="U831">
        <v>42743</v>
      </c>
      <c r="W831" s="2">
        <f t="shared" si="125"/>
        <v>0.14068481112233849</v>
      </c>
      <c r="Z831">
        <f t="shared" si="120"/>
        <v>598563</v>
      </c>
      <c r="AA831">
        <f t="shared" si="121"/>
        <v>88080</v>
      </c>
      <c r="AC831" s="2">
        <f t="shared" si="126"/>
        <v>0.12827626583246315</v>
      </c>
      <c r="AD831" s="2"/>
      <c r="AE831">
        <f t="shared" si="127"/>
        <v>587660</v>
      </c>
      <c r="AF831">
        <f t="shared" si="128"/>
        <v>62663</v>
      </c>
      <c r="AH831" s="2">
        <f t="shared" si="129"/>
        <v>9.6356733500122249E-2</v>
      </c>
      <c r="AI831" s="2"/>
      <c r="AJ831" s="2"/>
    </row>
    <row r="832" spans="2:36" x14ac:dyDescent="0.25">
      <c r="B832" s="1">
        <v>45209</v>
      </c>
      <c r="C832">
        <v>281221</v>
      </c>
      <c r="D832">
        <v>26677</v>
      </c>
      <c r="F832" s="2">
        <f t="shared" si="122"/>
        <v>8.664232960266062E-2</v>
      </c>
      <c r="I832">
        <v>290366</v>
      </c>
      <c r="J832">
        <v>21458</v>
      </c>
      <c r="L832" s="2">
        <f t="shared" si="123"/>
        <v>6.8814459438657702E-2</v>
      </c>
      <c r="N832">
        <v>210748</v>
      </c>
      <c r="O832">
        <v>72008</v>
      </c>
      <c r="Q832" s="2">
        <f t="shared" si="124"/>
        <v>0.25466479933228647</v>
      </c>
      <c r="T832">
        <v>208515</v>
      </c>
      <c r="U832">
        <v>55341</v>
      </c>
      <c r="W832" s="2">
        <f t="shared" si="125"/>
        <v>0.20973940331089685</v>
      </c>
      <c r="Z832">
        <f t="shared" si="120"/>
        <v>491969</v>
      </c>
      <c r="AA832">
        <f t="shared" si="121"/>
        <v>98685</v>
      </c>
      <c r="AC832" s="2">
        <f t="shared" si="126"/>
        <v>0.16707751069153853</v>
      </c>
      <c r="AD832" s="2"/>
      <c r="AE832">
        <f t="shared" si="127"/>
        <v>498881</v>
      </c>
      <c r="AF832">
        <f t="shared" si="128"/>
        <v>76799</v>
      </c>
      <c r="AH832" s="2">
        <f t="shared" si="129"/>
        <v>0.13340571150639244</v>
      </c>
      <c r="AI832" s="2"/>
      <c r="AJ832" s="2"/>
    </row>
    <row r="833" spans="2:36" x14ac:dyDescent="0.25">
      <c r="B833" s="1">
        <v>45216</v>
      </c>
      <c r="C833">
        <v>243150</v>
      </c>
      <c r="D833">
        <v>40006</v>
      </c>
      <c r="F833" s="2">
        <f t="shared" si="122"/>
        <v>0.14128607552020794</v>
      </c>
      <c r="I833">
        <v>253635</v>
      </c>
      <c r="J833">
        <v>32763</v>
      </c>
      <c r="L833" s="2">
        <f t="shared" si="123"/>
        <v>0.11439674858064651</v>
      </c>
      <c r="N833">
        <v>250531</v>
      </c>
      <c r="O833">
        <v>45220</v>
      </c>
      <c r="Q833" s="2">
        <f t="shared" si="124"/>
        <v>0.15289889129707085</v>
      </c>
      <c r="T833">
        <v>253604</v>
      </c>
      <c r="U833">
        <v>26142</v>
      </c>
      <c r="W833" s="2">
        <f t="shared" si="125"/>
        <v>9.344905735917583E-2</v>
      </c>
      <c r="Z833">
        <f t="shared" si="120"/>
        <v>493681</v>
      </c>
      <c r="AA833">
        <f t="shared" si="121"/>
        <v>85226</v>
      </c>
      <c r="AC833" s="2">
        <f t="shared" si="126"/>
        <v>0.14721881062070419</v>
      </c>
      <c r="AD833" s="2"/>
      <c r="AE833">
        <f t="shared" si="127"/>
        <v>507239</v>
      </c>
      <c r="AF833">
        <f t="shared" si="128"/>
        <v>58905</v>
      </c>
      <c r="AH833" s="2">
        <f t="shared" si="129"/>
        <v>0.10404596710377571</v>
      </c>
      <c r="AI833" s="2"/>
      <c r="AJ833" s="2"/>
    </row>
    <row r="834" spans="2:36" x14ac:dyDescent="0.25">
      <c r="B834" s="1">
        <v>45223</v>
      </c>
      <c r="C834">
        <v>247886</v>
      </c>
      <c r="D834">
        <v>51910</v>
      </c>
      <c r="F834" s="2">
        <f t="shared" si="122"/>
        <v>0.17315107606505759</v>
      </c>
      <c r="I834">
        <v>255519</v>
      </c>
      <c r="J834">
        <v>41250</v>
      </c>
      <c r="L834" s="2">
        <f t="shared" si="123"/>
        <v>0.13899699766485044</v>
      </c>
      <c r="N834">
        <v>251478</v>
      </c>
      <c r="O834">
        <v>46018</v>
      </c>
      <c r="Q834" s="2">
        <f t="shared" si="124"/>
        <v>0.15468443273186866</v>
      </c>
      <c r="T834">
        <v>252487</v>
      </c>
      <c r="U834">
        <v>35791</v>
      </c>
      <c r="W834" s="2">
        <f t="shared" si="125"/>
        <v>0.12415446201236306</v>
      </c>
      <c r="Z834">
        <f t="shared" si="120"/>
        <v>499364</v>
      </c>
      <c r="AA834">
        <f t="shared" si="121"/>
        <v>97928</v>
      </c>
      <c r="AC834" s="2">
        <f t="shared" si="126"/>
        <v>0.16395330926916818</v>
      </c>
      <c r="AD834" s="2"/>
      <c r="AE834">
        <f t="shared" si="127"/>
        <v>508006</v>
      </c>
      <c r="AF834">
        <f t="shared" si="128"/>
        <v>77041</v>
      </c>
      <c r="AH834" s="2">
        <f t="shared" si="129"/>
        <v>0.13168343739904656</v>
      </c>
      <c r="AI834" s="2"/>
      <c r="AJ834" s="2"/>
    </row>
    <row r="835" spans="2:36" x14ac:dyDescent="0.25">
      <c r="B835" s="1">
        <v>45230</v>
      </c>
      <c r="C835">
        <v>220229</v>
      </c>
      <c r="D835">
        <v>84165</v>
      </c>
      <c r="F835" s="2">
        <f t="shared" si="122"/>
        <v>0.27650019382773644</v>
      </c>
      <c r="I835">
        <v>228870</v>
      </c>
      <c r="J835">
        <v>75396</v>
      </c>
      <c r="L835" s="2">
        <f t="shared" si="123"/>
        <v>0.24779633610064877</v>
      </c>
      <c r="N835">
        <v>242528</v>
      </c>
      <c r="O835">
        <v>45501</v>
      </c>
      <c r="Q835" s="2">
        <f t="shared" si="124"/>
        <v>0.15797367626176531</v>
      </c>
      <c r="T835">
        <v>242367</v>
      </c>
      <c r="U835">
        <v>42084</v>
      </c>
      <c r="W835" s="2">
        <f t="shared" si="125"/>
        <v>0.14794815275741691</v>
      </c>
      <c r="Z835">
        <f t="shared" si="120"/>
        <v>462757</v>
      </c>
      <c r="AA835">
        <f t="shared" si="121"/>
        <v>129666</v>
      </c>
      <c r="AC835" s="2">
        <f t="shared" si="126"/>
        <v>0.21887401400688358</v>
      </c>
      <c r="AD835" s="2"/>
      <c r="AE835">
        <f t="shared" si="127"/>
        <v>471237</v>
      </c>
      <c r="AF835">
        <f t="shared" si="128"/>
        <v>117480</v>
      </c>
      <c r="AH835" s="2">
        <f t="shared" si="129"/>
        <v>0.19955258638700768</v>
      </c>
      <c r="AI835" s="2"/>
      <c r="AJ835" s="2"/>
    </row>
    <row r="836" spans="2:36" x14ac:dyDescent="0.25">
      <c r="B836" s="1">
        <v>45237</v>
      </c>
      <c r="C836">
        <v>218063</v>
      </c>
      <c r="D836">
        <v>106754</v>
      </c>
      <c r="F836" s="2">
        <f t="shared" si="122"/>
        <v>0.32865890639960349</v>
      </c>
      <c r="I836">
        <v>231309</v>
      </c>
      <c r="J836">
        <v>95756</v>
      </c>
      <c r="L836" s="2">
        <f t="shared" si="123"/>
        <v>0.29277360769266048</v>
      </c>
      <c r="N836">
        <v>227257</v>
      </c>
      <c r="O836">
        <v>51929</v>
      </c>
      <c r="Q836" s="2">
        <f t="shared" si="124"/>
        <v>0.18600144706396451</v>
      </c>
      <c r="T836">
        <v>221791</v>
      </c>
      <c r="U836">
        <v>45753</v>
      </c>
      <c r="W836" s="2">
        <f t="shared" si="125"/>
        <v>0.17101112340400085</v>
      </c>
      <c r="Z836">
        <f t="shared" si="120"/>
        <v>445320</v>
      </c>
      <c r="AA836">
        <f t="shared" si="121"/>
        <v>158683</v>
      </c>
      <c r="AC836" s="2">
        <f t="shared" si="126"/>
        <v>0.26271889378032892</v>
      </c>
      <c r="AD836" s="2"/>
      <c r="AE836">
        <f t="shared" si="127"/>
        <v>453100</v>
      </c>
      <c r="AF836">
        <f t="shared" si="128"/>
        <v>141509</v>
      </c>
      <c r="AH836" s="2">
        <f t="shared" si="129"/>
        <v>0.23798664332359584</v>
      </c>
      <c r="AI836" s="2"/>
      <c r="AJ836" s="2"/>
    </row>
    <row r="837" spans="2:36" x14ac:dyDescent="0.25">
      <c r="B837" s="1">
        <v>45244</v>
      </c>
      <c r="C837">
        <v>213109</v>
      </c>
      <c r="D837">
        <v>113546</v>
      </c>
      <c r="F837" s="2">
        <f t="shared" si="122"/>
        <v>0.3476022102830203</v>
      </c>
      <c r="I837">
        <v>223625</v>
      </c>
      <c r="J837">
        <v>99329</v>
      </c>
      <c r="L837" s="2">
        <f t="shared" si="123"/>
        <v>0.30756392551261169</v>
      </c>
      <c r="N837">
        <v>222952</v>
      </c>
      <c r="O837">
        <v>51023</v>
      </c>
      <c r="Q837" s="2">
        <f t="shared" si="124"/>
        <v>0.1862323204671959</v>
      </c>
      <c r="T837">
        <v>218596</v>
      </c>
      <c r="U837">
        <v>47611</v>
      </c>
      <c r="W837" s="2">
        <f t="shared" si="125"/>
        <v>0.17884954189784641</v>
      </c>
      <c r="Z837">
        <f t="shared" si="120"/>
        <v>436061</v>
      </c>
      <c r="AA837">
        <f t="shared" si="121"/>
        <v>164569</v>
      </c>
      <c r="AC837" s="2">
        <f t="shared" si="126"/>
        <v>0.27399397299502187</v>
      </c>
      <c r="AD837" s="2"/>
      <c r="AE837">
        <f t="shared" si="127"/>
        <v>442221</v>
      </c>
      <c r="AF837">
        <f t="shared" si="128"/>
        <v>146940</v>
      </c>
      <c r="AH837" s="2">
        <f t="shared" si="129"/>
        <v>0.24940551054805055</v>
      </c>
      <c r="AI837" s="2"/>
      <c r="AJ837" s="2"/>
    </row>
    <row r="838" spans="2:36" x14ac:dyDescent="0.25">
      <c r="B838" s="1">
        <v>45251</v>
      </c>
      <c r="C838">
        <v>200481</v>
      </c>
      <c r="D838">
        <v>115552</v>
      </c>
      <c r="F838" s="2">
        <f t="shared" si="122"/>
        <v>0.36563270291393618</v>
      </c>
      <c r="I838">
        <v>210304</v>
      </c>
      <c r="J838">
        <v>105759</v>
      </c>
      <c r="L838" s="2">
        <f t="shared" si="123"/>
        <v>0.33461366879387971</v>
      </c>
      <c r="N838">
        <v>216914</v>
      </c>
      <c r="O838">
        <v>56264</v>
      </c>
      <c r="Q838" s="2">
        <f t="shared" si="124"/>
        <v>0.20596094853904781</v>
      </c>
      <c r="T838">
        <v>207105</v>
      </c>
      <c r="U838">
        <v>52000</v>
      </c>
      <c r="W838" s="2">
        <f t="shared" si="125"/>
        <v>0.20069083962100306</v>
      </c>
      <c r="Z838">
        <f t="shared" si="120"/>
        <v>417395</v>
      </c>
      <c r="AA838">
        <f t="shared" si="121"/>
        <v>171816</v>
      </c>
      <c r="AC838" s="2">
        <f t="shared" si="126"/>
        <v>0.29160351724594413</v>
      </c>
      <c r="AD838" s="2"/>
      <c r="AE838">
        <f t="shared" si="127"/>
        <v>417409</v>
      </c>
      <c r="AF838">
        <f t="shared" si="128"/>
        <v>157759</v>
      </c>
      <c r="AH838" s="2">
        <f t="shared" si="129"/>
        <v>0.27428333982419051</v>
      </c>
      <c r="AI838" s="2"/>
      <c r="AJ838" s="2"/>
    </row>
    <row r="839" spans="2:36" x14ac:dyDescent="0.25">
      <c r="B839" s="1">
        <v>45258</v>
      </c>
      <c r="C839">
        <v>203808</v>
      </c>
      <c r="D839">
        <v>125492</v>
      </c>
      <c r="F839" s="2">
        <f t="shared" si="122"/>
        <v>0.38108715457030062</v>
      </c>
      <c r="I839">
        <v>213925</v>
      </c>
      <c r="J839">
        <v>115788</v>
      </c>
      <c r="L839" s="2">
        <f t="shared" si="123"/>
        <v>0.35117814584198986</v>
      </c>
      <c r="N839">
        <v>214061</v>
      </c>
      <c r="O839">
        <v>49317</v>
      </c>
      <c r="Q839" s="2">
        <f t="shared" si="124"/>
        <v>0.18724798578468968</v>
      </c>
      <c r="T839">
        <v>213872</v>
      </c>
      <c r="U839">
        <v>47137</v>
      </c>
      <c r="W839" s="2">
        <f t="shared" si="125"/>
        <v>0.18059530514273453</v>
      </c>
      <c r="Z839">
        <f t="shared" si="120"/>
        <v>417869</v>
      </c>
      <c r="AA839">
        <f t="shared" si="121"/>
        <v>174809</v>
      </c>
      <c r="AC839" s="2">
        <f t="shared" si="126"/>
        <v>0.29494767816588435</v>
      </c>
      <c r="AD839" s="2"/>
      <c r="AE839">
        <f t="shared" si="127"/>
        <v>427797</v>
      </c>
      <c r="AF839">
        <f t="shared" si="128"/>
        <v>162925</v>
      </c>
      <c r="AH839" s="2">
        <f t="shared" si="129"/>
        <v>0.27580655536783799</v>
      </c>
      <c r="AI839" s="2"/>
      <c r="AJ839" s="2"/>
    </row>
    <row r="840" spans="2:36" x14ac:dyDescent="0.25">
      <c r="B840" s="1">
        <v>45265</v>
      </c>
      <c r="C840">
        <v>201196</v>
      </c>
      <c r="D840">
        <v>138419</v>
      </c>
      <c r="F840" s="2">
        <f t="shared" si="122"/>
        <v>0.40757622602064103</v>
      </c>
      <c r="I840">
        <v>211882</v>
      </c>
      <c r="J840">
        <v>124330</v>
      </c>
      <c r="L840" s="2">
        <f t="shared" si="123"/>
        <v>0.3697964379617622</v>
      </c>
      <c r="N840">
        <v>206954</v>
      </c>
      <c r="O840">
        <v>68170</v>
      </c>
      <c r="Q840" s="2">
        <f t="shared" si="124"/>
        <v>0.24777918320466408</v>
      </c>
      <c r="T840">
        <v>210302</v>
      </c>
      <c r="U840">
        <v>67293</v>
      </c>
      <c r="W840" s="2">
        <f t="shared" si="125"/>
        <v>0.24241430861506871</v>
      </c>
      <c r="Z840">
        <f t="shared" si="120"/>
        <v>408150</v>
      </c>
      <c r="AA840">
        <f t="shared" si="121"/>
        <v>206589</v>
      </c>
      <c r="AC840" s="2">
        <f t="shared" si="126"/>
        <v>0.33605969362607546</v>
      </c>
      <c r="AD840" s="2"/>
      <c r="AE840">
        <f t="shared" si="127"/>
        <v>422184</v>
      </c>
      <c r="AF840">
        <f t="shared" si="128"/>
        <v>191623</v>
      </c>
      <c r="AH840" s="2">
        <f t="shared" si="129"/>
        <v>0.31218770721089856</v>
      </c>
      <c r="AI840" s="2"/>
      <c r="AJ840" s="2"/>
    </row>
    <row r="841" spans="2:36" x14ac:dyDescent="0.25">
      <c r="B841" s="1">
        <v>45272</v>
      </c>
      <c r="C841">
        <v>189511</v>
      </c>
      <c r="D841">
        <v>143599</v>
      </c>
      <c r="F841" s="2">
        <f t="shared" si="122"/>
        <v>0.43108582750442798</v>
      </c>
      <c r="I841">
        <v>201166</v>
      </c>
      <c r="J841">
        <v>127956</v>
      </c>
      <c r="L841" s="2">
        <f t="shared" si="123"/>
        <v>0.38877984455612202</v>
      </c>
      <c r="N841">
        <v>192588</v>
      </c>
      <c r="O841">
        <v>103913</v>
      </c>
      <c r="Q841" s="2">
        <f t="shared" si="124"/>
        <v>0.35046424801265424</v>
      </c>
      <c r="T841">
        <v>195167</v>
      </c>
      <c r="U841">
        <v>97477</v>
      </c>
      <c r="W841" s="2">
        <f t="shared" si="125"/>
        <v>0.33309071773212506</v>
      </c>
      <c r="Z841">
        <f t="shared" ref="Z841:Z904" si="130">IFERROR(+C841+N841,C841)</f>
        <v>382099</v>
      </c>
      <c r="AA841">
        <f t="shared" ref="AA841:AA904" si="131">IFERROR(+D841+O841,D841)</f>
        <v>247512</v>
      </c>
      <c r="AC841" s="2">
        <f t="shared" si="126"/>
        <v>0.39311892581292257</v>
      </c>
      <c r="AD841" s="2"/>
      <c r="AE841">
        <f t="shared" si="127"/>
        <v>396333</v>
      </c>
      <c r="AF841">
        <f t="shared" si="128"/>
        <v>225433</v>
      </c>
      <c r="AH841" s="2">
        <f t="shared" si="129"/>
        <v>0.3625688763940132</v>
      </c>
      <c r="AI841" s="2"/>
      <c r="AJ841" s="2"/>
    </row>
    <row r="842" spans="2:36" x14ac:dyDescent="0.25">
      <c r="B842" s="1">
        <v>45279</v>
      </c>
      <c r="C842">
        <v>193729</v>
      </c>
      <c r="D842">
        <v>106401</v>
      </c>
      <c r="F842" s="2">
        <f t="shared" ref="F842:F905" si="132">+D842/SUM(C842:D842)</f>
        <v>0.35451637623696397</v>
      </c>
      <c r="I842">
        <v>205001</v>
      </c>
      <c r="J842">
        <v>95278</v>
      </c>
      <c r="L842" s="2">
        <f t="shared" ref="L842:L905" si="133">+J842/SUM(I842:J842)</f>
        <v>0.31729824596458628</v>
      </c>
      <c r="N842">
        <v>222423</v>
      </c>
      <c r="O842">
        <v>66685</v>
      </c>
      <c r="Q842" s="2">
        <f t="shared" ref="Q842:Q905" si="134">+O842/SUM(N842:O842)</f>
        <v>0.23065774727783389</v>
      </c>
      <c r="T842">
        <v>222586</v>
      </c>
      <c r="U842">
        <v>67642</v>
      </c>
      <c r="W842" s="2">
        <f t="shared" ref="W842:W905" si="135">+U842/SUM(T842:U842)</f>
        <v>0.23306503852143831</v>
      </c>
      <c r="Z842">
        <f t="shared" si="130"/>
        <v>416152</v>
      </c>
      <c r="AA842">
        <f t="shared" si="131"/>
        <v>173086</v>
      </c>
      <c r="AC842" s="2">
        <f t="shared" ref="AC842:AC905" si="136">+AA842/SUM(Z842:AA842)</f>
        <v>0.29374548145231638</v>
      </c>
      <c r="AD842" s="2"/>
      <c r="AE842">
        <f t="shared" ref="AE842:AE905" si="137">IFERROR(+I842+T842,I842)</f>
        <v>427587</v>
      </c>
      <c r="AF842">
        <f t="shared" ref="AF842:AF905" si="138">IFERROR(+J842+U842,J842)</f>
        <v>162920</v>
      </c>
      <c r="AH842" s="2">
        <f t="shared" ref="AH842:AH905" si="139">+AF842/SUM(AE842:AF842)</f>
        <v>0.27589850755367845</v>
      </c>
      <c r="AI842" s="2"/>
      <c r="AJ842" s="2"/>
    </row>
    <row r="843" spans="2:36" x14ac:dyDescent="0.25">
      <c r="B843" s="1">
        <v>45286</v>
      </c>
      <c r="C843">
        <v>204638</v>
      </c>
      <c r="D843">
        <v>97235</v>
      </c>
      <c r="F843" s="2">
        <f t="shared" si="132"/>
        <v>0.32210565370205352</v>
      </c>
      <c r="I843">
        <v>213450</v>
      </c>
      <c r="J843">
        <v>88251</v>
      </c>
      <c r="L843" s="2">
        <f t="shared" si="133"/>
        <v>0.29251146002167711</v>
      </c>
      <c r="N843">
        <v>253742</v>
      </c>
      <c r="O843">
        <v>54054</v>
      </c>
      <c r="Q843" s="2">
        <f t="shared" si="134"/>
        <v>0.17561631730106955</v>
      </c>
      <c r="T843">
        <v>254754</v>
      </c>
      <c r="U843">
        <v>55379</v>
      </c>
      <c r="W843" s="2">
        <f t="shared" si="135"/>
        <v>0.17856532519918875</v>
      </c>
      <c r="Z843">
        <f t="shared" si="130"/>
        <v>458380</v>
      </c>
      <c r="AA843">
        <f t="shared" si="131"/>
        <v>151289</v>
      </c>
      <c r="AC843" s="2">
        <f t="shared" si="136"/>
        <v>0.24814940566110463</v>
      </c>
      <c r="AD843" s="2"/>
      <c r="AE843">
        <f t="shared" si="137"/>
        <v>468204</v>
      </c>
      <c r="AF843">
        <f t="shared" si="138"/>
        <v>143630</v>
      </c>
      <c r="AH843" s="2">
        <f t="shared" si="139"/>
        <v>0.23475321737595492</v>
      </c>
      <c r="AI843" s="2"/>
      <c r="AJ843" s="2"/>
    </row>
    <row r="844" spans="2:36" x14ac:dyDescent="0.25">
      <c r="B844" s="1">
        <v>45293</v>
      </c>
      <c r="C844">
        <v>199139</v>
      </c>
      <c r="D844">
        <v>132576</v>
      </c>
      <c r="F844" s="2">
        <f t="shared" si="132"/>
        <v>0.39966839003361321</v>
      </c>
      <c r="I844">
        <v>209984</v>
      </c>
      <c r="J844">
        <v>120654</v>
      </c>
      <c r="L844" s="2">
        <f t="shared" si="133"/>
        <v>0.36491268396252097</v>
      </c>
      <c r="N844">
        <v>250914</v>
      </c>
      <c r="O844">
        <v>85114</v>
      </c>
      <c r="Q844" s="2">
        <f t="shared" si="134"/>
        <v>0.25329436832644897</v>
      </c>
      <c r="T844">
        <v>253800</v>
      </c>
      <c r="U844">
        <v>83957</v>
      </c>
      <c r="W844" s="2">
        <f t="shared" si="135"/>
        <v>0.24857219835562253</v>
      </c>
      <c r="Z844">
        <f t="shared" si="130"/>
        <v>450053</v>
      </c>
      <c r="AA844">
        <f t="shared" si="131"/>
        <v>217690</v>
      </c>
      <c r="AC844" s="2">
        <f t="shared" si="136"/>
        <v>0.32600865902001219</v>
      </c>
      <c r="AD844" s="2"/>
      <c r="AE844">
        <f t="shared" si="137"/>
        <v>463784</v>
      </c>
      <c r="AF844">
        <f t="shared" si="138"/>
        <v>204611</v>
      </c>
      <c r="AH844" s="2">
        <f t="shared" si="139"/>
        <v>0.30612287644282199</v>
      </c>
      <c r="AI844" s="2"/>
      <c r="AJ844" s="2"/>
    </row>
    <row r="845" spans="2:36" x14ac:dyDescent="0.25">
      <c r="B845" s="1">
        <v>45300</v>
      </c>
      <c r="C845">
        <v>201782</v>
      </c>
      <c r="D845">
        <v>110826</v>
      </c>
      <c r="F845" s="2">
        <f t="shared" si="132"/>
        <v>0.35452067765380285</v>
      </c>
      <c r="I845">
        <v>211645</v>
      </c>
      <c r="J845">
        <v>100516</v>
      </c>
      <c r="L845" s="2">
        <f t="shared" si="133"/>
        <v>0.3220005061490705</v>
      </c>
      <c r="N845">
        <v>282118</v>
      </c>
      <c r="O845">
        <v>75616</v>
      </c>
      <c r="Q845" s="2">
        <f t="shared" si="134"/>
        <v>0.21137493221220235</v>
      </c>
      <c r="T845">
        <v>283742</v>
      </c>
      <c r="U845">
        <v>74994</v>
      </c>
      <c r="W845" s="2">
        <f t="shared" si="135"/>
        <v>0.20905066678560277</v>
      </c>
      <c r="Z845">
        <f t="shared" si="130"/>
        <v>483900</v>
      </c>
      <c r="AA845">
        <f t="shared" si="131"/>
        <v>186442</v>
      </c>
      <c r="AC845" s="2">
        <f t="shared" si="136"/>
        <v>0.27812967112309833</v>
      </c>
      <c r="AD845" s="2"/>
      <c r="AE845">
        <f t="shared" si="137"/>
        <v>495387</v>
      </c>
      <c r="AF845">
        <f t="shared" si="138"/>
        <v>175510</v>
      </c>
      <c r="AH845" s="2">
        <f t="shared" si="139"/>
        <v>0.261604985564103</v>
      </c>
      <c r="AI845" s="2"/>
      <c r="AJ845" s="2"/>
    </row>
    <row r="846" spans="2:36" x14ac:dyDescent="0.25">
      <c r="B846" s="1">
        <v>45307</v>
      </c>
      <c r="C846">
        <v>196664</v>
      </c>
      <c r="D846">
        <v>124191</v>
      </c>
      <c r="F846" s="2">
        <f t="shared" si="132"/>
        <v>0.3870626918701594</v>
      </c>
      <c r="I846">
        <v>202407</v>
      </c>
      <c r="J846">
        <v>112247</v>
      </c>
      <c r="L846" s="2">
        <f t="shared" si="133"/>
        <v>0.35673152097224253</v>
      </c>
      <c r="N846">
        <v>296318</v>
      </c>
      <c r="O846">
        <v>74093</v>
      </c>
      <c r="Q846" s="2">
        <f t="shared" si="134"/>
        <v>0.20002915680149888</v>
      </c>
      <c r="T846">
        <v>299808</v>
      </c>
      <c r="U846">
        <v>72935</v>
      </c>
      <c r="W846" s="2">
        <f t="shared" si="135"/>
        <v>0.19567101193047221</v>
      </c>
      <c r="Z846">
        <f t="shared" si="130"/>
        <v>492982</v>
      </c>
      <c r="AA846">
        <f t="shared" si="131"/>
        <v>198284</v>
      </c>
      <c r="AC846" s="2">
        <f t="shared" si="136"/>
        <v>0.28684182355272791</v>
      </c>
      <c r="AD846" s="2"/>
      <c r="AE846">
        <f t="shared" si="137"/>
        <v>502215</v>
      </c>
      <c r="AF846">
        <f t="shared" si="138"/>
        <v>185182</v>
      </c>
      <c r="AH846" s="2">
        <f t="shared" si="139"/>
        <v>0.26939599678206333</v>
      </c>
      <c r="AI846" s="2"/>
      <c r="AJ846" s="2"/>
    </row>
    <row r="847" spans="2:36" x14ac:dyDescent="0.25">
      <c r="B847" s="1">
        <v>45314</v>
      </c>
      <c r="C847">
        <v>211002</v>
      </c>
      <c r="D847">
        <v>89252</v>
      </c>
      <c r="F847" s="2">
        <f t="shared" si="132"/>
        <v>0.29725499077447759</v>
      </c>
      <c r="I847">
        <v>212738</v>
      </c>
      <c r="J847">
        <v>78598</v>
      </c>
      <c r="L847" s="2">
        <f t="shared" si="133"/>
        <v>0.26978471592937364</v>
      </c>
      <c r="N847">
        <v>288104</v>
      </c>
      <c r="O847">
        <v>81159</v>
      </c>
      <c r="Q847" s="2">
        <f t="shared" si="134"/>
        <v>0.21978643947538745</v>
      </c>
      <c r="T847">
        <v>287821</v>
      </c>
      <c r="U847">
        <v>79674</v>
      </c>
      <c r="W847" s="2">
        <f t="shared" si="135"/>
        <v>0.21680294969999592</v>
      </c>
      <c r="Z847">
        <f t="shared" si="130"/>
        <v>499106</v>
      </c>
      <c r="AA847">
        <f t="shared" si="131"/>
        <v>170411</v>
      </c>
      <c r="AC847" s="2">
        <f t="shared" si="136"/>
        <v>0.25452826440553417</v>
      </c>
      <c r="AD847" s="2"/>
      <c r="AE847">
        <f t="shared" si="137"/>
        <v>500559</v>
      </c>
      <c r="AF847">
        <f t="shared" si="138"/>
        <v>158272</v>
      </c>
      <c r="AH847" s="2">
        <f t="shared" si="139"/>
        <v>0.24023156165997045</v>
      </c>
      <c r="AI847" s="2"/>
      <c r="AJ847" s="2"/>
    </row>
    <row r="848" spans="2:36" x14ac:dyDescent="0.25">
      <c r="B848" s="1">
        <v>45321</v>
      </c>
      <c r="C848">
        <v>213400</v>
      </c>
      <c r="D848">
        <v>75885</v>
      </c>
      <c r="F848" s="2">
        <f t="shared" si="132"/>
        <v>0.26231916622016349</v>
      </c>
      <c r="I848">
        <v>215078</v>
      </c>
      <c r="J848">
        <v>64850</v>
      </c>
      <c r="L848" s="2">
        <f t="shared" si="133"/>
        <v>0.23166671429796235</v>
      </c>
      <c r="N848">
        <v>336729</v>
      </c>
      <c r="O848">
        <v>75889</v>
      </c>
      <c r="Q848" s="2">
        <f t="shared" si="134"/>
        <v>0.18392072086045688</v>
      </c>
      <c r="T848">
        <v>338532</v>
      </c>
      <c r="U848">
        <v>77116</v>
      </c>
      <c r="W848" s="2">
        <f t="shared" si="135"/>
        <v>0.18553198860574333</v>
      </c>
      <c r="Z848">
        <f t="shared" si="130"/>
        <v>550129</v>
      </c>
      <c r="AA848">
        <f t="shared" si="131"/>
        <v>151774</v>
      </c>
      <c r="AC848" s="2">
        <f t="shared" si="136"/>
        <v>0.21623215743485924</v>
      </c>
      <c r="AD848" s="2"/>
      <c r="AE848">
        <f t="shared" si="137"/>
        <v>553610</v>
      </c>
      <c r="AF848">
        <f t="shared" si="138"/>
        <v>141966</v>
      </c>
      <c r="AH848" s="2">
        <f t="shared" si="139"/>
        <v>0.20409847378287924</v>
      </c>
      <c r="AI848" s="2"/>
      <c r="AJ848" s="2"/>
    </row>
    <row r="849" spans="2:36" x14ac:dyDescent="0.25">
      <c r="B849" s="1">
        <v>45328</v>
      </c>
      <c r="C849">
        <v>167934</v>
      </c>
      <c r="D849">
        <v>90861</v>
      </c>
      <c r="F849" s="2">
        <f t="shared" si="132"/>
        <v>0.35109256361212543</v>
      </c>
      <c r="I849">
        <v>172206</v>
      </c>
      <c r="J849">
        <v>77243</v>
      </c>
      <c r="L849" s="2">
        <f t="shared" si="133"/>
        <v>0.30965447847054911</v>
      </c>
      <c r="N849">
        <v>309145</v>
      </c>
      <c r="O849">
        <v>72401</v>
      </c>
      <c r="Q849" s="2">
        <f t="shared" si="134"/>
        <v>0.18975693625408208</v>
      </c>
      <c r="T849">
        <v>309573</v>
      </c>
      <c r="U849">
        <v>71217</v>
      </c>
      <c r="W849" s="2">
        <f t="shared" si="135"/>
        <v>0.18702434412668401</v>
      </c>
      <c r="Z849">
        <f t="shared" si="130"/>
        <v>477079</v>
      </c>
      <c r="AA849">
        <f t="shared" si="131"/>
        <v>163262</v>
      </c>
      <c r="AC849" s="2">
        <f t="shared" si="136"/>
        <v>0.25496102857696135</v>
      </c>
      <c r="AD849" s="2"/>
      <c r="AE849">
        <f t="shared" si="137"/>
        <v>481779</v>
      </c>
      <c r="AF849">
        <f t="shared" si="138"/>
        <v>148460</v>
      </c>
      <c r="AH849" s="2">
        <f t="shared" si="139"/>
        <v>0.23556142987025558</v>
      </c>
      <c r="AI849" s="2"/>
      <c r="AJ849" s="2"/>
    </row>
    <row r="850" spans="2:36" x14ac:dyDescent="0.25">
      <c r="B850" s="1">
        <v>45335</v>
      </c>
      <c r="C850">
        <v>180235</v>
      </c>
      <c r="D850">
        <v>80047</v>
      </c>
      <c r="F850" s="2">
        <f t="shared" si="132"/>
        <v>0.3075395148339109</v>
      </c>
      <c r="I850">
        <v>183191</v>
      </c>
      <c r="J850">
        <v>67533</v>
      </c>
      <c r="L850" s="2">
        <f t="shared" si="133"/>
        <v>0.26935195673330037</v>
      </c>
      <c r="N850">
        <v>343231</v>
      </c>
      <c r="O850">
        <v>64254</v>
      </c>
      <c r="Q850" s="2">
        <f t="shared" si="134"/>
        <v>0.15768433193859896</v>
      </c>
      <c r="T850">
        <v>341683</v>
      </c>
      <c r="U850">
        <v>65646</v>
      </c>
      <c r="W850" s="2">
        <f t="shared" si="135"/>
        <v>0.16116210728919375</v>
      </c>
      <c r="Z850">
        <f t="shared" si="130"/>
        <v>523466</v>
      </c>
      <c r="AA850">
        <f t="shared" si="131"/>
        <v>144301</v>
      </c>
      <c r="AC850" s="2">
        <f t="shared" si="136"/>
        <v>0.21609483547405009</v>
      </c>
      <c r="AD850" s="2"/>
      <c r="AE850">
        <f t="shared" si="137"/>
        <v>524874</v>
      </c>
      <c r="AF850">
        <f t="shared" si="138"/>
        <v>133179</v>
      </c>
      <c r="AH850" s="2">
        <f t="shared" si="139"/>
        <v>0.20238339465058286</v>
      </c>
      <c r="AI850" s="2"/>
      <c r="AJ850" s="2"/>
    </row>
    <row r="851" spans="2:36" x14ac:dyDescent="0.25">
      <c r="B851" s="1">
        <v>45342</v>
      </c>
      <c r="C851">
        <v>193300</v>
      </c>
      <c r="D851">
        <v>69904</v>
      </c>
      <c r="F851" s="2">
        <f t="shared" si="132"/>
        <v>0.26558866886521482</v>
      </c>
      <c r="I851">
        <v>192346</v>
      </c>
      <c r="J851">
        <v>58196</v>
      </c>
      <c r="L851" s="2">
        <f t="shared" si="133"/>
        <v>0.23228041605798627</v>
      </c>
      <c r="N851">
        <v>343596</v>
      </c>
      <c r="O851">
        <v>68855</v>
      </c>
      <c r="Q851" s="2">
        <f t="shared" si="134"/>
        <v>0.16694104269355634</v>
      </c>
      <c r="T851">
        <v>342040</v>
      </c>
      <c r="U851">
        <v>69771</v>
      </c>
      <c r="W851" s="2">
        <f t="shared" si="135"/>
        <v>0.16942480895362194</v>
      </c>
      <c r="Z851">
        <f t="shared" si="130"/>
        <v>536896</v>
      </c>
      <c r="AA851">
        <f t="shared" si="131"/>
        <v>138759</v>
      </c>
      <c r="AC851" s="2">
        <f t="shared" si="136"/>
        <v>0.20536960430989187</v>
      </c>
      <c r="AD851" s="2"/>
      <c r="AE851">
        <f t="shared" si="137"/>
        <v>534386</v>
      </c>
      <c r="AF851">
        <f t="shared" si="138"/>
        <v>127967</v>
      </c>
      <c r="AH851" s="2">
        <f t="shared" si="139"/>
        <v>0.1932006045114916</v>
      </c>
      <c r="AI851" s="2"/>
      <c r="AJ851" s="2"/>
    </row>
    <row r="852" spans="2:36" x14ac:dyDescent="0.25">
      <c r="B852" s="1">
        <v>45349</v>
      </c>
      <c r="C852">
        <v>217215</v>
      </c>
      <c r="D852">
        <v>50677</v>
      </c>
      <c r="F852" s="2">
        <f t="shared" si="132"/>
        <v>0.18916951607364163</v>
      </c>
      <c r="I852">
        <v>215087</v>
      </c>
      <c r="J852">
        <v>40357</v>
      </c>
      <c r="L852" s="2">
        <f t="shared" si="133"/>
        <v>0.15798766070058409</v>
      </c>
      <c r="N852">
        <v>329640</v>
      </c>
      <c r="O852">
        <v>77319</v>
      </c>
      <c r="Q852" s="2">
        <f t="shared" si="134"/>
        <v>0.18999211222752169</v>
      </c>
      <c r="T852">
        <v>330606</v>
      </c>
      <c r="U852">
        <v>75825</v>
      </c>
      <c r="W852" s="2">
        <f t="shared" si="135"/>
        <v>0.18656303283952258</v>
      </c>
      <c r="Z852">
        <f t="shared" si="130"/>
        <v>546855</v>
      </c>
      <c r="AA852">
        <f t="shared" si="131"/>
        <v>127996</v>
      </c>
      <c r="AC852" s="2">
        <f t="shared" si="136"/>
        <v>0.18966557062225586</v>
      </c>
      <c r="AD852" s="2"/>
      <c r="AE852">
        <f t="shared" si="137"/>
        <v>545693</v>
      </c>
      <c r="AF852">
        <f t="shared" si="138"/>
        <v>116182</v>
      </c>
      <c r="AH852" s="2">
        <f t="shared" si="139"/>
        <v>0.17553465533522192</v>
      </c>
      <c r="AI852" s="2"/>
      <c r="AJ852" s="2"/>
    </row>
    <row r="853" spans="2:36" x14ac:dyDescent="0.25">
      <c r="B853" s="1">
        <v>45356</v>
      </c>
      <c r="C853">
        <v>210194</v>
      </c>
      <c r="D853">
        <v>35609</v>
      </c>
      <c r="F853" s="2">
        <f t="shared" si="132"/>
        <v>0.14486804473501136</v>
      </c>
      <c r="I853">
        <v>211969</v>
      </c>
      <c r="J853">
        <v>28009</v>
      </c>
      <c r="L853" s="2">
        <f t="shared" si="133"/>
        <v>0.11671486552934018</v>
      </c>
      <c r="N853">
        <v>310599</v>
      </c>
      <c r="O853">
        <v>80204</v>
      </c>
      <c r="Q853" s="2">
        <f t="shared" si="134"/>
        <v>0.20522872137624326</v>
      </c>
      <c r="T853">
        <v>312562</v>
      </c>
      <c r="U853">
        <v>75757</v>
      </c>
      <c r="W853" s="2">
        <f t="shared" si="135"/>
        <v>0.19508960416564733</v>
      </c>
      <c r="Z853">
        <f t="shared" si="130"/>
        <v>520793</v>
      </c>
      <c r="AA853">
        <f t="shared" si="131"/>
        <v>115813</v>
      </c>
      <c r="AC853" s="2">
        <f t="shared" si="136"/>
        <v>0.18192257063238487</v>
      </c>
      <c r="AD853" s="2"/>
      <c r="AE853">
        <f t="shared" si="137"/>
        <v>524531</v>
      </c>
      <c r="AF853">
        <f t="shared" si="138"/>
        <v>103766</v>
      </c>
      <c r="AH853" s="2">
        <f t="shared" si="139"/>
        <v>0.1651543776271413</v>
      </c>
      <c r="AI853" s="2"/>
      <c r="AJ853" s="2"/>
    </row>
    <row r="854" spans="2:36" x14ac:dyDescent="0.25">
      <c r="B854" s="1">
        <v>45363</v>
      </c>
      <c r="C854">
        <v>199527</v>
      </c>
      <c r="D854">
        <v>38934</v>
      </c>
      <c r="F854" s="2">
        <f t="shared" si="132"/>
        <v>0.1632719815818939</v>
      </c>
      <c r="I854">
        <v>203563</v>
      </c>
      <c r="J854">
        <v>33670</v>
      </c>
      <c r="L854" s="2">
        <f t="shared" si="133"/>
        <v>0.14192797797945481</v>
      </c>
      <c r="N854">
        <v>308752</v>
      </c>
      <c r="O854">
        <v>80394</v>
      </c>
      <c r="Q854" s="2">
        <f t="shared" si="134"/>
        <v>0.20659084251155094</v>
      </c>
      <c r="T854">
        <v>310725</v>
      </c>
      <c r="U854">
        <v>76567</v>
      </c>
      <c r="W854" s="2">
        <f t="shared" si="135"/>
        <v>0.19769837745163857</v>
      </c>
      <c r="Z854">
        <f t="shared" si="130"/>
        <v>508279</v>
      </c>
      <c r="AA854">
        <f t="shared" si="131"/>
        <v>119328</v>
      </c>
      <c r="AC854" s="2">
        <f t="shared" si="136"/>
        <v>0.19013172255886246</v>
      </c>
      <c r="AD854" s="2"/>
      <c r="AE854">
        <f t="shared" si="137"/>
        <v>514288</v>
      </c>
      <c r="AF854">
        <f t="shared" si="138"/>
        <v>110237</v>
      </c>
      <c r="AH854" s="2">
        <f t="shared" si="139"/>
        <v>0.17651335014611105</v>
      </c>
      <c r="AI854" s="2"/>
      <c r="AJ854" s="2"/>
    </row>
    <row r="855" spans="2:36" x14ac:dyDescent="0.25">
      <c r="B855" s="1">
        <v>45370</v>
      </c>
      <c r="C855">
        <v>236945</v>
      </c>
      <c r="D855">
        <v>31261</v>
      </c>
      <c r="F855" s="2">
        <f t="shared" si="132"/>
        <v>0.11655593088894357</v>
      </c>
      <c r="I855">
        <v>242593</v>
      </c>
      <c r="J855">
        <v>22628</v>
      </c>
      <c r="L855" s="2">
        <f t="shared" si="133"/>
        <v>8.5317527646754973E-2</v>
      </c>
      <c r="N855">
        <v>359103</v>
      </c>
      <c r="O855">
        <v>72571</v>
      </c>
      <c r="Q855" s="2">
        <f t="shared" si="134"/>
        <v>0.16811529070548609</v>
      </c>
      <c r="T855">
        <v>359252</v>
      </c>
      <c r="U855">
        <v>70264</v>
      </c>
      <c r="W855" s="2">
        <f t="shared" si="135"/>
        <v>0.16358878365415958</v>
      </c>
      <c r="Z855">
        <f t="shared" si="130"/>
        <v>596048</v>
      </c>
      <c r="AA855">
        <f t="shared" si="131"/>
        <v>103832</v>
      </c>
      <c r="AC855" s="2">
        <f t="shared" si="136"/>
        <v>0.14835686117620164</v>
      </c>
      <c r="AD855" s="2"/>
      <c r="AE855">
        <f t="shared" si="137"/>
        <v>601845</v>
      </c>
      <c r="AF855">
        <f t="shared" si="138"/>
        <v>92892</v>
      </c>
      <c r="AH855" s="2">
        <f t="shared" si="139"/>
        <v>0.13370815142996559</v>
      </c>
      <c r="AI855" s="2"/>
      <c r="AJ855" s="2"/>
    </row>
    <row r="856" spans="2:36" x14ac:dyDescent="0.25">
      <c r="B856" s="1">
        <v>45377</v>
      </c>
      <c r="C856">
        <v>251670</v>
      </c>
      <c r="D856">
        <v>45876</v>
      </c>
      <c r="F856" s="2">
        <f t="shared" si="132"/>
        <v>0.15418120223427639</v>
      </c>
      <c r="I856">
        <v>257010</v>
      </c>
      <c r="J856">
        <v>39571</v>
      </c>
      <c r="L856" s="2">
        <f t="shared" si="133"/>
        <v>0.13342392128963082</v>
      </c>
      <c r="N856">
        <v>363844</v>
      </c>
      <c r="O856">
        <v>72354</v>
      </c>
      <c r="Q856" s="2">
        <f t="shared" si="134"/>
        <v>0.16587421308671749</v>
      </c>
      <c r="T856">
        <v>360918</v>
      </c>
      <c r="U856">
        <v>70949</v>
      </c>
      <c r="W856" s="2">
        <f t="shared" si="135"/>
        <v>0.16428437458754663</v>
      </c>
      <c r="Z856">
        <f t="shared" si="130"/>
        <v>615514</v>
      </c>
      <c r="AA856">
        <f t="shared" si="131"/>
        <v>118230</v>
      </c>
      <c r="AC856" s="2">
        <f t="shared" si="136"/>
        <v>0.16113249307660438</v>
      </c>
      <c r="AD856" s="2"/>
      <c r="AE856">
        <f t="shared" si="137"/>
        <v>617928</v>
      </c>
      <c r="AF856">
        <f t="shared" si="138"/>
        <v>110520</v>
      </c>
      <c r="AH856" s="2">
        <f t="shared" si="139"/>
        <v>0.15171982076963628</v>
      </c>
      <c r="AI856" s="2"/>
      <c r="AJ856" s="2"/>
    </row>
    <row r="857" spans="2:36" x14ac:dyDescent="0.25">
      <c r="B857" s="1">
        <v>45384</v>
      </c>
      <c r="C857">
        <v>261334</v>
      </c>
      <c r="D857">
        <v>45491</v>
      </c>
      <c r="F857" s="2">
        <f t="shared" si="132"/>
        <v>0.1482636682147804</v>
      </c>
      <c r="I857">
        <v>268769</v>
      </c>
      <c r="J857">
        <v>39285</v>
      </c>
      <c r="L857" s="2">
        <f t="shared" si="133"/>
        <v>0.12752634278405733</v>
      </c>
      <c r="N857">
        <v>374408</v>
      </c>
      <c r="O857">
        <v>71121</v>
      </c>
      <c r="Q857" s="2">
        <f t="shared" si="134"/>
        <v>0.15963270628847953</v>
      </c>
      <c r="T857">
        <v>370008</v>
      </c>
      <c r="U857">
        <v>70173</v>
      </c>
      <c r="W857" s="2">
        <f t="shared" si="135"/>
        <v>0.15941851193031958</v>
      </c>
      <c r="Z857">
        <f t="shared" si="130"/>
        <v>635742</v>
      </c>
      <c r="AA857">
        <f t="shared" si="131"/>
        <v>116612</v>
      </c>
      <c r="AC857" s="2">
        <f t="shared" si="136"/>
        <v>0.15499618530638504</v>
      </c>
      <c r="AD857" s="2"/>
      <c r="AE857">
        <f t="shared" si="137"/>
        <v>638777</v>
      </c>
      <c r="AF857">
        <f t="shared" si="138"/>
        <v>109458</v>
      </c>
      <c r="AH857" s="2">
        <f t="shared" si="139"/>
        <v>0.14628826505041864</v>
      </c>
      <c r="AI857" s="2"/>
      <c r="AJ857" s="2"/>
    </row>
    <row r="858" spans="2:36" x14ac:dyDescent="0.25">
      <c r="B858" s="1">
        <v>45391</v>
      </c>
      <c r="C858">
        <v>271319</v>
      </c>
      <c r="D858">
        <v>49187</v>
      </c>
      <c r="F858" s="2">
        <f t="shared" si="132"/>
        <v>0.15346670577149882</v>
      </c>
      <c r="I858">
        <v>277976</v>
      </c>
      <c r="J858">
        <v>39826</v>
      </c>
      <c r="L858" s="2">
        <f t="shared" si="133"/>
        <v>0.12531702128998559</v>
      </c>
      <c r="N858">
        <v>387774</v>
      </c>
      <c r="O858">
        <v>81940</v>
      </c>
      <c r="Q858" s="2">
        <f t="shared" si="134"/>
        <v>0.17444657813052197</v>
      </c>
      <c r="T858">
        <v>385456</v>
      </c>
      <c r="U858">
        <v>81521</v>
      </c>
      <c r="W858" s="2">
        <f t="shared" si="135"/>
        <v>0.17457176691785678</v>
      </c>
      <c r="Z858">
        <f t="shared" si="130"/>
        <v>659093</v>
      </c>
      <c r="AA858">
        <f t="shared" si="131"/>
        <v>131127</v>
      </c>
      <c r="AC858" s="2">
        <f t="shared" si="136"/>
        <v>0.16593733390701323</v>
      </c>
      <c r="AD858" s="2"/>
      <c r="AE858">
        <f t="shared" si="137"/>
        <v>663432</v>
      </c>
      <c r="AF858">
        <f t="shared" si="138"/>
        <v>121347</v>
      </c>
      <c r="AH858" s="2">
        <f t="shared" si="139"/>
        <v>0.15462569717079586</v>
      </c>
      <c r="AI858" s="2"/>
      <c r="AJ858" s="2"/>
    </row>
    <row r="859" spans="2:36" x14ac:dyDescent="0.25">
      <c r="B859" s="1">
        <v>45398</v>
      </c>
      <c r="C859">
        <v>267691</v>
      </c>
      <c r="D859">
        <v>81905</v>
      </c>
      <c r="F859" s="2">
        <f t="shared" si="132"/>
        <v>0.23428471721644412</v>
      </c>
      <c r="I859">
        <v>274692</v>
      </c>
      <c r="J859">
        <v>70795</v>
      </c>
      <c r="L859" s="2">
        <f t="shared" si="133"/>
        <v>0.20491364363926862</v>
      </c>
      <c r="N859">
        <v>408036</v>
      </c>
      <c r="O859">
        <v>81472</v>
      </c>
      <c r="Q859" s="2">
        <f t="shared" si="134"/>
        <v>0.16643650359136111</v>
      </c>
      <c r="T859">
        <v>416208</v>
      </c>
      <c r="U859">
        <v>81276</v>
      </c>
      <c r="W859" s="2">
        <f t="shared" si="135"/>
        <v>0.16337409846346818</v>
      </c>
      <c r="Z859">
        <f t="shared" si="130"/>
        <v>675727</v>
      </c>
      <c r="AA859">
        <f t="shared" si="131"/>
        <v>163377</v>
      </c>
      <c r="AC859" s="2">
        <f t="shared" si="136"/>
        <v>0.19470411295858439</v>
      </c>
      <c r="AD859" s="2"/>
      <c r="AE859">
        <f t="shared" si="137"/>
        <v>690900</v>
      </c>
      <c r="AF859">
        <f t="shared" si="138"/>
        <v>152071</v>
      </c>
      <c r="AH859" s="2">
        <f t="shared" si="139"/>
        <v>0.180398851206032</v>
      </c>
      <c r="AI859" s="2"/>
      <c r="AJ859" s="2"/>
    </row>
    <row r="860" spans="2:36" x14ac:dyDescent="0.25">
      <c r="B860" s="1">
        <v>45405</v>
      </c>
      <c r="C860">
        <v>238825</v>
      </c>
      <c r="D860">
        <v>77423</v>
      </c>
      <c r="F860" s="2">
        <f t="shared" si="132"/>
        <v>0.24481735852874958</v>
      </c>
      <c r="I860">
        <v>248082</v>
      </c>
      <c r="J860">
        <v>68436</v>
      </c>
      <c r="L860" s="2">
        <f t="shared" si="133"/>
        <v>0.21621519155308702</v>
      </c>
      <c r="N860">
        <v>376557</v>
      </c>
      <c r="O860">
        <v>83159</v>
      </c>
      <c r="Q860" s="2">
        <f t="shared" si="134"/>
        <v>0.18089211600205343</v>
      </c>
      <c r="T860">
        <v>376214</v>
      </c>
      <c r="U860">
        <v>80383</v>
      </c>
      <c r="W860" s="2">
        <f t="shared" si="135"/>
        <v>0.17604802484466608</v>
      </c>
      <c r="Z860">
        <f t="shared" si="130"/>
        <v>615382</v>
      </c>
      <c r="AA860">
        <f t="shared" si="131"/>
        <v>160582</v>
      </c>
      <c r="AC860" s="2">
        <f t="shared" si="136"/>
        <v>0.20694516755931977</v>
      </c>
      <c r="AD860" s="2"/>
      <c r="AE860">
        <f t="shared" si="137"/>
        <v>624296</v>
      </c>
      <c r="AF860">
        <f t="shared" si="138"/>
        <v>148819</v>
      </c>
      <c r="AH860" s="2">
        <f t="shared" si="139"/>
        <v>0.19249270807059751</v>
      </c>
      <c r="AI860" s="2"/>
      <c r="AJ860" s="2"/>
    </row>
    <row r="861" spans="2:36" x14ac:dyDescent="0.25">
      <c r="B861" s="1">
        <v>45412</v>
      </c>
      <c r="C861">
        <v>245431</v>
      </c>
      <c r="D861">
        <v>86726</v>
      </c>
      <c r="F861" s="2">
        <f t="shared" si="132"/>
        <v>0.26109941985266005</v>
      </c>
      <c r="I861">
        <v>250830</v>
      </c>
      <c r="J861">
        <v>78141</v>
      </c>
      <c r="L861" s="2">
        <f t="shared" si="133"/>
        <v>0.23753157573159944</v>
      </c>
      <c r="N861">
        <v>385894</v>
      </c>
      <c r="O861">
        <v>75202</v>
      </c>
      <c r="Q861" s="2">
        <f t="shared" si="134"/>
        <v>0.16309401946666205</v>
      </c>
      <c r="T861">
        <v>395176</v>
      </c>
      <c r="U861">
        <v>74403</v>
      </c>
      <c r="W861" s="2">
        <f t="shared" si="135"/>
        <v>0.15844618264445387</v>
      </c>
      <c r="Z861">
        <f t="shared" si="130"/>
        <v>631325</v>
      </c>
      <c r="AA861">
        <f t="shared" si="131"/>
        <v>161928</v>
      </c>
      <c r="AC861" s="2">
        <f t="shared" si="136"/>
        <v>0.2041315948379647</v>
      </c>
      <c r="AD861" s="2"/>
      <c r="AE861">
        <f t="shared" si="137"/>
        <v>646006</v>
      </c>
      <c r="AF861">
        <f t="shared" si="138"/>
        <v>152544</v>
      </c>
      <c r="AH861" s="2">
        <f t="shared" si="139"/>
        <v>0.19102623505103</v>
      </c>
      <c r="AI861" s="2"/>
      <c r="AJ861" s="2"/>
    </row>
    <row r="862" spans="2:36" x14ac:dyDescent="0.25">
      <c r="B862" s="1">
        <v>45419</v>
      </c>
      <c r="C862">
        <v>207621</v>
      </c>
      <c r="D862">
        <v>103102</v>
      </c>
      <c r="F862" s="2">
        <f t="shared" si="132"/>
        <v>0.33181322270961594</v>
      </c>
      <c r="I862">
        <v>213658</v>
      </c>
      <c r="J862">
        <v>96007</v>
      </c>
      <c r="L862" s="2">
        <f t="shared" si="133"/>
        <v>0.31003503786349768</v>
      </c>
      <c r="N862">
        <v>335261</v>
      </c>
      <c r="O862">
        <v>85534</v>
      </c>
      <c r="Q862" s="2">
        <f t="shared" si="134"/>
        <v>0.20326762437766607</v>
      </c>
      <c r="T862">
        <v>341835</v>
      </c>
      <c r="U862">
        <v>81187</v>
      </c>
      <c r="W862" s="2">
        <f t="shared" si="135"/>
        <v>0.19192146034957994</v>
      </c>
      <c r="Z862">
        <f t="shared" si="130"/>
        <v>542882</v>
      </c>
      <c r="AA862">
        <f t="shared" si="131"/>
        <v>188636</v>
      </c>
      <c r="AC862" s="2">
        <f t="shared" si="136"/>
        <v>0.25786925270464978</v>
      </c>
      <c r="AD862" s="2"/>
      <c r="AE862">
        <f t="shared" si="137"/>
        <v>555493</v>
      </c>
      <c r="AF862">
        <f t="shared" si="138"/>
        <v>177194</v>
      </c>
      <c r="AH862" s="2">
        <f t="shared" si="139"/>
        <v>0.24184133197395341</v>
      </c>
      <c r="AI862" s="2"/>
      <c r="AJ862" s="2"/>
    </row>
    <row r="863" spans="2:36" x14ac:dyDescent="0.25">
      <c r="B863" s="1">
        <v>45426</v>
      </c>
      <c r="C863">
        <v>201164</v>
      </c>
      <c r="D863">
        <v>81932</v>
      </c>
      <c r="F863" s="2">
        <f t="shared" si="132"/>
        <v>0.2894141916523017</v>
      </c>
      <c r="I863">
        <v>203842</v>
      </c>
      <c r="J863">
        <v>75096</v>
      </c>
      <c r="L863" s="2">
        <f t="shared" si="133"/>
        <v>0.26922111723752229</v>
      </c>
      <c r="N863">
        <v>290716</v>
      </c>
      <c r="O863">
        <v>87479</v>
      </c>
      <c r="Q863" s="2">
        <f t="shared" si="134"/>
        <v>0.23130660109202925</v>
      </c>
      <c r="T863">
        <v>301376</v>
      </c>
      <c r="U863">
        <v>87874</v>
      </c>
      <c r="W863" s="2">
        <f t="shared" si="135"/>
        <v>0.22575208734746308</v>
      </c>
      <c r="Z863">
        <f t="shared" si="130"/>
        <v>491880</v>
      </c>
      <c r="AA863">
        <f t="shared" si="131"/>
        <v>169411</v>
      </c>
      <c r="AC863" s="2">
        <f t="shared" si="136"/>
        <v>0.25618222537430574</v>
      </c>
      <c r="AD863" s="2"/>
      <c r="AE863">
        <f t="shared" si="137"/>
        <v>505218</v>
      </c>
      <c r="AF863">
        <f t="shared" si="138"/>
        <v>162970</v>
      </c>
      <c r="AH863" s="2">
        <f t="shared" si="139"/>
        <v>0.2438984237968955</v>
      </c>
      <c r="AI863" s="2"/>
      <c r="AJ863" s="2"/>
    </row>
    <row r="864" spans="2:36" x14ac:dyDescent="0.25">
      <c r="B864" s="1">
        <v>45433</v>
      </c>
      <c r="C864">
        <v>215685</v>
      </c>
      <c r="D864">
        <v>54138</v>
      </c>
      <c r="F864" s="2">
        <f t="shared" si="132"/>
        <v>0.20064264351074593</v>
      </c>
      <c r="I864">
        <v>222646</v>
      </c>
      <c r="J864">
        <v>50360</v>
      </c>
      <c r="L864" s="2">
        <f t="shared" si="133"/>
        <v>0.1844648102972096</v>
      </c>
      <c r="N864">
        <v>252340</v>
      </c>
      <c r="O864">
        <v>115711</v>
      </c>
      <c r="Q864" s="2">
        <f t="shared" si="134"/>
        <v>0.31438849507269373</v>
      </c>
      <c r="T864">
        <v>266811</v>
      </c>
      <c r="U864">
        <v>120561</v>
      </c>
      <c r="W864" s="2">
        <f t="shared" si="135"/>
        <v>0.31122796691552307</v>
      </c>
      <c r="Z864">
        <f t="shared" si="130"/>
        <v>468025</v>
      </c>
      <c r="AA864">
        <f t="shared" si="131"/>
        <v>169849</v>
      </c>
      <c r="AC864" s="2">
        <f t="shared" si="136"/>
        <v>0.26627359008205381</v>
      </c>
      <c r="AD864" s="2"/>
      <c r="AE864">
        <f t="shared" si="137"/>
        <v>489457</v>
      </c>
      <c r="AF864">
        <f t="shared" si="138"/>
        <v>170921</v>
      </c>
      <c r="AH864" s="2">
        <f t="shared" si="139"/>
        <v>0.25882297714339364</v>
      </c>
      <c r="AI864" s="2"/>
      <c r="AJ864" s="2"/>
    </row>
    <row r="865" spans="2:36" x14ac:dyDescent="0.25">
      <c r="B865" s="1">
        <v>45440</v>
      </c>
      <c r="C865">
        <v>233415</v>
      </c>
      <c r="D865">
        <v>37230</v>
      </c>
      <c r="F865" s="2">
        <f t="shared" si="132"/>
        <v>0.1375602726819265</v>
      </c>
      <c r="I865">
        <v>238857</v>
      </c>
      <c r="J865">
        <v>37428</v>
      </c>
      <c r="L865" s="2">
        <f t="shared" si="133"/>
        <v>0.13546880938161682</v>
      </c>
      <c r="N865">
        <v>249262</v>
      </c>
      <c r="O865">
        <v>108061</v>
      </c>
      <c r="Q865" s="2">
        <f t="shared" si="134"/>
        <v>0.30241826022954021</v>
      </c>
      <c r="T865">
        <v>263234</v>
      </c>
      <c r="U865">
        <v>115481</v>
      </c>
      <c r="W865" s="2">
        <f t="shared" si="135"/>
        <v>0.30492850824498635</v>
      </c>
      <c r="Z865">
        <f t="shared" si="130"/>
        <v>482677</v>
      </c>
      <c r="AA865">
        <f t="shared" si="131"/>
        <v>145291</v>
      </c>
      <c r="AC865" s="2">
        <f t="shared" si="136"/>
        <v>0.23136688493681207</v>
      </c>
      <c r="AD865" s="2"/>
      <c r="AE865">
        <f t="shared" si="137"/>
        <v>502091</v>
      </c>
      <c r="AF865">
        <f t="shared" si="138"/>
        <v>152909</v>
      </c>
      <c r="AH865" s="2">
        <f t="shared" si="139"/>
        <v>0.23344885496183207</v>
      </c>
      <c r="AI865" s="2"/>
      <c r="AJ865" s="2"/>
    </row>
    <row r="866" spans="2:36" x14ac:dyDescent="0.25">
      <c r="B866" s="1">
        <v>45447</v>
      </c>
      <c r="C866">
        <v>209744</v>
      </c>
      <c r="D866">
        <v>64432</v>
      </c>
      <c r="F866" s="2">
        <f t="shared" si="132"/>
        <v>0.23500233426704015</v>
      </c>
      <c r="I866">
        <v>208082</v>
      </c>
      <c r="J866">
        <v>55740</v>
      </c>
      <c r="L866" s="2">
        <f t="shared" si="133"/>
        <v>0.21127881677797908</v>
      </c>
      <c r="N866">
        <v>206805</v>
      </c>
      <c r="O866">
        <v>169482</v>
      </c>
      <c r="Q866" s="2">
        <f t="shared" si="134"/>
        <v>0.45040620590134656</v>
      </c>
      <c r="T866">
        <v>218315</v>
      </c>
      <c r="U866">
        <v>172637</v>
      </c>
      <c r="W866" s="2">
        <f t="shared" si="135"/>
        <v>0.44158106365998895</v>
      </c>
      <c r="Z866">
        <f t="shared" si="130"/>
        <v>416549</v>
      </c>
      <c r="AA866">
        <f t="shared" si="131"/>
        <v>233914</v>
      </c>
      <c r="AC866" s="2">
        <f t="shared" si="136"/>
        <v>0.35961153824275938</v>
      </c>
      <c r="AD866" s="2"/>
      <c r="AE866">
        <f t="shared" si="137"/>
        <v>426397</v>
      </c>
      <c r="AF866">
        <f t="shared" si="138"/>
        <v>228377</v>
      </c>
      <c r="AH866" s="2">
        <f t="shared" si="139"/>
        <v>0.34878752057961981</v>
      </c>
      <c r="AI866" s="2"/>
      <c r="AJ866" s="2"/>
    </row>
    <row r="867" spans="2:36" x14ac:dyDescent="0.25">
      <c r="B867" s="1">
        <v>45454</v>
      </c>
      <c r="C867">
        <v>215373</v>
      </c>
      <c r="D867">
        <v>28691</v>
      </c>
      <c r="F867" s="2">
        <f t="shared" si="132"/>
        <v>0.1175552314147109</v>
      </c>
      <c r="I867">
        <v>221325</v>
      </c>
      <c r="J867">
        <v>28590</v>
      </c>
      <c r="L867" s="2">
        <f t="shared" si="133"/>
        <v>0.11439889562451233</v>
      </c>
      <c r="N867">
        <v>199551</v>
      </c>
      <c r="O867">
        <v>130839</v>
      </c>
      <c r="Q867" s="2">
        <f t="shared" si="134"/>
        <v>0.39601380187051666</v>
      </c>
      <c r="T867">
        <v>209063</v>
      </c>
      <c r="U867">
        <v>137377</v>
      </c>
      <c r="W867" s="2">
        <f t="shared" si="135"/>
        <v>0.39653908324673826</v>
      </c>
      <c r="Z867">
        <f t="shared" si="130"/>
        <v>414924</v>
      </c>
      <c r="AA867">
        <f t="shared" si="131"/>
        <v>159530</v>
      </c>
      <c r="AC867" s="2">
        <f t="shared" si="136"/>
        <v>0.2777071793389897</v>
      </c>
      <c r="AD867" s="2"/>
      <c r="AE867">
        <f t="shared" si="137"/>
        <v>430388</v>
      </c>
      <c r="AF867">
        <f t="shared" si="138"/>
        <v>165967</v>
      </c>
      <c r="AH867" s="2">
        <f t="shared" si="139"/>
        <v>0.27830235346396021</v>
      </c>
      <c r="AI867" s="2"/>
      <c r="AJ867" s="2"/>
    </row>
    <row r="868" spans="2:36" x14ac:dyDescent="0.25">
      <c r="B868" s="1">
        <v>45461</v>
      </c>
      <c r="C868">
        <v>227938</v>
      </c>
      <c r="D868">
        <v>47304</v>
      </c>
      <c r="F868" s="2">
        <f t="shared" si="132"/>
        <v>0.17186330574548941</v>
      </c>
      <c r="I868">
        <v>231168</v>
      </c>
      <c r="J868">
        <v>40503</v>
      </c>
      <c r="L868" s="2">
        <f t="shared" si="133"/>
        <v>0.14908841944852413</v>
      </c>
      <c r="N868">
        <v>240826</v>
      </c>
      <c r="O868">
        <v>98103</v>
      </c>
      <c r="Q868" s="2">
        <f t="shared" si="134"/>
        <v>0.28945000280294692</v>
      </c>
      <c r="T868">
        <v>242313</v>
      </c>
      <c r="U868">
        <v>102092</v>
      </c>
      <c r="W868" s="2">
        <f t="shared" si="135"/>
        <v>0.29643007505698232</v>
      </c>
      <c r="Z868">
        <f t="shared" si="130"/>
        <v>468764</v>
      </c>
      <c r="AA868">
        <f t="shared" si="131"/>
        <v>145407</v>
      </c>
      <c r="AC868" s="2">
        <f t="shared" si="136"/>
        <v>0.23675328206639518</v>
      </c>
      <c r="AD868" s="2"/>
      <c r="AE868">
        <f t="shared" si="137"/>
        <v>473481</v>
      </c>
      <c r="AF868">
        <f t="shared" si="138"/>
        <v>142595</v>
      </c>
      <c r="AH868" s="2">
        <f t="shared" si="139"/>
        <v>0.23145683324784605</v>
      </c>
      <c r="AI868" s="2"/>
      <c r="AJ868" s="2"/>
    </row>
    <row r="869" spans="2:36" x14ac:dyDescent="0.25">
      <c r="B869" s="1">
        <v>45468</v>
      </c>
      <c r="C869">
        <v>261959</v>
      </c>
      <c r="D869">
        <v>37321</v>
      </c>
      <c r="F869" s="2">
        <f t="shared" si="132"/>
        <v>0.12470261962042235</v>
      </c>
      <c r="I869">
        <v>267671</v>
      </c>
      <c r="J869">
        <v>31855</v>
      </c>
      <c r="L869" s="2">
        <f t="shared" si="133"/>
        <v>0.10635136849555631</v>
      </c>
      <c r="N869">
        <v>251083</v>
      </c>
      <c r="O869">
        <v>96147</v>
      </c>
      <c r="Q869" s="2">
        <f t="shared" si="134"/>
        <v>0.27689715750367194</v>
      </c>
      <c r="T869">
        <v>257560</v>
      </c>
      <c r="U869">
        <v>99189</v>
      </c>
      <c r="W869" s="2">
        <f t="shared" si="135"/>
        <v>0.27803581789998011</v>
      </c>
      <c r="Z869">
        <f t="shared" si="130"/>
        <v>513042</v>
      </c>
      <c r="AA869">
        <f t="shared" si="131"/>
        <v>133468</v>
      </c>
      <c r="AC869" s="2">
        <f t="shared" si="136"/>
        <v>0.20644382917510942</v>
      </c>
      <c r="AD869" s="2"/>
      <c r="AE869">
        <f t="shared" si="137"/>
        <v>525231</v>
      </c>
      <c r="AF869">
        <f t="shared" si="138"/>
        <v>131044</v>
      </c>
      <c r="AH869" s="2">
        <f t="shared" si="139"/>
        <v>0.19967848843853567</v>
      </c>
      <c r="AI869" s="2"/>
      <c r="AJ869" s="2"/>
    </row>
    <row r="870" spans="2:36" x14ac:dyDescent="0.25">
      <c r="B870" s="1">
        <v>45475</v>
      </c>
      <c r="C870">
        <v>267529</v>
      </c>
      <c r="D870">
        <v>34326</v>
      </c>
      <c r="F870" s="2">
        <f t="shared" si="132"/>
        <v>0.11371685080585049</v>
      </c>
      <c r="I870">
        <v>276455</v>
      </c>
      <c r="J870">
        <v>27374</v>
      </c>
      <c r="L870" s="2">
        <f t="shared" si="133"/>
        <v>9.0096732043353334E-2</v>
      </c>
      <c r="N870">
        <v>282010</v>
      </c>
      <c r="O870">
        <v>89729</v>
      </c>
      <c r="Q870" s="2">
        <f t="shared" si="134"/>
        <v>0.24137634200339486</v>
      </c>
      <c r="T870">
        <v>289743</v>
      </c>
      <c r="U870">
        <v>93932</v>
      </c>
      <c r="W870" s="2">
        <f t="shared" si="135"/>
        <v>0.24482178927477682</v>
      </c>
      <c r="Z870">
        <f t="shared" si="130"/>
        <v>549539</v>
      </c>
      <c r="AA870">
        <f t="shared" si="131"/>
        <v>124055</v>
      </c>
      <c r="AC870" s="2">
        <f t="shared" si="136"/>
        <v>0.18416880197863994</v>
      </c>
      <c r="AD870" s="2"/>
      <c r="AE870">
        <f t="shared" si="137"/>
        <v>566198</v>
      </c>
      <c r="AF870">
        <f t="shared" si="138"/>
        <v>121306</v>
      </c>
      <c r="AH870" s="2">
        <f t="shared" si="139"/>
        <v>0.17644406432544393</v>
      </c>
      <c r="AI870" s="2"/>
      <c r="AJ870" s="2"/>
    </row>
    <row r="871" spans="2:36" x14ac:dyDescent="0.25">
      <c r="B871" s="1">
        <v>45482</v>
      </c>
      <c r="C871">
        <v>271012</v>
      </c>
      <c r="D871">
        <v>31000</v>
      </c>
      <c r="F871" s="2">
        <f t="shared" si="132"/>
        <v>0.10264492801610532</v>
      </c>
      <c r="I871">
        <v>276630</v>
      </c>
      <c r="J871">
        <v>23826</v>
      </c>
      <c r="L871" s="2">
        <f t="shared" si="133"/>
        <v>7.9299464813483503E-2</v>
      </c>
      <c r="N871">
        <v>292113</v>
      </c>
      <c r="O871">
        <v>94725</v>
      </c>
      <c r="Q871" s="2">
        <f t="shared" si="134"/>
        <v>0.24486994555860592</v>
      </c>
      <c r="T871">
        <v>297479</v>
      </c>
      <c r="U871">
        <v>97230</v>
      </c>
      <c r="W871" s="2">
        <f t="shared" si="135"/>
        <v>0.24633337471402983</v>
      </c>
      <c r="Z871">
        <f t="shared" si="130"/>
        <v>563125</v>
      </c>
      <c r="AA871">
        <f t="shared" si="131"/>
        <v>125725</v>
      </c>
      <c r="AC871" s="2">
        <f t="shared" si="136"/>
        <v>0.1825143354866807</v>
      </c>
      <c r="AD871" s="2"/>
      <c r="AE871">
        <f t="shared" si="137"/>
        <v>574109</v>
      </c>
      <c r="AF871">
        <f t="shared" si="138"/>
        <v>121056</v>
      </c>
      <c r="AH871" s="2">
        <f t="shared" si="139"/>
        <v>0.17413995238540492</v>
      </c>
      <c r="AI871" s="2"/>
      <c r="AJ871" s="2"/>
    </row>
    <row r="872" spans="2:36" x14ac:dyDescent="0.25">
      <c r="B872" s="1">
        <v>45489</v>
      </c>
      <c r="C872">
        <v>276160</v>
      </c>
      <c r="D872">
        <v>27659</v>
      </c>
      <c r="F872" s="2">
        <f t="shared" si="132"/>
        <v>9.1037756032374545E-2</v>
      </c>
      <c r="I872">
        <v>284921</v>
      </c>
      <c r="J872">
        <v>21372</v>
      </c>
      <c r="L872" s="2">
        <f t="shared" si="133"/>
        <v>6.9776325283307156E-2</v>
      </c>
      <c r="N872">
        <v>292613</v>
      </c>
      <c r="O872">
        <v>113343</v>
      </c>
      <c r="Q872" s="2">
        <f t="shared" si="134"/>
        <v>0.27920020888963337</v>
      </c>
      <c r="T872">
        <v>295643</v>
      </c>
      <c r="U872">
        <v>111753</v>
      </c>
      <c r="W872" s="2">
        <f t="shared" si="135"/>
        <v>0.27431049887578668</v>
      </c>
      <c r="Z872">
        <f t="shared" si="130"/>
        <v>568773</v>
      </c>
      <c r="AA872">
        <f t="shared" si="131"/>
        <v>141002</v>
      </c>
      <c r="AC872" s="2">
        <f t="shared" si="136"/>
        <v>0.19865732098200134</v>
      </c>
      <c r="AD872" s="2"/>
      <c r="AE872">
        <f t="shared" si="137"/>
        <v>580564</v>
      </c>
      <c r="AF872">
        <f t="shared" si="138"/>
        <v>133125</v>
      </c>
      <c r="AH872" s="2">
        <f t="shared" si="139"/>
        <v>0.18653082785358888</v>
      </c>
      <c r="AI872" s="2"/>
      <c r="AJ872" s="2"/>
    </row>
    <row r="873" spans="2:36" x14ac:dyDescent="0.25">
      <c r="B873" s="1">
        <v>45496</v>
      </c>
      <c r="C873">
        <v>258257</v>
      </c>
      <c r="D873">
        <v>33216</v>
      </c>
      <c r="F873" s="2">
        <f t="shared" si="132"/>
        <v>0.11395909741211022</v>
      </c>
      <c r="I873">
        <v>264356</v>
      </c>
      <c r="J873">
        <v>25119</v>
      </c>
      <c r="L873" s="2">
        <f t="shared" si="133"/>
        <v>8.6774332843941621E-2</v>
      </c>
      <c r="N873">
        <v>263567</v>
      </c>
      <c r="O873">
        <v>119807</v>
      </c>
      <c r="Q873" s="2">
        <f t="shared" si="134"/>
        <v>0.312506847099699</v>
      </c>
      <c r="T873">
        <v>265226</v>
      </c>
      <c r="U873">
        <v>118877</v>
      </c>
      <c r="W873" s="2">
        <f t="shared" si="135"/>
        <v>0.30949250591638178</v>
      </c>
      <c r="Z873">
        <f t="shared" si="130"/>
        <v>521824</v>
      </c>
      <c r="AA873">
        <f t="shared" si="131"/>
        <v>153023</v>
      </c>
      <c r="AC873" s="2">
        <f t="shared" si="136"/>
        <v>0.22675213789199625</v>
      </c>
      <c r="AD873" s="2"/>
      <c r="AE873">
        <f t="shared" si="137"/>
        <v>529582</v>
      </c>
      <c r="AF873">
        <f t="shared" si="138"/>
        <v>143996</v>
      </c>
      <c r="AH873" s="2">
        <f t="shared" si="139"/>
        <v>0.2137777659009053</v>
      </c>
      <c r="AI873" s="2"/>
      <c r="AJ873" s="2"/>
    </row>
    <row r="874" spans="2:36" x14ac:dyDescent="0.25">
      <c r="B874" s="1">
        <v>45503</v>
      </c>
      <c r="C874">
        <v>226272</v>
      </c>
      <c r="D874">
        <v>27022</v>
      </c>
      <c r="F874" s="2">
        <f t="shared" si="132"/>
        <v>0.10668235331275119</v>
      </c>
      <c r="I874">
        <v>236155</v>
      </c>
      <c r="J874">
        <v>24238</v>
      </c>
      <c r="L874" s="2">
        <f t="shared" si="133"/>
        <v>9.3082379326633199E-2</v>
      </c>
      <c r="N874">
        <v>202294</v>
      </c>
      <c r="O874">
        <v>132197</v>
      </c>
      <c r="Q874" s="2">
        <f t="shared" si="134"/>
        <v>0.39521840647431472</v>
      </c>
      <c r="T874">
        <v>209518</v>
      </c>
      <c r="U874">
        <v>131528</v>
      </c>
      <c r="W874" s="2">
        <f t="shared" si="135"/>
        <v>0.38566058537557985</v>
      </c>
      <c r="Z874">
        <f t="shared" si="130"/>
        <v>428566</v>
      </c>
      <c r="AA874">
        <f t="shared" si="131"/>
        <v>159219</v>
      </c>
      <c r="AC874" s="2">
        <f t="shared" si="136"/>
        <v>0.27087965837848871</v>
      </c>
      <c r="AD874" s="2"/>
      <c r="AE874">
        <f t="shared" si="137"/>
        <v>445673</v>
      </c>
      <c r="AF874">
        <f t="shared" si="138"/>
        <v>155766</v>
      </c>
      <c r="AH874" s="2">
        <f t="shared" si="139"/>
        <v>0.2589888583879662</v>
      </c>
      <c r="AI874" s="2"/>
      <c r="AJ874" s="2"/>
    </row>
    <row r="875" spans="2:36" x14ac:dyDescent="0.25">
      <c r="B875" s="1">
        <v>45510</v>
      </c>
      <c r="C875">
        <v>216359</v>
      </c>
      <c r="D875">
        <v>43725</v>
      </c>
      <c r="F875" s="2">
        <f t="shared" si="132"/>
        <v>0.16811876163085773</v>
      </c>
      <c r="I875">
        <v>221633</v>
      </c>
      <c r="J875">
        <v>33373</v>
      </c>
      <c r="L875" s="2">
        <f t="shared" si="133"/>
        <v>0.13087143047614566</v>
      </c>
      <c r="N875">
        <v>164409</v>
      </c>
      <c r="O875">
        <v>150480</v>
      </c>
      <c r="Q875" s="2">
        <f t="shared" si="134"/>
        <v>0.47788268246906052</v>
      </c>
      <c r="T875">
        <v>175351</v>
      </c>
      <c r="U875">
        <v>149913</v>
      </c>
      <c r="W875" s="2">
        <f t="shared" si="135"/>
        <v>0.46089637955629886</v>
      </c>
      <c r="Z875">
        <f t="shared" si="130"/>
        <v>380768</v>
      </c>
      <c r="AA875">
        <f t="shared" si="131"/>
        <v>194205</v>
      </c>
      <c r="AC875" s="2">
        <f t="shared" si="136"/>
        <v>0.33776368629483472</v>
      </c>
      <c r="AD875" s="2"/>
      <c r="AE875">
        <f t="shared" si="137"/>
        <v>396984</v>
      </c>
      <c r="AF875">
        <f t="shared" si="138"/>
        <v>183286</v>
      </c>
      <c r="AH875" s="2">
        <f t="shared" si="139"/>
        <v>0.31586330501318349</v>
      </c>
      <c r="AI875" s="2"/>
      <c r="AJ875" s="2"/>
    </row>
    <row r="876" spans="2:36" x14ac:dyDescent="0.25">
      <c r="B876" s="1">
        <v>45517</v>
      </c>
      <c r="C876">
        <v>216524</v>
      </c>
      <c r="D876">
        <v>24759</v>
      </c>
      <c r="F876" s="2">
        <f t="shared" si="132"/>
        <v>0.10261394296324233</v>
      </c>
      <c r="I876">
        <v>225074</v>
      </c>
      <c r="J876">
        <v>24334</v>
      </c>
      <c r="L876" s="2">
        <f t="shared" si="133"/>
        <v>9.7567038747754686E-2</v>
      </c>
      <c r="N876">
        <v>175697</v>
      </c>
      <c r="O876">
        <v>115351</v>
      </c>
      <c r="Q876" s="2">
        <f t="shared" si="134"/>
        <v>0.39632981501333114</v>
      </c>
      <c r="T876">
        <v>188858</v>
      </c>
      <c r="U876">
        <v>119074</v>
      </c>
      <c r="W876" s="2">
        <f t="shared" si="135"/>
        <v>0.38668926905940271</v>
      </c>
      <c r="Z876">
        <f t="shared" si="130"/>
        <v>392221</v>
      </c>
      <c r="AA876">
        <f t="shared" si="131"/>
        <v>140110</v>
      </c>
      <c r="AC876" s="2">
        <f t="shared" si="136"/>
        <v>0.26320090319744671</v>
      </c>
      <c r="AD876" s="2"/>
      <c r="AE876">
        <f t="shared" si="137"/>
        <v>413932</v>
      </c>
      <c r="AF876">
        <f t="shared" si="138"/>
        <v>143408</v>
      </c>
      <c r="AH876" s="2">
        <f t="shared" si="139"/>
        <v>0.25730792693867299</v>
      </c>
      <c r="AI876" s="2"/>
      <c r="AJ876" s="2"/>
    </row>
    <row r="877" spans="2:36" x14ac:dyDescent="0.25">
      <c r="B877" s="1">
        <v>45524</v>
      </c>
      <c r="C877">
        <v>204954</v>
      </c>
      <c r="D877">
        <v>35041</v>
      </c>
      <c r="F877" s="2">
        <f t="shared" si="132"/>
        <v>0.14600720848351006</v>
      </c>
      <c r="I877">
        <v>208757</v>
      </c>
      <c r="J877">
        <v>30148</v>
      </c>
      <c r="L877" s="2">
        <f t="shared" si="133"/>
        <v>0.12619241958100499</v>
      </c>
      <c r="N877">
        <v>176725</v>
      </c>
      <c r="O877">
        <v>124322</v>
      </c>
      <c r="Q877" s="2">
        <f t="shared" si="134"/>
        <v>0.41296541736007997</v>
      </c>
      <c r="T877">
        <v>182263</v>
      </c>
      <c r="U877">
        <v>121066</v>
      </c>
      <c r="W877" s="2">
        <f t="shared" si="135"/>
        <v>0.39912438309558268</v>
      </c>
      <c r="Z877">
        <f t="shared" si="130"/>
        <v>381679</v>
      </c>
      <c r="AA877">
        <f t="shared" si="131"/>
        <v>159363</v>
      </c>
      <c r="AC877" s="2">
        <f t="shared" si="136"/>
        <v>0.29454829754436807</v>
      </c>
      <c r="AD877" s="2"/>
      <c r="AE877">
        <f t="shared" si="137"/>
        <v>391020</v>
      </c>
      <c r="AF877">
        <f t="shared" si="138"/>
        <v>151214</v>
      </c>
      <c r="AH877" s="2">
        <f t="shared" si="139"/>
        <v>0.27887222121814564</v>
      </c>
      <c r="AI877" s="2"/>
      <c r="AJ877" s="2"/>
    </row>
    <row r="878" spans="2:36" x14ac:dyDescent="0.25">
      <c r="B878" s="1">
        <v>45531</v>
      </c>
      <c r="C878">
        <v>210977</v>
      </c>
      <c r="D878">
        <v>31008</v>
      </c>
      <c r="F878" s="2">
        <f t="shared" si="132"/>
        <v>0.1281401739777259</v>
      </c>
      <c r="I878">
        <v>214268</v>
      </c>
      <c r="J878">
        <v>27741</v>
      </c>
      <c r="L878" s="2">
        <f t="shared" si="133"/>
        <v>0.11462796838134119</v>
      </c>
      <c r="N878">
        <v>187308</v>
      </c>
      <c r="O878">
        <v>117540</v>
      </c>
      <c r="Q878" s="2">
        <f t="shared" si="134"/>
        <v>0.38556920170051961</v>
      </c>
      <c r="T878">
        <v>196286</v>
      </c>
      <c r="U878">
        <v>116214</v>
      </c>
      <c r="W878" s="2">
        <f t="shared" si="135"/>
        <v>0.37188480000000002</v>
      </c>
      <c r="Z878">
        <f t="shared" si="130"/>
        <v>398285</v>
      </c>
      <c r="AA878">
        <f t="shared" si="131"/>
        <v>148548</v>
      </c>
      <c r="AC878" s="2">
        <f t="shared" si="136"/>
        <v>0.27165149140596856</v>
      </c>
      <c r="AD878" s="2"/>
      <c r="AE878">
        <f t="shared" si="137"/>
        <v>410554</v>
      </c>
      <c r="AF878">
        <f t="shared" si="138"/>
        <v>143955</v>
      </c>
      <c r="AH878" s="2">
        <f t="shared" si="139"/>
        <v>0.2596080496439192</v>
      </c>
      <c r="AI878" s="2"/>
      <c r="AJ878" s="2"/>
    </row>
    <row r="879" spans="2:36" x14ac:dyDescent="0.25">
      <c r="B879" s="1">
        <v>45538</v>
      </c>
      <c r="C879">
        <v>184324</v>
      </c>
      <c r="D879">
        <v>69056</v>
      </c>
      <c r="F879" s="2">
        <f t="shared" si="132"/>
        <v>0.2725392690820112</v>
      </c>
      <c r="I879">
        <v>186139</v>
      </c>
      <c r="J879">
        <v>61271</v>
      </c>
      <c r="L879" s="2">
        <f t="shared" si="133"/>
        <v>0.2476496503779152</v>
      </c>
      <c r="N879">
        <v>177701</v>
      </c>
      <c r="O879">
        <v>152799</v>
      </c>
      <c r="Q879" s="2">
        <f t="shared" si="134"/>
        <v>0.46232677760968233</v>
      </c>
      <c r="T879">
        <v>185404</v>
      </c>
      <c r="U879">
        <v>143759</v>
      </c>
      <c r="W879" s="2">
        <f t="shared" si="135"/>
        <v>0.4367410674954354</v>
      </c>
      <c r="Z879">
        <f t="shared" si="130"/>
        <v>362025</v>
      </c>
      <c r="AA879">
        <f t="shared" si="131"/>
        <v>221855</v>
      </c>
      <c r="AC879" s="2">
        <f t="shared" si="136"/>
        <v>0.37996677399465645</v>
      </c>
      <c r="AD879" s="2"/>
      <c r="AE879">
        <f t="shared" si="137"/>
        <v>371543</v>
      </c>
      <c r="AF879">
        <f t="shared" si="138"/>
        <v>205030</v>
      </c>
      <c r="AH879" s="2">
        <f t="shared" si="139"/>
        <v>0.35560111208814843</v>
      </c>
      <c r="AI879" s="2"/>
      <c r="AJ879" s="2"/>
    </row>
    <row r="880" spans="2:36" x14ac:dyDescent="0.25">
      <c r="B880" s="1">
        <v>45545</v>
      </c>
      <c r="C880">
        <v>188368</v>
      </c>
      <c r="D880">
        <v>92535</v>
      </c>
      <c r="F880" s="2">
        <f t="shared" si="132"/>
        <v>0.32941976411786272</v>
      </c>
      <c r="I880">
        <v>190393</v>
      </c>
      <c r="J880">
        <v>85369</v>
      </c>
      <c r="L880" s="2">
        <f t="shared" si="133"/>
        <v>0.30957492330342834</v>
      </c>
      <c r="N880">
        <v>142665</v>
      </c>
      <c r="O880">
        <v>176454</v>
      </c>
      <c r="Q880" s="2">
        <f t="shared" si="134"/>
        <v>0.55294106587197878</v>
      </c>
      <c r="T880">
        <v>151543</v>
      </c>
      <c r="U880">
        <v>164223</v>
      </c>
      <c r="W880" s="2">
        <f t="shared" si="135"/>
        <v>0.52007815914316302</v>
      </c>
      <c r="Z880">
        <f t="shared" si="130"/>
        <v>331033</v>
      </c>
      <c r="AA880">
        <f t="shared" si="131"/>
        <v>268989</v>
      </c>
      <c r="AC880" s="2">
        <f t="shared" si="136"/>
        <v>0.44829856238604582</v>
      </c>
      <c r="AD880" s="2"/>
      <c r="AE880">
        <f t="shared" si="137"/>
        <v>341936</v>
      </c>
      <c r="AF880">
        <f t="shared" si="138"/>
        <v>249592</v>
      </c>
      <c r="AH880" s="2">
        <f t="shared" si="139"/>
        <v>0.42194452333617344</v>
      </c>
      <c r="AI880" s="2"/>
      <c r="AJ880" s="2"/>
    </row>
    <row r="881" spans="2:36" x14ac:dyDescent="0.25">
      <c r="B881" s="1">
        <v>45552</v>
      </c>
      <c r="C881">
        <v>187270</v>
      </c>
      <c r="D881">
        <v>56497</v>
      </c>
      <c r="F881" s="2">
        <f t="shared" si="132"/>
        <v>0.23176639988185441</v>
      </c>
      <c r="I881">
        <v>185734</v>
      </c>
      <c r="J881">
        <v>52509</v>
      </c>
      <c r="L881" s="2">
        <f t="shared" si="133"/>
        <v>0.22040101912752946</v>
      </c>
      <c r="N881">
        <v>130981</v>
      </c>
      <c r="O881">
        <v>157641</v>
      </c>
      <c r="Q881" s="2">
        <f t="shared" si="134"/>
        <v>0.54618497550429279</v>
      </c>
      <c r="T881">
        <v>144945</v>
      </c>
      <c r="U881">
        <v>153086</v>
      </c>
      <c r="W881" s="2">
        <f t="shared" si="135"/>
        <v>0.5136579751770789</v>
      </c>
      <c r="Z881">
        <f t="shared" si="130"/>
        <v>318251</v>
      </c>
      <c r="AA881">
        <f t="shared" si="131"/>
        <v>214138</v>
      </c>
      <c r="AC881" s="2">
        <f t="shared" si="136"/>
        <v>0.40222093243849893</v>
      </c>
      <c r="AD881" s="2"/>
      <c r="AE881">
        <f t="shared" si="137"/>
        <v>330679</v>
      </c>
      <c r="AF881">
        <f t="shared" si="138"/>
        <v>205595</v>
      </c>
      <c r="AH881" s="2">
        <f t="shared" si="139"/>
        <v>0.3833767812722601</v>
      </c>
      <c r="AI881" s="2"/>
      <c r="AJ881" s="2"/>
    </row>
    <row r="882" spans="2:36" x14ac:dyDescent="0.25">
      <c r="B882" s="1">
        <v>45559</v>
      </c>
      <c r="C882">
        <v>211573</v>
      </c>
      <c r="D882">
        <v>52491</v>
      </c>
      <c r="F882" s="2">
        <f t="shared" si="132"/>
        <v>0.19878135603490063</v>
      </c>
      <c r="I882">
        <v>210469</v>
      </c>
      <c r="J882">
        <v>48541</v>
      </c>
      <c r="L882" s="2">
        <f t="shared" si="133"/>
        <v>0.18740975251920775</v>
      </c>
      <c r="N882">
        <v>149258</v>
      </c>
      <c r="O882">
        <v>148288</v>
      </c>
      <c r="Q882" s="2">
        <f t="shared" si="134"/>
        <v>0.49836999993278353</v>
      </c>
      <c r="T882">
        <v>166406</v>
      </c>
      <c r="U882">
        <v>144637</v>
      </c>
      <c r="W882" s="2">
        <f t="shared" si="135"/>
        <v>0.46500644605408253</v>
      </c>
      <c r="Z882">
        <f t="shared" si="130"/>
        <v>360831</v>
      </c>
      <c r="AA882">
        <f t="shared" si="131"/>
        <v>200779</v>
      </c>
      <c r="AC882" s="2">
        <f t="shared" si="136"/>
        <v>0.35750609853813142</v>
      </c>
      <c r="AD882" s="2"/>
      <c r="AE882">
        <f t="shared" si="137"/>
        <v>376875</v>
      </c>
      <c r="AF882">
        <f t="shared" si="138"/>
        <v>193178</v>
      </c>
      <c r="AH882" s="2">
        <f t="shared" si="139"/>
        <v>0.33887726228964676</v>
      </c>
      <c r="AI882" s="2"/>
      <c r="AJ882" s="2"/>
    </row>
    <row r="883" spans="2:36" x14ac:dyDescent="0.25">
      <c r="B883" s="1">
        <v>45566</v>
      </c>
      <c r="C883">
        <v>205645</v>
      </c>
      <c r="D883">
        <v>68716</v>
      </c>
      <c r="F883" s="2">
        <f t="shared" si="132"/>
        <v>0.25045833773750642</v>
      </c>
      <c r="I883">
        <v>203883</v>
      </c>
      <c r="J883">
        <v>62643</v>
      </c>
      <c r="L883" s="2">
        <f t="shared" si="133"/>
        <v>0.23503523108439703</v>
      </c>
      <c r="N883">
        <v>158445</v>
      </c>
      <c r="O883">
        <v>136180</v>
      </c>
      <c r="Q883" s="2">
        <f t="shared" si="134"/>
        <v>0.46221467967755619</v>
      </c>
      <c r="T883">
        <v>180981</v>
      </c>
      <c r="U883">
        <v>139199</v>
      </c>
      <c r="W883" s="2">
        <f t="shared" si="135"/>
        <v>0.43475232681616588</v>
      </c>
      <c r="Z883">
        <f t="shared" si="130"/>
        <v>364090</v>
      </c>
      <c r="AA883">
        <f t="shared" si="131"/>
        <v>204896</v>
      </c>
      <c r="AC883" s="2">
        <f t="shared" si="136"/>
        <v>0.36010727856221419</v>
      </c>
      <c r="AD883" s="2"/>
      <c r="AE883">
        <f t="shared" si="137"/>
        <v>384864</v>
      </c>
      <c r="AF883">
        <f t="shared" si="138"/>
        <v>201842</v>
      </c>
      <c r="AH883" s="2">
        <f t="shared" si="139"/>
        <v>0.34402579827034324</v>
      </c>
      <c r="AI883" s="2"/>
      <c r="AJ883" s="2"/>
    </row>
    <row r="884" spans="2:36" x14ac:dyDescent="0.25">
      <c r="B884" s="1">
        <v>45573</v>
      </c>
      <c r="C884">
        <v>191953</v>
      </c>
      <c r="D884">
        <v>60890</v>
      </c>
      <c r="F884" s="2">
        <f t="shared" si="132"/>
        <v>0.240821379274886</v>
      </c>
      <c r="I884">
        <v>184650</v>
      </c>
      <c r="J884">
        <v>47357</v>
      </c>
      <c r="L884" s="2">
        <f t="shared" si="133"/>
        <v>0.20411884124185908</v>
      </c>
      <c r="N884">
        <v>234106</v>
      </c>
      <c r="O884">
        <v>85331</v>
      </c>
      <c r="Q884" s="2">
        <f t="shared" si="134"/>
        <v>0.26712935571020263</v>
      </c>
      <c r="T884">
        <v>256230</v>
      </c>
      <c r="U884">
        <v>91222</v>
      </c>
      <c r="W884" s="2">
        <f t="shared" si="135"/>
        <v>0.26254561781195673</v>
      </c>
      <c r="Z884">
        <f t="shared" si="130"/>
        <v>426059</v>
      </c>
      <c r="AA884">
        <f t="shared" si="131"/>
        <v>146221</v>
      </c>
      <c r="AC884" s="2">
        <f t="shared" si="136"/>
        <v>0.2555060459914727</v>
      </c>
      <c r="AD884" s="2"/>
      <c r="AE884">
        <f t="shared" si="137"/>
        <v>440880</v>
      </c>
      <c r="AF884">
        <f t="shared" si="138"/>
        <v>138579</v>
      </c>
      <c r="AH884" s="2">
        <f t="shared" si="139"/>
        <v>0.23915238179060122</v>
      </c>
      <c r="AI884" s="2"/>
      <c r="AJ884" s="2"/>
    </row>
    <row r="885" spans="2:36" x14ac:dyDescent="0.25">
      <c r="B885" s="1">
        <v>45580</v>
      </c>
      <c r="C885">
        <v>170958</v>
      </c>
      <c r="D885">
        <v>52412</v>
      </c>
      <c r="F885" s="2">
        <f t="shared" si="132"/>
        <v>0.23464207368939427</v>
      </c>
      <c r="I885">
        <v>172341</v>
      </c>
      <c r="J885">
        <v>42688</v>
      </c>
      <c r="L885" s="2">
        <f t="shared" si="133"/>
        <v>0.19852205981518772</v>
      </c>
      <c r="N885">
        <v>213471</v>
      </c>
      <c r="O885">
        <v>92628</v>
      </c>
      <c r="Q885" s="2">
        <f t="shared" si="134"/>
        <v>0.30260797977125048</v>
      </c>
      <c r="T885">
        <v>229936</v>
      </c>
      <c r="U885">
        <v>93414</v>
      </c>
      <c r="W885" s="2">
        <f t="shared" si="135"/>
        <v>0.28889438688727387</v>
      </c>
      <c r="Z885">
        <f t="shared" si="130"/>
        <v>384429</v>
      </c>
      <c r="AA885">
        <f t="shared" si="131"/>
        <v>145040</v>
      </c>
      <c r="AC885" s="2">
        <f t="shared" si="136"/>
        <v>0.27393482904570426</v>
      </c>
      <c r="AD885" s="2"/>
      <c r="AE885">
        <f t="shared" si="137"/>
        <v>402277</v>
      </c>
      <c r="AF885">
        <f t="shared" si="138"/>
        <v>136102</v>
      </c>
      <c r="AH885" s="2">
        <f t="shared" si="139"/>
        <v>0.25279960771129634</v>
      </c>
      <c r="AI885" s="2"/>
      <c r="AJ885" s="2"/>
    </row>
    <row r="886" spans="2:36" x14ac:dyDescent="0.25">
      <c r="B886" s="1">
        <v>45587</v>
      </c>
      <c r="C886">
        <v>161903</v>
      </c>
      <c r="D886">
        <v>59957</v>
      </c>
      <c r="F886" s="2">
        <f t="shared" si="132"/>
        <v>0.27024700261426127</v>
      </c>
      <c r="I886">
        <v>163323</v>
      </c>
      <c r="J886">
        <v>49550</v>
      </c>
      <c r="L886" s="2">
        <f t="shared" si="133"/>
        <v>0.23276789447229099</v>
      </c>
      <c r="N886">
        <v>209262</v>
      </c>
      <c r="O886">
        <v>90020</v>
      </c>
      <c r="Q886" s="2">
        <f t="shared" si="134"/>
        <v>0.30078654914094399</v>
      </c>
      <c r="T886">
        <v>224302</v>
      </c>
      <c r="U886">
        <v>89721</v>
      </c>
      <c r="W886" s="2">
        <f t="shared" si="135"/>
        <v>0.28571474064001684</v>
      </c>
      <c r="Z886">
        <f t="shared" si="130"/>
        <v>371165</v>
      </c>
      <c r="AA886">
        <f t="shared" si="131"/>
        <v>149977</v>
      </c>
      <c r="AC886" s="2">
        <f t="shared" si="136"/>
        <v>0.28778528692755523</v>
      </c>
      <c r="AD886" s="2"/>
      <c r="AE886">
        <f t="shared" si="137"/>
        <v>387625</v>
      </c>
      <c r="AF886">
        <f t="shared" si="138"/>
        <v>139271</v>
      </c>
      <c r="AH886" s="2">
        <f t="shared" si="139"/>
        <v>0.26432350976283747</v>
      </c>
      <c r="AI886" s="2"/>
      <c r="AJ886" s="2"/>
    </row>
    <row r="887" spans="2:36" x14ac:dyDescent="0.25">
      <c r="B887" s="1">
        <v>45594</v>
      </c>
      <c r="C887">
        <v>168343</v>
      </c>
      <c r="D887">
        <v>76710</v>
      </c>
      <c r="F887" s="2">
        <f t="shared" si="132"/>
        <v>0.3130343231872289</v>
      </c>
      <c r="I887">
        <v>163679</v>
      </c>
      <c r="J887">
        <v>67837</v>
      </c>
      <c r="L887" s="2">
        <f t="shared" si="133"/>
        <v>0.29301214602878417</v>
      </c>
      <c r="N887">
        <v>196921</v>
      </c>
      <c r="O887">
        <v>99834</v>
      </c>
      <c r="Q887" s="2">
        <f t="shared" si="134"/>
        <v>0.33641893144176171</v>
      </c>
      <c r="T887">
        <v>195858</v>
      </c>
      <c r="U887">
        <v>101951</v>
      </c>
      <c r="W887" s="2">
        <f t="shared" si="135"/>
        <v>0.3423368669180582</v>
      </c>
      <c r="Z887">
        <f t="shared" si="130"/>
        <v>365264</v>
      </c>
      <c r="AA887">
        <f t="shared" si="131"/>
        <v>176544</v>
      </c>
      <c r="AC887" s="2">
        <f t="shared" si="136"/>
        <v>0.32584236482296314</v>
      </c>
      <c r="AD887" s="2"/>
      <c r="AE887">
        <f t="shared" si="137"/>
        <v>359537</v>
      </c>
      <c r="AF887">
        <f t="shared" si="138"/>
        <v>169788</v>
      </c>
      <c r="AH887" s="2">
        <f t="shared" si="139"/>
        <v>0.32076323619704339</v>
      </c>
      <c r="AI887" s="2"/>
      <c r="AJ887" s="2"/>
    </row>
    <row r="888" spans="2:36" x14ac:dyDescent="0.25">
      <c r="B888" s="1">
        <v>45601</v>
      </c>
      <c r="C888">
        <v>203273</v>
      </c>
      <c r="D888">
        <v>56622</v>
      </c>
      <c r="F888" s="2">
        <f t="shared" si="132"/>
        <v>0.21786490698166566</v>
      </c>
      <c r="I888">
        <v>191614</v>
      </c>
      <c r="J888">
        <v>47629</v>
      </c>
      <c r="L888" s="2">
        <f t="shared" si="133"/>
        <v>0.19908210480557426</v>
      </c>
      <c r="N888">
        <v>199999</v>
      </c>
      <c r="O888">
        <v>85891</v>
      </c>
      <c r="Q888" s="2">
        <f t="shared" si="134"/>
        <v>0.30043373325404876</v>
      </c>
      <c r="T888">
        <v>215292</v>
      </c>
      <c r="U888">
        <v>89147</v>
      </c>
      <c r="W888" s="2">
        <f t="shared" si="135"/>
        <v>0.29282384976957615</v>
      </c>
      <c r="Z888">
        <f t="shared" si="130"/>
        <v>403272</v>
      </c>
      <c r="AA888">
        <f t="shared" si="131"/>
        <v>142513</v>
      </c>
      <c r="AC888" s="2">
        <f t="shared" si="136"/>
        <v>0.26111564077429755</v>
      </c>
      <c r="AD888" s="2"/>
      <c r="AE888">
        <f t="shared" si="137"/>
        <v>406906</v>
      </c>
      <c r="AF888">
        <f t="shared" si="138"/>
        <v>136776</v>
      </c>
      <c r="AH888" s="2">
        <f t="shared" si="139"/>
        <v>0.25157353011503047</v>
      </c>
      <c r="AI888" s="2"/>
      <c r="AJ888" s="2"/>
    </row>
    <row r="889" spans="2:36" x14ac:dyDescent="0.25">
      <c r="B889" s="1">
        <v>45608</v>
      </c>
      <c r="C889">
        <v>200728</v>
      </c>
      <c r="D889">
        <v>67065</v>
      </c>
      <c r="F889" s="2">
        <f t="shared" si="132"/>
        <v>0.25043597106720489</v>
      </c>
      <c r="I889">
        <v>184676</v>
      </c>
      <c r="J889">
        <v>58734</v>
      </c>
      <c r="L889" s="2">
        <f t="shared" si="133"/>
        <v>0.24129657779055913</v>
      </c>
      <c r="N889">
        <v>217057</v>
      </c>
      <c r="O889">
        <v>117297</v>
      </c>
      <c r="Q889" s="2">
        <f t="shared" si="134"/>
        <v>0.35081679896157963</v>
      </c>
      <c r="T889">
        <v>219388</v>
      </c>
      <c r="U889">
        <v>115849</v>
      </c>
      <c r="W889" s="2">
        <f t="shared" si="135"/>
        <v>0.34557343014046776</v>
      </c>
      <c r="Z889">
        <f t="shared" si="130"/>
        <v>417785</v>
      </c>
      <c r="AA889">
        <f t="shared" si="131"/>
        <v>184362</v>
      </c>
      <c r="AC889" s="2">
        <f t="shared" si="136"/>
        <v>0.3061744059174919</v>
      </c>
      <c r="AD889" s="2"/>
      <c r="AE889">
        <f t="shared" si="137"/>
        <v>404064</v>
      </c>
      <c r="AF889">
        <f t="shared" si="138"/>
        <v>174583</v>
      </c>
      <c r="AH889" s="2">
        <f t="shared" si="139"/>
        <v>0.30170898665334822</v>
      </c>
      <c r="AI889" s="2"/>
      <c r="AJ889" s="2"/>
    </row>
    <row r="890" spans="2:36" x14ac:dyDescent="0.25">
      <c r="B890" s="1">
        <v>45615</v>
      </c>
      <c r="C890">
        <v>188283</v>
      </c>
      <c r="D890">
        <v>83342</v>
      </c>
      <c r="F890" s="2">
        <f t="shared" si="132"/>
        <v>0.30682742751955822</v>
      </c>
      <c r="I890">
        <v>182148</v>
      </c>
      <c r="J890">
        <v>74016</v>
      </c>
      <c r="L890" s="2">
        <f t="shared" si="133"/>
        <v>0.28893989787792196</v>
      </c>
      <c r="N890">
        <v>234055</v>
      </c>
      <c r="O890">
        <v>100991</v>
      </c>
      <c r="Q890" s="2">
        <f t="shared" si="134"/>
        <v>0.30142428203888422</v>
      </c>
      <c r="T890">
        <v>236327</v>
      </c>
      <c r="U890">
        <v>101398</v>
      </c>
      <c r="W890" s="2">
        <f t="shared" si="135"/>
        <v>0.30023835961211043</v>
      </c>
      <c r="Z890">
        <f t="shared" si="130"/>
        <v>422338</v>
      </c>
      <c r="AA890">
        <f t="shared" si="131"/>
        <v>184333</v>
      </c>
      <c r="AC890" s="2">
        <f t="shared" si="136"/>
        <v>0.30384343408536091</v>
      </c>
      <c r="AD890" s="2"/>
      <c r="AE890">
        <f t="shared" si="137"/>
        <v>418475</v>
      </c>
      <c r="AF890">
        <f t="shared" si="138"/>
        <v>175414</v>
      </c>
      <c r="AH890" s="2">
        <f t="shared" si="139"/>
        <v>0.295364958771757</v>
      </c>
      <c r="AI890" s="2"/>
      <c r="AJ890" s="2"/>
    </row>
    <row r="891" spans="2:36" x14ac:dyDescent="0.25">
      <c r="B891" s="1">
        <v>45622</v>
      </c>
      <c r="C891">
        <v>185017</v>
      </c>
      <c r="D891">
        <v>78608</v>
      </c>
      <c r="F891" s="2">
        <f t="shared" si="132"/>
        <v>0.29818112849691797</v>
      </c>
      <c r="I891">
        <v>178278</v>
      </c>
      <c r="J891">
        <v>66674</v>
      </c>
      <c r="L891" s="2">
        <f t="shared" si="133"/>
        <v>0.27219210294261731</v>
      </c>
      <c r="N891">
        <v>230420</v>
      </c>
      <c r="O891">
        <v>95888</v>
      </c>
      <c r="Q891" s="2">
        <f t="shared" si="134"/>
        <v>0.29385733723966312</v>
      </c>
      <c r="T891">
        <v>229719</v>
      </c>
      <c r="U891">
        <v>98871</v>
      </c>
      <c r="W891" s="2">
        <f t="shared" si="135"/>
        <v>0.30089473203688488</v>
      </c>
      <c r="Z891">
        <f t="shared" si="130"/>
        <v>415437</v>
      </c>
      <c r="AA891">
        <f t="shared" si="131"/>
        <v>174496</v>
      </c>
      <c r="AC891" s="2">
        <f t="shared" si="136"/>
        <v>0.29578952186095708</v>
      </c>
      <c r="AD891" s="2"/>
      <c r="AE891">
        <f t="shared" si="137"/>
        <v>407997</v>
      </c>
      <c r="AF891">
        <f t="shared" si="138"/>
        <v>165545</v>
      </c>
      <c r="AH891" s="2">
        <f t="shared" si="139"/>
        <v>0.28863622890738605</v>
      </c>
      <c r="AI891" s="2"/>
      <c r="AJ891" s="2"/>
    </row>
    <row r="892" spans="2:36" x14ac:dyDescent="0.25">
      <c r="B892" s="1">
        <v>45629</v>
      </c>
      <c r="C892">
        <v>192032</v>
      </c>
      <c r="D892">
        <v>77211</v>
      </c>
      <c r="F892" s="2">
        <f t="shared" si="132"/>
        <v>0.28677068670308975</v>
      </c>
      <c r="I892">
        <v>184870</v>
      </c>
      <c r="J892">
        <v>68436</v>
      </c>
      <c r="L892" s="2">
        <f t="shared" si="133"/>
        <v>0.27017125531965291</v>
      </c>
      <c r="N892">
        <v>252325</v>
      </c>
      <c r="O892">
        <v>88102</v>
      </c>
      <c r="Q892" s="2">
        <f t="shared" si="134"/>
        <v>0.25879850893143025</v>
      </c>
      <c r="T892">
        <v>245076</v>
      </c>
      <c r="U892">
        <v>88152</v>
      </c>
      <c r="W892" s="2">
        <f t="shared" si="135"/>
        <v>0.26453959451186576</v>
      </c>
      <c r="Z892">
        <f t="shared" si="130"/>
        <v>444357</v>
      </c>
      <c r="AA892">
        <f t="shared" si="131"/>
        <v>165313</v>
      </c>
      <c r="AC892" s="2">
        <f t="shared" si="136"/>
        <v>0.27115160660685289</v>
      </c>
      <c r="AD892" s="2"/>
      <c r="AE892">
        <f t="shared" si="137"/>
        <v>429946</v>
      </c>
      <c r="AF892">
        <f t="shared" si="138"/>
        <v>156588</v>
      </c>
      <c r="AH892" s="2">
        <f t="shared" si="139"/>
        <v>0.26697173565385807</v>
      </c>
      <c r="AI892" s="2"/>
      <c r="AJ892" s="2"/>
    </row>
    <row r="893" spans="2:36" x14ac:dyDescent="0.25">
      <c r="B893" s="1">
        <v>45636</v>
      </c>
      <c r="C893">
        <v>185282</v>
      </c>
      <c r="D893">
        <v>80314</v>
      </c>
      <c r="F893" s="2">
        <f t="shared" si="132"/>
        <v>0.30239160228316692</v>
      </c>
      <c r="I893">
        <v>175836</v>
      </c>
      <c r="J893">
        <v>71850</v>
      </c>
      <c r="L893" s="2">
        <f t="shared" si="133"/>
        <v>0.2900850270100046</v>
      </c>
      <c r="N893">
        <v>258731</v>
      </c>
      <c r="O893">
        <v>89003</v>
      </c>
      <c r="Q893" s="2">
        <f t="shared" si="134"/>
        <v>0.2559513881300074</v>
      </c>
      <c r="T893">
        <v>256656</v>
      </c>
      <c r="U893">
        <v>94383</v>
      </c>
      <c r="W893" s="2">
        <f t="shared" si="135"/>
        <v>0.26886756172391102</v>
      </c>
      <c r="Z893">
        <f t="shared" si="130"/>
        <v>444013</v>
      </c>
      <c r="AA893">
        <f t="shared" si="131"/>
        <v>169317</v>
      </c>
      <c r="AC893" s="2">
        <f t="shared" si="136"/>
        <v>0.27606182642296967</v>
      </c>
      <c r="AD893" s="2"/>
      <c r="AE893">
        <f t="shared" si="137"/>
        <v>432492</v>
      </c>
      <c r="AF893">
        <f t="shared" si="138"/>
        <v>166233</v>
      </c>
      <c r="AH893" s="2">
        <f t="shared" si="139"/>
        <v>0.27764499561568334</v>
      </c>
      <c r="AI893" s="2"/>
      <c r="AJ893" s="2"/>
    </row>
    <row r="894" spans="2:36" x14ac:dyDescent="0.25">
      <c r="B894" s="1">
        <v>45643</v>
      </c>
      <c r="C894">
        <v>226042</v>
      </c>
      <c r="D894">
        <v>61655</v>
      </c>
      <c r="F894" s="2">
        <f t="shared" si="132"/>
        <v>0.21430532817512871</v>
      </c>
      <c r="I894">
        <v>217335</v>
      </c>
      <c r="J894">
        <v>56134</v>
      </c>
      <c r="L894" s="2">
        <f t="shared" si="133"/>
        <v>0.20526641045237304</v>
      </c>
      <c r="N894">
        <v>271562</v>
      </c>
      <c r="O894">
        <v>84003</v>
      </c>
      <c r="Q894" s="2">
        <f t="shared" si="134"/>
        <v>0.23625216205194549</v>
      </c>
      <c r="T894">
        <v>270650</v>
      </c>
      <c r="U894">
        <v>85809</v>
      </c>
      <c r="W894" s="2">
        <f t="shared" si="135"/>
        <v>0.24072614241750104</v>
      </c>
      <c r="Z894">
        <f t="shared" si="130"/>
        <v>497604</v>
      </c>
      <c r="AA894">
        <f t="shared" si="131"/>
        <v>145658</v>
      </c>
      <c r="AC894" s="2">
        <f t="shared" si="136"/>
        <v>0.22643650643128305</v>
      </c>
      <c r="AD894" s="2"/>
      <c r="AE894">
        <f t="shared" si="137"/>
        <v>487985</v>
      </c>
      <c r="AF894">
        <f t="shared" si="138"/>
        <v>141943</v>
      </c>
      <c r="AH894" s="2">
        <f t="shared" si="139"/>
        <v>0.22533210144651453</v>
      </c>
      <c r="AI894" s="2"/>
      <c r="AJ894" s="2"/>
    </row>
    <row r="895" spans="2:36" x14ac:dyDescent="0.25">
      <c r="B895" s="1">
        <v>45650</v>
      </c>
      <c r="C895">
        <v>247311</v>
      </c>
      <c r="D895">
        <v>60397</v>
      </c>
      <c r="F895" s="2">
        <f t="shared" si="132"/>
        <v>0.19628023970777492</v>
      </c>
      <c r="I895">
        <v>238974</v>
      </c>
      <c r="J895">
        <v>56079</v>
      </c>
      <c r="L895" s="2">
        <f t="shared" si="133"/>
        <v>0.19006415796484022</v>
      </c>
      <c r="N895">
        <v>257778</v>
      </c>
      <c r="O895">
        <v>97932</v>
      </c>
      <c r="Q895" s="2">
        <f t="shared" si="134"/>
        <v>0.2753141604115712</v>
      </c>
      <c r="T895">
        <v>253296</v>
      </c>
      <c r="U895">
        <v>99451</v>
      </c>
      <c r="W895" s="2">
        <f t="shared" si="135"/>
        <v>0.2819329434410498</v>
      </c>
      <c r="Z895">
        <f t="shared" si="130"/>
        <v>505089</v>
      </c>
      <c r="AA895">
        <f t="shared" si="131"/>
        <v>158329</v>
      </c>
      <c r="AC895" s="2">
        <f t="shared" si="136"/>
        <v>0.23865647299289439</v>
      </c>
      <c r="AD895" s="2"/>
      <c r="AE895">
        <f t="shared" si="137"/>
        <v>492270</v>
      </c>
      <c r="AF895">
        <f t="shared" si="138"/>
        <v>155530</v>
      </c>
      <c r="AH895" s="2">
        <f t="shared" si="139"/>
        <v>0.24008953380673048</v>
      </c>
      <c r="AI895" s="2"/>
      <c r="AJ895" s="2"/>
    </row>
    <row r="896" spans="2:36" x14ac:dyDescent="0.25">
      <c r="B896" s="1">
        <v>45657</v>
      </c>
      <c r="C896">
        <v>255707</v>
      </c>
      <c r="D896">
        <v>52659</v>
      </c>
      <c r="F896" s="2">
        <f t="shared" si="132"/>
        <v>0.17076785378413964</v>
      </c>
      <c r="I896">
        <v>247113</v>
      </c>
      <c r="J896">
        <v>47972</v>
      </c>
      <c r="L896" s="2">
        <f t="shared" si="133"/>
        <v>0.16257010691834556</v>
      </c>
      <c r="N896">
        <v>282245</v>
      </c>
      <c r="O896">
        <v>87779</v>
      </c>
      <c r="Q896" s="2">
        <f t="shared" si="134"/>
        <v>0.23722515296305105</v>
      </c>
      <c r="T896">
        <v>276454</v>
      </c>
      <c r="U896">
        <v>89539</v>
      </c>
      <c r="W896" s="2">
        <f t="shared" si="135"/>
        <v>0.24464675553904036</v>
      </c>
      <c r="Z896">
        <f t="shared" si="130"/>
        <v>537952</v>
      </c>
      <c r="AA896">
        <f t="shared" si="131"/>
        <v>140438</v>
      </c>
      <c r="AC896" s="2">
        <f t="shared" si="136"/>
        <v>0.20701661286280754</v>
      </c>
      <c r="AD896" s="2"/>
      <c r="AE896">
        <f t="shared" si="137"/>
        <v>523567</v>
      </c>
      <c r="AF896">
        <f t="shared" si="138"/>
        <v>137511</v>
      </c>
      <c r="AH896" s="2">
        <f t="shared" si="139"/>
        <v>0.20801024992512229</v>
      </c>
      <c r="AI896" s="2"/>
      <c r="AJ896" s="2"/>
    </row>
    <row r="897" spans="2:36" x14ac:dyDescent="0.25">
      <c r="B897" s="1">
        <v>45664</v>
      </c>
      <c r="C897">
        <v>295756</v>
      </c>
      <c r="D897">
        <v>41877</v>
      </c>
      <c r="F897" s="2">
        <f t="shared" si="132"/>
        <v>0.12403112255022465</v>
      </c>
      <c r="I897">
        <v>285789</v>
      </c>
      <c r="J897">
        <v>39427</v>
      </c>
      <c r="L897" s="2">
        <f t="shared" si="133"/>
        <v>0.12123327265571189</v>
      </c>
      <c r="N897">
        <v>324765</v>
      </c>
      <c r="O897">
        <v>86968</v>
      </c>
      <c r="Q897" s="2">
        <f t="shared" si="134"/>
        <v>0.21122426426834867</v>
      </c>
      <c r="T897">
        <v>314560</v>
      </c>
      <c r="U897">
        <v>87701</v>
      </c>
      <c r="W897" s="2">
        <f t="shared" si="135"/>
        <v>0.21802014115213755</v>
      </c>
      <c r="Z897">
        <f t="shared" si="130"/>
        <v>620521</v>
      </c>
      <c r="AA897">
        <f t="shared" si="131"/>
        <v>128845</v>
      </c>
      <c r="AC897" s="2">
        <f t="shared" si="136"/>
        <v>0.17193867882983749</v>
      </c>
      <c r="AD897" s="2"/>
      <c r="AE897">
        <f t="shared" si="137"/>
        <v>600349</v>
      </c>
      <c r="AF897">
        <f t="shared" si="138"/>
        <v>127128</v>
      </c>
      <c r="AH897" s="2">
        <f t="shared" si="139"/>
        <v>0.17475191655543748</v>
      </c>
      <c r="AI897" s="2"/>
      <c r="AJ897" s="2"/>
    </row>
    <row r="898" spans="2:36" x14ac:dyDescent="0.25">
      <c r="B898" s="1">
        <v>45671</v>
      </c>
      <c r="C898">
        <v>290600</v>
      </c>
      <c r="D898">
        <v>54358</v>
      </c>
      <c r="F898" s="2">
        <f t="shared" si="132"/>
        <v>0.1575786037720534</v>
      </c>
      <c r="I898">
        <v>277944</v>
      </c>
      <c r="J898">
        <v>47252</v>
      </c>
      <c r="L898" s="2">
        <f t="shared" si="133"/>
        <v>0.1453031402600278</v>
      </c>
      <c r="N898">
        <v>361632</v>
      </c>
      <c r="O898">
        <v>89467</v>
      </c>
      <c r="Q898" s="2">
        <f t="shared" si="134"/>
        <v>0.19833118672397854</v>
      </c>
      <c r="T898">
        <v>348928</v>
      </c>
      <c r="U898">
        <v>94596</v>
      </c>
      <c r="W898" s="2">
        <f t="shared" si="135"/>
        <v>0.2132827084892813</v>
      </c>
      <c r="Z898">
        <f t="shared" si="130"/>
        <v>652232</v>
      </c>
      <c r="AA898">
        <f t="shared" si="131"/>
        <v>143825</v>
      </c>
      <c r="AC898" s="2">
        <f t="shared" si="136"/>
        <v>0.18067173581791254</v>
      </c>
      <c r="AD898" s="2"/>
      <c r="AE898">
        <f t="shared" si="137"/>
        <v>626872</v>
      </c>
      <c r="AF898">
        <f t="shared" si="138"/>
        <v>141848</v>
      </c>
      <c r="AH898" s="2">
        <f t="shared" si="139"/>
        <v>0.18452492454990113</v>
      </c>
      <c r="AI898" s="2"/>
      <c r="AJ898" s="2"/>
    </row>
    <row r="899" spans="2:36" x14ac:dyDescent="0.25">
      <c r="B899" s="1">
        <v>45678</v>
      </c>
      <c r="C899">
        <v>285606</v>
      </c>
      <c r="D899">
        <v>38161</v>
      </c>
      <c r="F899" s="2">
        <f t="shared" si="132"/>
        <v>0.11786562558877217</v>
      </c>
      <c r="I899">
        <v>281241</v>
      </c>
      <c r="J899">
        <v>30354</v>
      </c>
      <c r="L899" s="2">
        <f t="shared" si="133"/>
        <v>9.741491358975593E-2</v>
      </c>
      <c r="N899">
        <v>367101</v>
      </c>
      <c r="O899">
        <v>87483</v>
      </c>
      <c r="Q899" s="2">
        <f t="shared" si="134"/>
        <v>0.19244628055540891</v>
      </c>
      <c r="T899">
        <v>359036</v>
      </c>
      <c r="U899">
        <v>96171</v>
      </c>
      <c r="W899" s="2">
        <f t="shared" si="135"/>
        <v>0.2112687195056315</v>
      </c>
      <c r="Z899">
        <f t="shared" si="130"/>
        <v>652707</v>
      </c>
      <c r="AA899">
        <f t="shared" si="131"/>
        <v>125644</v>
      </c>
      <c r="AC899" s="2">
        <f t="shared" si="136"/>
        <v>0.1614233167298558</v>
      </c>
      <c r="AD899" s="2"/>
      <c r="AE899">
        <f t="shared" si="137"/>
        <v>640277</v>
      </c>
      <c r="AF899">
        <f t="shared" si="138"/>
        <v>126525</v>
      </c>
      <c r="AH899" s="2">
        <f t="shared" si="139"/>
        <v>0.16500348199404802</v>
      </c>
      <c r="AI899" s="2"/>
      <c r="AJ899" s="2"/>
    </row>
    <row r="900" spans="2:36" x14ac:dyDescent="0.25">
      <c r="B900" s="1">
        <v>45685</v>
      </c>
      <c r="C900">
        <v>240582</v>
      </c>
      <c r="D900">
        <v>49051</v>
      </c>
      <c r="F900" s="2">
        <f t="shared" si="132"/>
        <v>0.16935570187098845</v>
      </c>
      <c r="I900">
        <v>233459</v>
      </c>
      <c r="J900">
        <v>41667</v>
      </c>
      <c r="L900" s="2">
        <f t="shared" si="133"/>
        <v>0.15144697338673915</v>
      </c>
      <c r="N900">
        <v>392656</v>
      </c>
      <c r="O900">
        <v>90835</v>
      </c>
      <c r="Q900" s="2">
        <f t="shared" si="134"/>
        <v>0.18787319722600834</v>
      </c>
      <c r="T900">
        <v>396676</v>
      </c>
      <c r="U900">
        <v>88972</v>
      </c>
      <c r="W900" s="2">
        <f t="shared" si="135"/>
        <v>0.1832026488320759</v>
      </c>
      <c r="Z900">
        <f t="shared" si="130"/>
        <v>633238</v>
      </c>
      <c r="AA900">
        <f t="shared" si="131"/>
        <v>139886</v>
      </c>
      <c r="AC900" s="2">
        <f t="shared" si="136"/>
        <v>0.1809360464815476</v>
      </c>
      <c r="AD900" s="2"/>
      <c r="AE900">
        <f t="shared" si="137"/>
        <v>630135</v>
      </c>
      <c r="AF900">
        <f t="shared" si="138"/>
        <v>130639</v>
      </c>
      <c r="AH900" s="2">
        <f t="shared" si="139"/>
        <v>0.17171853927710462</v>
      </c>
      <c r="AI900" s="2"/>
      <c r="AJ900" s="2"/>
    </row>
    <row r="901" spans="2:36" x14ac:dyDescent="0.25">
      <c r="B901" s="1">
        <v>45692</v>
      </c>
      <c r="C901">
        <v>204272</v>
      </c>
      <c r="D901">
        <v>60136</v>
      </c>
      <c r="F901" s="2">
        <f t="shared" si="132"/>
        <v>0.22743638619103809</v>
      </c>
      <c r="I901">
        <v>197981</v>
      </c>
      <c r="J901">
        <v>57441</v>
      </c>
      <c r="L901" s="2">
        <f t="shared" si="133"/>
        <v>0.22488665815787207</v>
      </c>
      <c r="N901">
        <v>372185</v>
      </c>
      <c r="O901">
        <v>86963</v>
      </c>
      <c r="Q901" s="2">
        <f t="shared" si="134"/>
        <v>0.18940080322684624</v>
      </c>
      <c r="T901">
        <v>372368</v>
      </c>
      <c r="U901">
        <v>82645</v>
      </c>
      <c r="W901" s="2">
        <f t="shared" si="135"/>
        <v>0.1816321731467013</v>
      </c>
      <c r="Z901">
        <f t="shared" si="130"/>
        <v>576457</v>
      </c>
      <c r="AA901">
        <f t="shared" si="131"/>
        <v>147099</v>
      </c>
      <c r="AC901" s="2">
        <f t="shared" si="136"/>
        <v>0.20330009011050976</v>
      </c>
      <c r="AD901" s="2"/>
      <c r="AE901">
        <f t="shared" si="137"/>
        <v>570349</v>
      </c>
      <c r="AF901">
        <f t="shared" si="138"/>
        <v>140086</v>
      </c>
      <c r="AH901" s="2">
        <f t="shared" si="139"/>
        <v>0.1971834157945484</v>
      </c>
      <c r="AI901" s="2"/>
      <c r="AJ901" s="2"/>
    </row>
    <row r="902" spans="2:36" x14ac:dyDescent="0.25">
      <c r="B902" s="1">
        <v>45699</v>
      </c>
      <c r="C902">
        <v>210539</v>
      </c>
      <c r="D902">
        <v>80235</v>
      </c>
      <c r="F902" s="2">
        <f t="shared" si="132"/>
        <v>0.27593595025690054</v>
      </c>
      <c r="I902">
        <v>198612</v>
      </c>
      <c r="J902">
        <v>76375</v>
      </c>
      <c r="L902" s="2">
        <f t="shared" si="133"/>
        <v>0.277740402273562</v>
      </c>
      <c r="N902">
        <v>367985</v>
      </c>
      <c r="O902">
        <v>82337</v>
      </c>
      <c r="Q902" s="2">
        <f t="shared" si="134"/>
        <v>0.18284027873388375</v>
      </c>
      <c r="T902">
        <v>366092</v>
      </c>
      <c r="U902">
        <v>76938</v>
      </c>
      <c r="W902" s="2">
        <f t="shared" si="135"/>
        <v>0.17366318308015258</v>
      </c>
      <c r="Z902">
        <f t="shared" si="130"/>
        <v>578524</v>
      </c>
      <c r="AA902">
        <f t="shared" si="131"/>
        <v>162572</v>
      </c>
      <c r="AC902" s="2">
        <f t="shared" si="136"/>
        <v>0.21936699159083303</v>
      </c>
      <c r="AD902" s="2"/>
      <c r="AE902">
        <f t="shared" si="137"/>
        <v>564704</v>
      </c>
      <c r="AF902">
        <f t="shared" si="138"/>
        <v>153313</v>
      </c>
      <c r="AH902" s="2">
        <f t="shared" si="139"/>
        <v>0.21352279959945239</v>
      </c>
      <c r="AI902" s="2"/>
      <c r="AJ902" s="2"/>
    </row>
    <row r="903" spans="2:36" x14ac:dyDescent="0.25">
      <c r="B903" s="1">
        <v>45706</v>
      </c>
      <c r="C903">
        <v>189761</v>
      </c>
      <c r="D903">
        <v>83869</v>
      </c>
      <c r="F903" s="2">
        <f t="shared" si="132"/>
        <v>0.30650513467090595</v>
      </c>
      <c r="I903">
        <v>185251</v>
      </c>
      <c r="J903">
        <v>81921</v>
      </c>
      <c r="L903" s="2">
        <f t="shared" si="133"/>
        <v>0.3066226999835312</v>
      </c>
      <c r="N903">
        <v>353631</v>
      </c>
      <c r="O903">
        <v>91945</v>
      </c>
      <c r="Q903" s="2">
        <f t="shared" si="134"/>
        <v>0.20635088065784513</v>
      </c>
      <c r="T903">
        <v>350683</v>
      </c>
      <c r="U903">
        <v>85460</v>
      </c>
      <c r="W903" s="2">
        <f t="shared" si="135"/>
        <v>0.19594490797742942</v>
      </c>
      <c r="Z903">
        <f t="shared" si="130"/>
        <v>543392</v>
      </c>
      <c r="AA903">
        <f t="shared" si="131"/>
        <v>175814</v>
      </c>
      <c r="AC903" s="2">
        <f t="shared" si="136"/>
        <v>0.24445569141525517</v>
      </c>
      <c r="AD903" s="2"/>
      <c r="AE903">
        <f t="shared" si="137"/>
        <v>535934</v>
      </c>
      <c r="AF903">
        <f t="shared" si="138"/>
        <v>167381</v>
      </c>
      <c r="AH903" s="2">
        <f t="shared" si="139"/>
        <v>0.23798866795106033</v>
      </c>
      <c r="AI903" s="2"/>
      <c r="AJ903" s="2"/>
    </row>
    <row r="904" spans="2:36" x14ac:dyDescent="0.25">
      <c r="B904" s="1">
        <v>45713</v>
      </c>
      <c r="C904">
        <v>177427</v>
      </c>
      <c r="D904">
        <v>108654</v>
      </c>
      <c r="F904" s="2">
        <f t="shared" si="132"/>
        <v>0.37980152474299239</v>
      </c>
      <c r="I904">
        <v>174842</v>
      </c>
      <c r="J904">
        <v>107264</v>
      </c>
      <c r="L904" s="2">
        <f t="shared" si="133"/>
        <v>0.38022587254436274</v>
      </c>
      <c r="N904">
        <v>312726</v>
      </c>
      <c r="O904">
        <v>95636</v>
      </c>
      <c r="Q904" s="2">
        <f t="shared" si="134"/>
        <v>0.23419417085820915</v>
      </c>
      <c r="T904">
        <v>311882</v>
      </c>
      <c r="U904">
        <v>91336</v>
      </c>
      <c r="W904" s="2">
        <f t="shared" si="135"/>
        <v>0.2265176653820018</v>
      </c>
      <c r="Z904">
        <f t="shared" si="130"/>
        <v>490153</v>
      </c>
      <c r="AA904">
        <f t="shared" si="131"/>
        <v>204290</v>
      </c>
      <c r="AC904" s="2">
        <f t="shared" si="136"/>
        <v>0.29417821189068072</v>
      </c>
      <c r="AD904" s="2"/>
      <c r="AE904">
        <f t="shared" si="137"/>
        <v>486724</v>
      </c>
      <c r="AF904">
        <f t="shared" si="138"/>
        <v>198600</v>
      </c>
      <c r="AH904" s="2">
        <f t="shared" si="139"/>
        <v>0.28978993877348524</v>
      </c>
      <c r="AI904" s="2"/>
      <c r="AJ904" s="2"/>
    </row>
    <row r="905" spans="2:36" x14ac:dyDescent="0.25">
      <c r="B905" s="1">
        <v>45720</v>
      </c>
      <c r="C905">
        <v>171447</v>
      </c>
      <c r="D905">
        <v>72798</v>
      </c>
      <c r="F905" s="2">
        <f t="shared" si="132"/>
        <v>0.29805318430264693</v>
      </c>
      <c r="I905">
        <v>172576</v>
      </c>
      <c r="J905">
        <v>68693</v>
      </c>
      <c r="L905" s="2">
        <f t="shared" si="133"/>
        <v>0.28471540065238388</v>
      </c>
      <c r="N905">
        <v>274204</v>
      </c>
      <c r="O905">
        <v>118959</v>
      </c>
      <c r="Q905" s="2">
        <f t="shared" si="134"/>
        <v>0.30256916342585644</v>
      </c>
      <c r="T905">
        <v>270299</v>
      </c>
      <c r="U905">
        <v>110874</v>
      </c>
      <c r="W905" s="2">
        <f t="shared" si="135"/>
        <v>0.2908757965543205</v>
      </c>
      <c r="Z905">
        <f t="shared" ref="Z905:Z968" si="140">IFERROR(+C905+N905,C905)</f>
        <v>445651</v>
      </c>
      <c r="AA905">
        <f t="shared" ref="AA905:AA968" si="141">IFERROR(+D905+O905,D905)</f>
        <v>191757</v>
      </c>
      <c r="AC905" s="2">
        <f t="shared" si="136"/>
        <v>0.30083870927255385</v>
      </c>
      <c r="AD905" s="2"/>
      <c r="AE905">
        <f t="shared" si="137"/>
        <v>442875</v>
      </c>
      <c r="AF905">
        <f t="shared" si="138"/>
        <v>179567</v>
      </c>
      <c r="AH905" s="2">
        <f t="shared" si="139"/>
        <v>0.28848792337278012</v>
      </c>
      <c r="AI905" s="2"/>
      <c r="AJ905" s="2"/>
    </row>
    <row r="906" spans="2:36" x14ac:dyDescent="0.25">
      <c r="B906" s="1">
        <v>45727</v>
      </c>
      <c r="C906">
        <v>171354</v>
      </c>
      <c r="D906">
        <v>63610</v>
      </c>
      <c r="F906" s="2">
        <f t="shared" ref="F906:F969" si="142">+D906/SUM(C906:D906)</f>
        <v>0.27072232341975794</v>
      </c>
      <c r="I906">
        <v>170181</v>
      </c>
      <c r="J906">
        <v>54419</v>
      </c>
      <c r="L906" s="2">
        <f t="shared" ref="L906:L969" si="143">+J906/SUM(I906:J906)</f>
        <v>0.24229296527159394</v>
      </c>
      <c r="N906">
        <v>248450</v>
      </c>
      <c r="O906">
        <v>102052</v>
      </c>
      <c r="Q906" s="2">
        <f t="shared" ref="Q906:Q969" si="144">+O906/SUM(N906:O906)</f>
        <v>0.2911595368927995</v>
      </c>
      <c r="T906">
        <v>247733</v>
      </c>
      <c r="U906">
        <v>94448</v>
      </c>
      <c r="W906" s="2">
        <f t="shared" ref="W906:W969" si="145">+U906/SUM(T906:U906)</f>
        <v>0.27601766316656973</v>
      </c>
      <c r="Z906">
        <f t="shared" si="140"/>
        <v>419804</v>
      </c>
      <c r="AA906">
        <f t="shared" si="141"/>
        <v>165662</v>
      </c>
      <c r="AC906" s="2">
        <f t="shared" ref="AC906:AC969" si="146">+AA906/SUM(Z906:AA906)</f>
        <v>0.28295750735311698</v>
      </c>
      <c r="AD906" s="2"/>
      <c r="AE906">
        <f t="shared" ref="AE906:AE969" si="147">IFERROR(+I906+T906,I906)</f>
        <v>417914</v>
      </c>
      <c r="AF906">
        <f t="shared" ref="AF906:AF969" si="148">IFERROR(+J906+U906,J906)</f>
        <v>148867</v>
      </c>
      <c r="AH906" s="2">
        <f t="shared" ref="AH906:AH969" si="149">+AF906/SUM(AE906:AF906)</f>
        <v>0.26265347638682313</v>
      </c>
      <c r="AI906" s="2"/>
      <c r="AJ906" s="2"/>
    </row>
    <row r="907" spans="2:36" x14ac:dyDescent="0.25">
      <c r="B907" s="1">
        <v>45734</v>
      </c>
      <c r="C907">
        <v>175659</v>
      </c>
      <c r="D907">
        <v>83396</v>
      </c>
      <c r="F907" s="2">
        <f t="shared" si="142"/>
        <v>0.32192391577078228</v>
      </c>
      <c r="I907">
        <v>175492</v>
      </c>
      <c r="J907">
        <v>78979</v>
      </c>
      <c r="L907" s="2">
        <f t="shared" si="143"/>
        <v>0.31036542474388046</v>
      </c>
      <c r="N907">
        <v>285552</v>
      </c>
      <c r="O907">
        <v>90848</v>
      </c>
      <c r="Q907" s="2">
        <f t="shared" si="144"/>
        <v>0.24136025504782146</v>
      </c>
      <c r="T907">
        <v>288134</v>
      </c>
      <c r="U907">
        <v>81996</v>
      </c>
      <c r="W907" s="2">
        <f t="shared" si="145"/>
        <v>0.22153297490071056</v>
      </c>
      <c r="Z907">
        <f t="shared" si="140"/>
        <v>461211</v>
      </c>
      <c r="AA907">
        <f t="shared" si="141"/>
        <v>174244</v>
      </c>
      <c r="AC907" s="2">
        <f t="shared" si="146"/>
        <v>0.27420352345956833</v>
      </c>
      <c r="AD907" s="2"/>
      <c r="AE907">
        <f t="shared" si="147"/>
        <v>463626</v>
      </c>
      <c r="AF907">
        <f t="shared" si="148"/>
        <v>160975</v>
      </c>
      <c r="AH907" s="2">
        <f t="shared" si="149"/>
        <v>0.25772453134080797</v>
      </c>
      <c r="AI907" s="2"/>
      <c r="AJ907" s="2"/>
    </row>
    <row r="908" spans="2:36" x14ac:dyDescent="0.25">
      <c r="B908" s="1">
        <v>45741</v>
      </c>
      <c r="C908">
        <v>181704</v>
      </c>
      <c r="D908">
        <v>88461</v>
      </c>
      <c r="F908" s="2">
        <f t="shared" si="142"/>
        <v>0.32743323524512796</v>
      </c>
      <c r="I908">
        <v>179513</v>
      </c>
      <c r="J908">
        <v>87669</v>
      </c>
      <c r="L908" s="2">
        <f t="shared" si="143"/>
        <v>0.32812464911558414</v>
      </c>
      <c r="N908">
        <v>335568</v>
      </c>
      <c r="O908">
        <v>85353</v>
      </c>
      <c r="Q908" s="2">
        <f t="shared" si="144"/>
        <v>0.20277676808712325</v>
      </c>
      <c r="T908">
        <v>342402</v>
      </c>
      <c r="U908">
        <v>80332</v>
      </c>
      <c r="W908" s="2">
        <f t="shared" si="145"/>
        <v>0.19002966404405608</v>
      </c>
      <c r="Z908">
        <f t="shared" si="140"/>
        <v>517272</v>
      </c>
      <c r="AA908">
        <f t="shared" si="141"/>
        <v>173814</v>
      </c>
      <c r="AC908" s="2">
        <f t="shared" si="146"/>
        <v>0.25150849532474973</v>
      </c>
      <c r="AD908" s="2"/>
      <c r="AE908">
        <f t="shared" si="147"/>
        <v>521915</v>
      </c>
      <c r="AF908">
        <f t="shared" si="148"/>
        <v>168001</v>
      </c>
      <c r="AH908" s="2">
        <f t="shared" si="149"/>
        <v>0.24350935476202901</v>
      </c>
      <c r="AI908" s="2"/>
      <c r="AJ908" s="2"/>
    </row>
    <row r="909" spans="2:36" x14ac:dyDescent="0.25">
      <c r="B909" s="1">
        <v>45748</v>
      </c>
      <c r="C909">
        <v>188212</v>
      </c>
      <c r="D909">
        <v>86795</v>
      </c>
      <c r="F909" s="2">
        <f t="shared" si="142"/>
        <v>0.31561014810532095</v>
      </c>
      <c r="I909">
        <v>181188</v>
      </c>
      <c r="J909">
        <v>86566</v>
      </c>
      <c r="L909" s="2">
        <f t="shared" si="143"/>
        <v>0.32330422701434897</v>
      </c>
      <c r="N909">
        <v>395683</v>
      </c>
      <c r="O909">
        <v>82955</v>
      </c>
      <c r="Q909" s="2">
        <f t="shared" si="144"/>
        <v>0.17331469711974393</v>
      </c>
      <c r="T909">
        <v>405112</v>
      </c>
      <c r="U909">
        <v>86930</v>
      </c>
      <c r="W909" s="2">
        <f t="shared" si="145"/>
        <v>0.17667191012149369</v>
      </c>
      <c r="Z909">
        <f t="shared" si="140"/>
        <v>583895</v>
      </c>
      <c r="AA909">
        <f t="shared" si="141"/>
        <v>169750</v>
      </c>
      <c r="AC909" s="2">
        <f t="shared" si="146"/>
        <v>0.22523867338070311</v>
      </c>
      <c r="AD909" s="2"/>
      <c r="AE909">
        <f t="shared" si="147"/>
        <v>586300</v>
      </c>
      <c r="AF909">
        <f t="shared" si="148"/>
        <v>173496</v>
      </c>
      <c r="AH909" s="2">
        <f t="shared" si="149"/>
        <v>0.22834550326666631</v>
      </c>
      <c r="AI909" s="2"/>
      <c r="AJ909" s="2"/>
    </row>
    <row r="910" spans="2:36" x14ac:dyDescent="0.25">
      <c r="B910" s="1">
        <v>45755</v>
      </c>
      <c r="C910">
        <v>155667</v>
      </c>
      <c r="D910">
        <v>107128</v>
      </c>
      <c r="F910" s="2">
        <f t="shared" si="142"/>
        <v>0.40764854734679123</v>
      </c>
      <c r="I910">
        <v>155096</v>
      </c>
      <c r="J910">
        <v>85633</v>
      </c>
      <c r="L910" s="2">
        <f t="shared" si="143"/>
        <v>0.35572365606138023</v>
      </c>
      <c r="N910">
        <v>262289</v>
      </c>
      <c r="O910">
        <v>111073</v>
      </c>
      <c r="Q910" s="2">
        <f t="shared" si="144"/>
        <v>0.29749412098713851</v>
      </c>
      <c r="T910">
        <v>261491</v>
      </c>
      <c r="U910">
        <v>105653</v>
      </c>
      <c r="W910" s="2">
        <f t="shared" si="145"/>
        <v>0.28776992133876628</v>
      </c>
      <c r="Z910">
        <f t="shared" si="140"/>
        <v>417956</v>
      </c>
      <c r="AA910">
        <f t="shared" si="141"/>
        <v>218201</v>
      </c>
      <c r="AC910" s="2">
        <f t="shared" si="146"/>
        <v>0.34299866227990888</v>
      </c>
      <c r="AD910" s="2"/>
      <c r="AE910">
        <f t="shared" si="147"/>
        <v>416587</v>
      </c>
      <c r="AF910">
        <f t="shared" si="148"/>
        <v>191286</v>
      </c>
      <c r="AH910" s="2">
        <f t="shared" si="149"/>
        <v>0.31468086261439476</v>
      </c>
      <c r="AI910" s="2"/>
      <c r="AJ910" s="2"/>
    </row>
    <row r="911" spans="2:36" x14ac:dyDescent="0.25">
      <c r="B911" s="1">
        <v>45762</v>
      </c>
      <c r="C911">
        <v>179562</v>
      </c>
      <c r="D911">
        <v>99649</v>
      </c>
      <c r="F911" s="2">
        <f t="shared" si="142"/>
        <v>0.35689496473992788</v>
      </c>
      <c r="I911">
        <v>180850</v>
      </c>
      <c r="J911">
        <v>69651</v>
      </c>
      <c r="L911" s="2">
        <f t="shared" si="143"/>
        <v>0.27804679422437434</v>
      </c>
      <c r="N911">
        <v>211379</v>
      </c>
      <c r="O911">
        <v>123321</v>
      </c>
      <c r="Q911" s="2">
        <f t="shared" si="144"/>
        <v>0.36845234538392591</v>
      </c>
      <c r="T911">
        <v>211483</v>
      </c>
      <c r="U911">
        <v>112532</v>
      </c>
      <c r="W911" s="2">
        <f t="shared" si="145"/>
        <v>0.34730490872336156</v>
      </c>
      <c r="Z911">
        <f t="shared" si="140"/>
        <v>390941</v>
      </c>
      <c r="AA911">
        <f t="shared" si="141"/>
        <v>222970</v>
      </c>
      <c r="AC911" s="2">
        <f t="shared" si="146"/>
        <v>0.36319596814521976</v>
      </c>
      <c r="AD911" s="2"/>
      <c r="AE911">
        <f t="shared" si="147"/>
        <v>392333</v>
      </c>
      <c r="AF911">
        <f t="shared" si="148"/>
        <v>182183</v>
      </c>
      <c r="AH911" s="2">
        <f t="shared" si="149"/>
        <v>0.31710692130419343</v>
      </c>
      <c r="AI911" s="2"/>
      <c r="AJ911" s="2"/>
    </row>
    <row r="912" spans="2:36" x14ac:dyDescent="0.25">
      <c r="B912" s="1">
        <v>45769</v>
      </c>
      <c r="C912">
        <v>195213</v>
      </c>
      <c r="D912">
        <v>63478</v>
      </c>
      <c r="F912" s="2">
        <f t="shared" si="142"/>
        <v>0.24538155560108391</v>
      </c>
      <c r="I912">
        <v>196684</v>
      </c>
      <c r="J912">
        <v>49353</v>
      </c>
      <c r="L912" s="2">
        <f t="shared" si="143"/>
        <v>0.20059178091100119</v>
      </c>
      <c r="N912">
        <v>217413</v>
      </c>
      <c r="O912">
        <v>104611</v>
      </c>
      <c r="Q912" s="2">
        <f t="shared" si="144"/>
        <v>0.32485466921720119</v>
      </c>
      <c r="T912">
        <v>217277</v>
      </c>
      <c r="U912">
        <v>88894</v>
      </c>
      <c r="W912" s="2">
        <f t="shared" si="145"/>
        <v>0.29034101858111971</v>
      </c>
      <c r="Z912">
        <f t="shared" si="140"/>
        <v>412626</v>
      </c>
      <c r="AA912">
        <f t="shared" si="141"/>
        <v>168089</v>
      </c>
      <c r="AC912" s="2">
        <f t="shared" si="146"/>
        <v>0.28945179649225522</v>
      </c>
      <c r="AD912" s="2"/>
      <c r="AE912">
        <f t="shared" si="147"/>
        <v>413961</v>
      </c>
      <c r="AF912">
        <f t="shared" si="148"/>
        <v>138247</v>
      </c>
      <c r="AH912" s="2">
        <f t="shared" si="149"/>
        <v>0.25035312780691332</v>
      </c>
      <c r="AI912" s="2"/>
      <c r="AJ912" s="2"/>
    </row>
    <row r="913" spans="2:36" x14ac:dyDescent="0.25">
      <c r="B913" s="1">
        <v>45776</v>
      </c>
      <c r="C913">
        <v>200874</v>
      </c>
      <c r="D913">
        <v>60843</v>
      </c>
      <c r="F913" s="2">
        <f t="shared" si="142"/>
        <v>0.23247630073705566</v>
      </c>
      <c r="I913">
        <v>201427</v>
      </c>
      <c r="J913">
        <v>47395</v>
      </c>
      <c r="L913" s="2">
        <f t="shared" si="143"/>
        <v>0.19047753012193455</v>
      </c>
      <c r="N913">
        <v>208177</v>
      </c>
      <c r="O913">
        <v>101455</v>
      </c>
      <c r="Q913" s="2">
        <f t="shared" si="144"/>
        <v>0.32766316143034313</v>
      </c>
      <c r="T913">
        <v>214062</v>
      </c>
      <c r="U913">
        <v>104121</v>
      </c>
      <c r="W913" s="2">
        <f t="shared" si="145"/>
        <v>0.32723621312263695</v>
      </c>
      <c r="Z913">
        <f t="shared" si="140"/>
        <v>409051</v>
      </c>
      <c r="AA913">
        <f t="shared" si="141"/>
        <v>162298</v>
      </c>
      <c r="AC913" s="2">
        <f t="shared" si="146"/>
        <v>0.28406105550197863</v>
      </c>
      <c r="AD913" s="2"/>
      <c r="AE913">
        <f t="shared" si="147"/>
        <v>415489</v>
      </c>
      <c r="AF913">
        <f t="shared" si="148"/>
        <v>151516</v>
      </c>
      <c r="AH913" s="2">
        <f t="shared" si="149"/>
        <v>0.26722162943889383</v>
      </c>
      <c r="AI913" s="2"/>
      <c r="AJ913" s="2"/>
    </row>
    <row r="914" spans="2:36" x14ac:dyDescent="0.25">
      <c r="B914" s="1">
        <v>45783</v>
      </c>
      <c r="C914">
        <v>208513</v>
      </c>
      <c r="D914">
        <v>79938</v>
      </c>
      <c r="F914" s="2">
        <f t="shared" si="142"/>
        <v>0.27712852442875913</v>
      </c>
      <c r="I914">
        <v>210025</v>
      </c>
      <c r="J914">
        <v>66087</v>
      </c>
      <c r="L914" s="2">
        <f t="shared" si="143"/>
        <v>0.23934852523613606</v>
      </c>
      <c r="N914">
        <v>207453</v>
      </c>
      <c r="O914">
        <v>111297</v>
      </c>
      <c r="Q914" s="2">
        <f t="shared" si="144"/>
        <v>0.34916705882352939</v>
      </c>
      <c r="T914">
        <v>210566</v>
      </c>
      <c r="U914">
        <v>113008</v>
      </c>
      <c r="W914" s="2">
        <f t="shared" si="145"/>
        <v>0.34924932163894501</v>
      </c>
      <c r="Z914">
        <f t="shared" si="140"/>
        <v>415966</v>
      </c>
      <c r="AA914">
        <f t="shared" si="141"/>
        <v>191235</v>
      </c>
      <c r="AC914" s="2">
        <f t="shared" si="146"/>
        <v>0.31494513348956937</v>
      </c>
      <c r="AD914" s="2"/>
      <c r="AE914">
        <f t="shared" si="147"/>
        <v>420591</v>
      </c>
      <c r="AF914">
        <f t="shared" si="148"/>
        <v>179095</v>
      </c>
      <c r="AH914" s="2">
        <f t="shared" si="149"/>
        <v>0.29864795909859493</v>
      </c>
      <c r="AI914" s="2"/>
      <c r="AJ914" s="2"/>
    </row>
    <row r="915" spans="2:36" x14ac:dyDescent="0.25">
      <c r="B915" s="1">
        <v>45790</v>
      </c>
      <c r="C915">
        <v>191026</v>
      </c>
      <c r="D915">
        <v>72930</v>
      </c>
      <c r="F915" s="2">
        <f t="shared" si="142"/>
        <v>0.27629604934155694</v>
      </c>
      <c r="I915">
        <v>199019</v>
      </c>
      <c r="J915">
        <v>59731</v>
      </c>
      <c r="L915" s="2">
        <f t="shared" si="143"/>
        <v>0.23084444444444444</v>
      </c>
      <c r="N915">
        <v>253950</v>
      </c>
      <c r="O915">
        <v>108577</v>
      </c>
      <c r="Q915" s="2">
        <f t="shared" si="144"/>
        <v>0.29950045100089095</v>
      </c>
      <c r="T915">
        <v>254534</v>
      </c>
      <c r="U915">
        <v>103390</v>
      </c>
      <c r="W915" s="2">
        <f t="shared" si="145"/>
        <v>0.2888602049597121</v>
      </c>
      <c r="Z915">
        <f t="shared" si="140"/>
        <v>444976</v>
      </c>
      <c r="AA915">
        <f t="shared" si="141"/>
        <v>181507</v>
      </c>
      <c r="AC915" s="2">
        <f t="shared" si="146"/>
        <v>0.28972374350141983</v>
      </c>
      <c r="AD915" s="2"/>
      <c r="AE915">
        <f t="shared" si="147"/>
        <v>453553</v>
      </c>
      <c r="AF915">
        <f t="shared" si="148"/>
        <v>163121</v>
      </c>
      <c r="AH915" s="2">
        <f t="shared" si="149"/>
        <v>0.26451739492827653</v>
      </c>
      <c r="AI915" s="2"/>
      <c r="AJ915" s="2"/>
    </row>
    <row r="916" spans="2:36" x14ac:dyDescent="0.25">
      <c r="B916" s="1">
        <v>45797</v>
      </c>
      <c r="C916">
        <v>187115</v>
      </c>
      <c r="D916">
        <v>75236</v>
      </c>
      <c r="F916" s="2">
        <f t="shared" si="142"/>
        <v>0.28677611291742744</v>
      </c>
      <c r="I916">
        <v>192351</v>
      </c>
      <c r="J916">
        <v>63485</v>
      </c>
      <c r="L916" s="2">
        <f t="shared" si="143"/>
        <v>0.24814725058240436</v>
      </c>
      <c r="N916">
        <v>272356</v>
      </c>
      <c r="O916">
        <v>119574</v>
      </c>
      <c r="Q916" s="2">
        <f t="shared" si="144"/>
        <v>0.305090194677621</v>
      </c>
      <c r="T916">
        <v>276426</v>
      </c>
      <c r="U916">
        <v>113097</v>
      </c>
      <c r="W916" s="2">
        <f t="shared" si="145"/>
        <v>0.29034742492741122</v>
      </c>
      <c r="Z916">
        <f t="shared" si="140"/>
        <v>459471</v>
      </c>
      <c r="AA916">
        <f t="shared" si="141"/>
        <v>194810</v>
      </c>
      <c r="AC916" s="2">
        <f t="shared" si="146"/>
        <v>0.29774668682110594</v>
      </c>
      <c r="AD916" s="2"/>
      <c r="AE916">
        <f t="shared" si="147"/>
        <v>468777</v>
      </c>
      <c r="AF916">
        <f t="shared" si="148"/>
        <v>176582</v>
      </c>
      <c r="AH916" s="2">
        <f t="shared" si="149"/>
        <v>0.2736182496873833</v>
      </c>
      <c r="AI916" s="2"/>
      <c r="AJ916" s="2"/>
    </row>
    <row r="917" spans="2:36" x14ac:dyDescent="0.25">
      <c r="B917" s="1">
        <v>45804</v>
      </c>
      <c r="C917">
        <v>181394</v>
      </c>
      <c r="D917">
        <v>77447</v>
      </c>
      <c r="F917" s="2">
        <f t="shared" si="142"/>
        <v>0.29920684899223848</v>
      </c>
      <c r="I917">
        <v>186554</v>
      </c>
      <c r="J917">
        <v>65972</v>
      </c>
      <c r="L917" s="2">
        <f t="shared" si="143"/>
        <v>0.26124834670489377</v>
      </c>
      <c r="N917">
        <v>283055</v>
      </c>
      <c r="O917">
        <v>135224</v>
      </c>
      <c r="Q917" s="2">
        <f t="shared" si="144"/>
        <v>0.32328661013342769</v>
      </c>
      <c r="T917">
        <v>288969</v>
      </c>
      <c r="U917">
        <v>130019</v>
      </c>
      <c r="W917" s="2">
        <f t="shared" si="145"/>
        <v>0.31031676324858948</v>
      </c>
      <c r="Z917">
        <f t="shared" si="140"/>
        <v>464449</v>
      </c>
      <c r="AA917">
        <f t="shared" si="141"/>
        <v>212671</v>
      </c>
      <c r="AC917" s="2">
        <f t="shared" si="146"/>
        <v>0.31408169896030247</v>
      </c>
      <c r="AD917" s="2"/>
      <c r="AE917">
        <f t="shared" si="147"/>
        <v>475523</v>
      </c>
      <c r="AF917">
        <f t="shared" si="148"/>
        <v>195991</v>
      </c>
      <c r="AH917" s="2">
        <f t="shared" si="149"/>
        <v>0.29186435428002988</v>
      </c>
      <c r="AI917" s="2"/>
      <c r="AJ917" s="2"/>
    </row>
    <row r="918" spans="2:36" x14ac:dyDescent="0.25">
      <c r="B918" s="1">
        <v>45811</v>
      </c>
      <c r="C918">
        <v>207243</v>
      </c>
      <c r="D918">
        <v>62612</v>
      </c>
      <c r="F918" s="2">
        <f t="shared" si="142"/>
        <v>0.23202090011302365</v>
      </c>
      <c r="I918">
        <v>217624</v>
      </c>
      <c r="J918">
        <v>54546</v>
      </c>
      <c r="L918" s="2">
        <f t="shared" si="143"/>
        <v>0.2004115075136863</v>
      </c>
      <c r="N918">
        <v>298331</v>
      </c>
      <c r="O918">
        <v>142812</v>
      </c>
      <c r="Q918" s="2">
        <f t="shared" si="144"/>
        <v>0.32373176044955942</v>
      </c>
      <c r="T918">
        <v>299782</v>
      </c>
      <c r="U918">
        <v>132019</v>
      </c>
      <c r="W918" s="2">
        <f t="shared" si="145"/>
        <v>0.30574037577495189</v>
      </c>
      <c r="Z918">
        <f t="shared" si="140"/>
        <v>505574</v>
      </c>
      <c r="AA918">
        <f t="shared" si="141"/>
        <v>205424</v>
      </c>
      <c r="AC918" s="2">
        <f t="shared" si="146"/>
        <v>0.28892345688736115</v>
      </c>
      <c r="AD918" s="2"/>
      <c r="AE918">
        <f t="shared" si="147"/>
        <v>517406</v>
      </c>
      <c r="AF918">
        <f t="shared" si="148"/>
        <v>186565</v>
      </c>
      <c r="AH918" s="2">
        <f t="shared" si="149"/>
        <v>0.26501801920817764</v>
      </c>
      <c r="AI918" s="2"/>
      <c r="AJ918" s="2"/>
    </row>
    <row r="919" spans="2:36" x14ac:dyDescent="0.25">
      <c r="B919" s="1">
        <v>45818</v>
      </c>
      <c r="C919">
        <v>213624</v>
      </c>
      <c r="D919">
        <v>52047</v>
      </c>
      <c r="F919" s="2">
        <f t="shared" si="142"/>
        <v>0.19590772045123481</v>
      </c>
      <c r="I919">
        <v>222139</v>
      </c>
      <c r="J919">
        <v>43005</v>
      </c>
      <c r="L919" s="2">
        <f t="shared" si="143"/>
        <v>0.16219488278067767</v>
      </c>
      <c r="N919">
        <v>316762</v>
      </c>
      <c r="O919">
        <v>134322</v>
      </c>
      <c r="Q919" s="2">
        <f t="shared" si="144"/>
        <v>0.29777602397779573</v>
      </c>
      <c r="T919">
        <v>316473</v>
      </c>
      <c r="U919">
        <v>119551</v>
      </c>
      <c r="W919" s="2">
        <f t="shared" si="145"/>
        <v>0.27418444856246443</v>
      </c>
      <c r="Z919">
        <f t="shared" si="140"/>
        <v>530386</v>
      </c>
      <c r="AA919">
        <f t="shared" si="141"/>
        <v>186369</v>
      </c>
      <c r="AC919" s="2">
        <f t="shared" si="146"/>
        <v>0.26001771874629404</v>
      </c>
      <c r="AD919" s="2"/>
      <c r="AE919">
        <f t="shared" si="147"/>
        <v>538612</v>
      </c>
      <c r="AF919">
        <f t="shared" si="148"/>
        <v>162556</v>
      </c>
      <c r="AH919" s="2">
        <f t="shared" si="149"/>
        <v>0.23183602218013372</v>
      </c>
      <c r="AI919" s="2"/>
      <c r="AJ919" s="2"/>
    </row>
    <row r="920" spans="2:36" x14ac:dyDescent="0.25">
      <c r="B920" s="1">
        <v>45825</v>
      </c>
      <c r="C920">
        <v>212225</v>
      </c>
      <c r="D920">
        <v>41620</v>
      </c>
      <c r="F920" s="2">
        <f t="shared" si="142"/>
        <v>0.16395832102267133</v>
      </c>
      <c r="I920">
        <v>217921</v>
      </c>
      <c r="J920">
        <v>41665</v>
      </c>
      <c r="L920" s="2">
        <f t="shared" si="143"/>
        <v>0.16050557426055334</v>
      </c>
      <c r="N920">
        <v>324592</v>
      </c>
      <c r="O920">
        <v>107928</v>
      </c>
      <c r="Q920" s="2">
        <f t="shared" si="144"/>
        <v>0.24953296957366133</v>
      </c>
      <c r="T920">
        <v>352280</v>
      </c>
      <c r="U920">
        <v>79105</v>
      </c>
      <c r="W920" s="2">
        <f t="shared" si="145"/>
        <v>0.18337447987296732</v>
      </c>
      <c r="Z920">
        <f t="shared" si="140"/>
        <v>536817</v>
      </c>
      <c r="AA920">
        <f t="shared" si="141"/>
        <v>149548</v>
      </c>
      <c r="AC920" s="2">
        <f t="shared" si="146"/>
        <v>0.21788407042899915</v>
      </c>
      <c r="AD920" s="2"/>
      <c r="AE920">
        <f t="shared" si="147"/>
        <v>570201</v>
      </c>
      <c r="AF920">
        <f t="shared" si="148"/>
        <v>120770</v>
      </c>
      <c r="AH920" s="2">
        <f t="shared" si="149"/>
        <v>0.1747830227317789</v>
      </c>
      <c r="AI920" s="2"/>
      <c r="AJ920" s="2"/>
    </row>
    <row r="921" spans="2:36" x14ac:dyDescent="0.25">
      <c r="B921" s="1">
        <v>45832</v>
      </c>
      <c r="C921">
        <v>208829</v>
      </c>
      <c r="D921">
        <v>47342</v>
      </c>
      <c r="F921" s="2">
        <f t="shared" si="142"/>
        <v>0.1848062427050681</v>
      </c>
      <c r="I921">
        <v>208038</v>
      </c>
      <c r="J921">
        <v>43479</v>
      </c>
      <c r="L921" s="2">
        <f t="shared" si="143"/>
        <v>0.17286704278438436</v>
      </c>
      <c r="N921">
        <v>317404</v>
      </c>
      <c r="O921">
        <v>126897</v>
      </c>
      <c r="Q921" s="2">
        <f t="shared" si="144"/>
        <v>0.28561043076652992</v>
      </c>
      <c r="T921">
        <v>307446</v>
      </c>
      <c r="U921">
        <v>114848</v>
      </c>
      <c r="W921" s="2">
        <f t="shared" si="145"/>
        <v>0.27196218748075984</v>
      </c>
      <c r="Z921">
        <f t="shared" si="140"/>
        <v>526233</v>
      </c>
      <c r="AA921">
        <f t="shared" si="141"/>
        <v>174239</v>
      </c>
      <c r="AC921" s="2">
        <f t="shared" si="146"/>
        <v>0.24874513185394992</v>
      </c>
      <c r="AD921" s="2"/>
      <c r="AE921">
        <f t="shared" si="147"/>
        <v>515484</v>
      </c>
      <c r="AF921">
        <f t="shared" si="148"/>
        <v>158327</v>
      </c>
      <c r="AH921" s="2">
        <f t="shared" si="149"/>
        <v>0.23497241808162822</v>
      </c>
      <c r="AI921" s="2"/>
      <c r="AJ921" s="2"/>
    </row>
    <row r="922" spans="2:36" x14ac:dyDescent="0.25">
      <c r="B922" s="1">
        <v>45839</v>
      </c>
      <c r="C922">
        <v>219361</v>
      </c>
      <c r="D922">
        <v>44728</v>
      </c>
      <c r="F922" s="2">
        <f t="shared" si="142"/>
        <v>0.16936714516697021</v>
      </c>
      <c r="I922">
        <v>220569</v>
      </c>
      <c r="J922">
        <v>42469</v>
      </c>
      <c r="L922" s="2">
        <f t="shared" si="143"/>
        <v>0.16145575924391153</v>
      </c>
      <c r="N922">
        <v>291256</v>
      </c>
      <c r="O922">
        <v>124746</v>
      </c>
      <c r="Q922" s="2">
        <f t="shared" si="144"/>
        <v>0.2998687506310066</v>
      </c>
      <c r="T922">
        <v>287751</v>
      </c>
      <c r="U922">
        <v>121034</v>
      </c>
      <c r="W922" s="2">
        <f t="shared" si="145"/>
        <v>0.29608229264772434</v>
      </c>
      <c r="Z922">
        <f t="shared" si="140"/>
        <v>510617</v>
      </c>
      <c r="AA922">
        <f t="shared" si="141"/>
        <v>169474</v>
      </c>
      <c r="AC922" s="2">
        <f t="shared" si="146"/>
        <v>0.24919312268505245</v>
      </c>
      <c r="AD922" s="2"/>
      <c r="AE922">
        <f t="shared" si="147"/>
        <v>508320</v>
      </c>
      <c r="AF922">
        <f t="shared" si="148"/>
        <v>163503</v>
      </c>
      <c r="AH922" s="2">
        <f t="shared" si="149"/>
        <v>0.24337213819711442</v>
      </c>
      <c r="AI922" s="2"/>
      <c r="AJ922" s="2"/>
    </row>
    <row r="923" spans="2:36" x14ac:dyDescent="0.25">
      <c r="B923" s="1">
        <v>45846</v>
      </c>
      <c r="C923">
        <v>196448</v>
      </c>
      <c r="D923">
        <v>50751</v>
      </c>
      <c r="F923" s="2">
        <f t="shared" si="142"/>
        <v>0.20530422857697644</v>
      </c>
      <c r="I923">
        <v>197267</v>
      </c>
      <c r="J923">
        <v>49161</v>
      </c>
      <c r="L923" s="2">
        <f t="shared" si="143"/>
        <v>0.19949437563913192</v>
      </c>
      <c r="N923">
        <v>331815</v>
      </c>
      <c r="O923">
        <v>113983</v>
      </c>
      <c r="Q923" s="2">
        <f t="shared" si="144"/>
        <v>0.2556830672187852</v>
      </c>
      <c r="T923">
        <v>328875</v>
      </c>
      <c r="U923">
        <v>106528</v>
      </c>
      <c r="W923" s="2">
        <f t="shared" si="145"/>
        <v>0.24466528710183438</v>
      </c>
      <c r="Z923">
        <f t="shared" si="140"/>
        <v>528263</v>
      </c>
      <c r="AA923">
        <f t="shared" si="141"/>
        <v>164734</v>
      </c>
      <c r="AC923" s="2">
        <f t="shared" si="146"/>
        <v>0.23771242876953291</v>
      </c>
      <c r="AD923" s="2"/>
      <c r="AE923">
        <f t="shared" si="147"/>
        <v>526142</v>
      </c>
      <c r="AF923">
        <f t="shared" si="148"/>
        <v>155689</v>
      </c>
      <c r="AH923" s="2">
        <f t="shared" si="149"/>
        <v>0.22833957388267767</v>
      </c>
      <c r="AI923" s="2"/>
      <c r="AJ923" s="2"/>
    </row>
    <row r="924" spans="2:36" x14ac:dyDescent="0.25">
      <c r="B924" s="1">
        <v>45853</v>
      </c>
      <c r="C924">
        <v>163283</v>
      </c>
      <c r="D924">
        <v>71514</v>
      </c>
      <c r="F924" s="2">
        <f t="shared" si="142"/>
        <v>0.3045779971635072</v>
      </c>
      <c r="I924">
        <v>166271</v>
      </c>
      <c r="J924">
        <v>70165</v>
      </c>
      <c r="L924" s="2">
        <f t="shared" si="143"/>
        <v>0.29676106853440254</v>
      </c>
      <c r="N924">
        <v>349385</v>
      </c>
      <c r="O924">
        <v>110564</v>
      </c>
      <c r="Q924" s="2">
        <f t="shared" si="144"/>
        <v>0.24038317291699732</v>
      </c>
      <c r="T924">
        <v>344175</v>
      </c>
      <c r="U924">
        <v>105430</v>
      </c>
      <c r="W924" s="2">
        <f t="shared" si="145"/>
        <v>0.2344947231458725</v>
      </c>
      <c r="Z924">
        <f t="shared" si="140"/>
        <v>512668</v>
      </c>
      <c r="AA924">
        <f t="shared" si="141"/>
        <v>182078</v>
      </c>
      <c r="AC924" s="2">
        <f t="shared" si="146"/>
        <v>0.26207851502563528</v>
      </c>
      <c r="AD924" s="2"/>
      <c r="AE924">
        <f t="shared" si="147"/>
        <v>510446</v>
      </c>
      <c r="AF924">
        <f t="shared" si="148"/>
        <v>175595</v>
      </c>
      <c r="AH924" s="2">
        <f t="shared" si="149"/>
        <v>0.25595409020743659</v>
      </c>
      <c r="AI924" s="2"/>
      <c r="AJ924" s="2"/>
    </row>
    <row r="925" spans="2:36" x14ac:dyDescent="0.25">
      <c r="B925" s="1">
        <v>45860</v>
      </c>
      <c r="C925">
        <v>174213</v>
      </c>
      <c r="D925">
        <v>75976</v>
      </c>
      <c r="F925" s="2">
        <f t="shared" si="142"/>
        <v>0.30367442213686452</v>
      </c>
      <c r="I925">
        <v>163687</v>
      </c>
      <c r="J925">
        <v>77599</v>
      </c>
      <c r="L925" s="2">
        <f t="shared" si="143"/>
        <v>0.32160589507886905</v>
      </c>
      <c r="N925">
        <v>335685</v>
      </c>
      <c r="O925">
        <v>108440</v>
      </c>
      <c r="Q925" s="2">
        <f t="shared" si="144"/>
        <v>0.24416549394877568</v>
      </c>
      <c r="T925">
        <v>331405</v>
      </c>
      <c r="U925">
        <v>104012</v>
      </c>
      <c r="W925" s="2">
        <f t="shared" si="145"/>
        <v>0.23887905157584569</v>
      </c>
      <c r="Z925">
        <f t="shared" si="140"/>
        <v>509898</v>
      </c>
      <c r="AA925">
        <f t="shared" si="141"/>
        <v>184416</v>
      </c>
      <c r="AC925" s="2">
        <f t="shared" si="146"/>
        <v>0.26560893198178348</v>
      </c>
      <c r="AD925" s="2"/>
      <c r="AE925">
        <f t="shared" si="147"/>
        <v>495092</v>
      </c>
      <c r="AF925">
        <f t="shared" si="148"/>
        <v>181611</v>
      </c>
      <c r="AH925" s="2">
        <f t="shared" si="149"/>
        <v>0.26837623004479072</v>
      </c>
      <c r="AI925" s="2"/>
      <c r="AJ925" s="2"/>
    </row>
    <row r="926" spans="2:36" x14ac:dyDescent="0.25">
      <c r="B926" s="1">
        <v>45867</v>
      </c>
      <c r="C926">
        <v>177357</v>
      </c>
      <c r="D926">
        <v>79970</v>
      </c>
      <c r="F926" s="2">
        <f t="shared" si="142"/>
        <v>0.31077189723581278</v>
      </c>
      <c r="I926">
        <v>169304</v>
      </c>
      <c r="J926">
        <v>81464</v>
      </c>
      <c r="L926" s="2">
        <f t="shared" si="143"/>
        <v>0.32485803611306069</v>
      </c>
      <c r="N926">
        <v>348865</v>
      </c>
      <c r="O926">
        <v>98892</v>
      </c>
      <c r="Q926" s="2">
        <f t="shared" si="144"/>
        <v>0.22086086873013711</v>
      </c>
      <c r="T926">
        <v>347492</v>
      </c>
      <c r="U926">
        <v>86140</v>
      </c>
      <c r="W926" s="2">
        <f t="shared" si="145"/>
        <v>0.19864770127665854</v>
      </c>
      <c r="Z926">
        <f t="shared" si="140"/>
        <v>526222</v>
      </c>
      <c r="AA926">
        <f t="shared" si="141"/>
        <v>178862</v>
      </c>
      <c r="AC926" s="2">
        <f t="shared" si="146"/>
        <v>0.25367473946366675</v>
      </c>
      <c r="AD926" s="2"/>
      <c r="AE926">
        <f t="shared" si="147"/>
        <v>516796</v>
      </c>
      <c r="AF926">
        <f t="shared" si="148"/>
        <v>167604</v>
      </c>
      <c r="AH926" s="2">
        <f t="shared" si="149"/>
        <v>0.24489187609585039</v>
      </c>
      <c r="AI926" s="2"/>
      <c r="AJ926" s="2"/>
    </row>
    <row r="927" spans="2:36" x14ac:dyDescent="0.25">
      <c r="B927" s="1">
        <v>45874</v>
      </c>
      <c r="C927">
        <v>164194</v>
      </c>
      <c r="D927">
        <v>82857</v>
      </c>
      <c r="F927" s="2">
        <f t="shared" si="142"/>
        <v>0.33538419192798247</v>
      </c>
      <c r="I927">
        <v>158016</v>
      </c>
      <c r="J927">
        <v>79190</v>
      </c>
      <c r="L927" s="2">
        <f t="shared" si="143"/>
        <v>0.33384484372233419</v>
      </c>
      <c r="N927">
        <v>325181</v>
      </c>
      <c r="O927">
        <v>94767</v>
      </c>
      <c r="Q927" s="2">
        <f t="shared" si="144"/>
        <v>0.22566365359520701</v>
      </c>
      <c r="T927">
        <v>329552</v>
      </c>
      <c r="U927">
        <v>88575</v>
      </c>
      <c r="W927" s="2">
        <f t="shared" si="145"/>
        <v>0.21183755174863139</v>
      </c>
      <c r="Z927">
        <f t="shared" si="140"/>
        <v>489375</v>
      </c>
      <c r="AA927">
        <f t="shared" si="141"/>
        <v>177624</v>
      </c>
      <c r="AC927" s="2">
        <f t="shared" si="146"/>
        <v>0.26630324783095627</v>
      </c>
      <c r="AD927" s="2"/>
      <c r="AE927">
        <f t="shared" si="147"/>
        <v>487568</v>
      </c>
      <c r="AF927">
        <f t="shared" si="148"/>
        <v>167765</v>
      </c>
      <c r="AH927" s="2">
        <f t="shared" si="149"/>
        <v>0.25599962156644029</v>
      </c>
      <c r="AI927" s="2"/>
      <c r="AJ927" s="2"/>
    </row>
    <row r="928" spans="2:36" x14ac:dyDescent="0.25">
      <c r="B928" s="1">
        <v>45881</v>
      </c>
      <c r="C928">
        <v>144004</v>
      </c>
      <c r="D928">
        <v>95139</v>
      </c>
      <c r="F928" s="2">
        <f t="shared" si="142"/>
        <v>0.39783309567915431</v>
      </c>
      <c r="I928">
        <v>138548</v>
      </c>
      <c r="J928">
        <v>89284</v>
      </c>
      <c r="L928" s="2">
        <f t="shared" si="143"/>
        <v>0.39188524877980269</v>
      </c>
      <c r="N928">
        <v>314728</v>
      </c>
      <c r="O928">
        <v>114908</v>
      </c>
      <c r="Q928" s="2">
        <f t="shared" si="144"/>
        <v>0.26745431016022864</v>
      </c>
      <c r="T928">
        <v>318869</v>
      </c>
      <c r="U928">
        <v>112322</v>
      </c>
      <c r="W928" s="2">
        <f t="shared" si="145"/>
        <v>0.26049244998156268</v>
      </c>
      <c r="Z928">
        <f t="shared" si="140"/>
        <v>458732</v>
      </c>
      <c r="AA928">
        <f t="shared" si="141"/>
        <v>210047</v>
      </c>
      <c r="AC928" s="2">
        <f t="shared" si="146"/>
        <v>0.31407535224640726</v>
      </c>
      <c r="AD928" s="2"/>
      <c r="AE928">
        <f t="shared" si="147"/>
        <v>457417</v>
      </c>
      <c r="AF928">
        <f t="shared" si="148"/>
        <v>201606</v>
      </c>
      <c r="AH928" s="2">
        <f t="shared" si="149"/>
        <v>0.30591648546408851</v>
      </c>
      <c r="AI928" s="2"/>
      <c r="AJ928" s="2"/>
    </row>
    <row r="929" spans="2:36" x14ac:dyDescent="0.25">
      <c r="B929" s="1">
        <v>45888</v>
      </c>
      <c r="C929">
        <v>143330</v>
      </c>
      <c r="D929">
        <v>115885</v>
      </c>
      <c r="F929" s="2">
        <f t="shared" si="142"/>
        <v>0.44706131975387225</v>
      </c>
      <c r="I929">
        <v>142112</v>
      </c>
      <c r="J929">
        <v>112426</v>
      </c>
      <c r="L929" s="2">
        <f t="shared" si="143"/>
        <v>0.44168650653340563</v>
      </c>
      <c r="N929">
        <v>293314</v>
      </c>
      <c r="O929">
        <v>116421</v>
      </c>
      <c r="Q929" s="2">
        <f t="shared" si="144"/>
        <v>0.28413730826021699</v>
      </c>
      <c r="T929">
        <v>298200</v>
      </c>
      <c r="U929">
        <v>115505</v>
      </c>
      <c r="W929" s="2">
        <f t="shared" si="145"/>
        <v>0.27919652892761748</v>
      </c>
      <c r="Z929">
        <f t="shared" si="140"/>
        <v>436644</v>
      </c>
      <c r="AA929">
        <f t="shared" si="141"/>
        <v>232306</v>
      </c>
      <c r="AC929" s="2">
        <f t="shared" si="146"/>
        <v>0.34726960161447046</v>
      </c>
      <c r="AD929" s="2"/>
      <c r="AE929">
        <f t="shared" si="147"/>
        <v>440312</v>
      </c>
      <c r="AF929">
        <f t="shared" si="148"/>
        <v>227931</v>
      </c>
      <c r="AH929" s="2">
        <f t="shared" si="149"/>
        <v>0.34108999271223195</v>
      </c>
      <c r="AI929" s="2"/>
      <c r="AJ929" s="2"/>
    </row>
    <row r="930" spans="2:36" x14ac:dyDescent="0.25">
      <c r="B930" s="1">
        <v>45895</v>
      </c>
      <c r="C930">
        <v>145935</v>
      </c>
      <c r="D930">
        <v>121314</v>
      </c>
      <c r="F930" s="2">
        <f t="shared" si="142"/>
        <v>0.45393621678659229</v>
      </c>
      <c r="I930">
        <v>142353</v>
      </c>
      <c r="J930">
        <v>118128</v>
      </c>
      <c r="L930" s="2">
        <f t="shared" si="143"/>
        <v>0.45349948748661129</v>
      </c>
      <c r="N930">
        <v>324583</v>
      </c>
      <c r="O930">
        <v>122437</v>
      </c>
      <c r="Q930" s="2">
        <f t="shared" si="144"/>
        <v>0.27389602254932666</v>
      </c>
      <c r="T930">
        <v>327310</v>
      </c>
      <c r="U930">
        <v>120767</v>
      </c>
      <c r="W930" s="2">
        <f t="shared" si="145"/>
        <v>0.26952287218491466</v>
      </c>
      <c r="Z930">
        <f t="shared" si="140"/>
        <v>470518</v>
      </c>
      <c r="AA930">
        <f t="shared" si="141"/>
        <v>243751</v>
      </c>
      <c r="AC930" s="2">
        <f t="shared" si="146"/>
        <v>0.34125938546961998</v>
      </c>
      <c r="AD930" s="2"/>
      <c r="AE930">
        <f t="shared" si="147"/>
        <v>469663</v>
      </c>
      <c r="AF930">
        <f t="shared" si="148"/>
        <v>238895</v>
      </c>
      <c r="AH930" s="2">
        <f t="shared" si="149"/>
        <v>0.3371565912741088</v>
      </c>
      <c r="AI930" s="2"/>
      <c r="AJ930" s="2"/>
    </row>
    <row r="931" spans="2:36" x14ac:dyDescent="0.25">
      <c r="B931" s="1">
        <v>45902</v>
      </c>
      <c r="C931">
        <v>143970</v>
      </c>
      <c r="D931">
        <v>116647</v>
      </c>
      <c r="F931" s="2">
        <f t="shared" si="142"/>
        <v>0.44758016553026087</v>
      </c>
      <c r="I931">
        <v>143021</v>
      </c>
      <c r="J931">
        <v>115734</v>
      </c>
      <c r="L931" s="2">
        <f t="shared" si="143"/>
        <v>0.44727251647311161</v>
      </c>
      <c r="N931">
        <v>356290</v>
      </c>
      <c r="O931">
        <v>115561</v>
      </c>
      <c r="Q931" s="2">
        <f t="shared" si="144"/>
        <v>0.24490993979031517</v>
      </c>
      <c r="T931">
        <v>359030</v>
      </c>
      <c r="U931">
        <v>107976</v>
      </c>
      <c r="W931" s="2">
        <f t="shared" si="145"/>
        <v>0.23120902086911088</v>
      </c>
      <c r="Z931">
        <f t="shared" si="140"/>
        <v>500260</v>
      </c>
      <c r="AA931">
        <f t="shared" si="141"/>
        <v>232208</v>
      </c>
      <c r="AC931" s="2">
        <f t="shared" si="146"/>
        <v>0.31702135792962971</v>
      </c>
      <c r="AD931" s="2"/>
      <c r="AE931">
        <f t="shared" si="147"/>
        <v>502051</v>
      </c>
      <c r="AF931">
        <f t="shared" si="148"/>
        <v>223710</v>
      </c>
      <c r="AH931" s="2">
        <f t="shared" si="149"/>
        <v>0.30824196946377663</v>
      </c>
      <c r="AI931" s="2"/>
      <c r="AJ931" s="2"/>
    </row>
    <row r="932" spans="2:36" x14ac:dyDescent="0.25">
      <c r="B932" s="1">
        <v>45909</v>
      </c>
      <c r="C932">
        <v>130574</v>
      </c>
      <c r="D932">
        <v>120572</v>
      </c>
      <c r="F932" s="2">
        <f t="shared" si="142"/>
        <v>0.4800872799088976</v>
      </c>
      <c r="I932">
        <v>132490</v>
      </c>
      <c r="J932">
        <v>119833</v>
      </c>
      <c r="L932" s="2">
        <f t="shared" si="143"/>
        <v>0.47491905216726182</v>
      </c>
      <c r="N932">
        <v>324851</v>
      </c>
      <c r="O932">
        <v>119076</v>
      </c>
      <c r="Q932" s="2">
        <f t="shared" si="144"/>
        <v>0.26823329060859108</v>
      </c>
      <c r="T932">
        <v>331395</v>
      </c>
      <c r="U932">
        <v>121817</v>
      </c>
      <c r="W932" s="2">
        <f t="shared" si="145"/>
        <v>0.26878591034659277</v>
      </c>
      <c r="Z932">
        <f t="shared" si="140"/>
        <v>455425</v>
      </c>
      <c r="AA932">
        <f t="shared" si="141"/>
        <v>239648</v>
      </c>
      <c r="AC932" s="2">
        <f t="shared" si="146"/>
        <v>0.34478105177441792</v>
      </c>
      <c r="AD932" s="2"/>
      <c r="AE932">
        <f t="shared" si="147"/>
        <v>463885</v>
      </c>
      <c r="AF932">
        <f t="shared" si="148"/>
        <v>241650</v>
      </c>
      <c r="AH932" s="2">
        <f t="shared" si="149"/>
        <v>0.34250604151459529</v>
      </c>
      <c r="AI932" s="2"/>
      <c r="AJ932" s="2"/>
    </row>
    <row r="933" spans="2:36" x14ac:dyDescent="0.25">
      <c r="B933" s="1">
        <v>45916</v>
      </c>
      <c r="C933">
        <v>138586</v>
      </c>
      <c r="D933">
        <v>101787</v>
      </c>
      <c r="F933" s="2">
        <f t="shared" si="142"/>
        <v>0.42345438131570518</v>
      </c>
      <c r="I933">
        <v>140085</v>
      </c>
      <c r="J933">
        <v>101181</v>
      </c>
      <c r="L933" s="2">
        <f t="shared" si="143"/>
        <v>0.41937529531720175</v>
      </c>
      <c r="N933">
        <v>333670</v>
      </c>
      <c r="O933">
        <v>113260</v>
      </c>
      <c r="Q933" s="2">
        <f t="shared" si="144"/>
        <v>0.25341776117065312</v>
      </c>
      <c r="T933">
        <v>338279</v>
      </c>
      <c r="U933">
        <v>106108</v>
      </c>
      <c r="W933" s="2">
        <f t="shared" si="145"/>
        <v>0.23877386152160165</v>
      </c>
      <c r="Z933">
        <f t="shared" si="140"/>
        <v>472256</v>
      </c>
      <c r="AA933">
        <f t="shared" si="141"/>
        <v>215047</v>
      </c>
      <c r="AC933" s="2">
        <f t="shared" si="146"/>
        <v>0.31288529222191669</v>
      </c>
      <c r="AD933" s="2"/>
      <c r="AE933">
        <f t="shared" si="147"/>
        <v>478364</v>
      </c>
      <c r="AF933">
        <f t="shared" si="148"/>
        <v>207289</v>
      </c>
      <c r="AH933" s="2">
        <f t="shared" si="149"/>
        <v>0.30232347849422375</v>
      </c>
      <c r="AI933" s="2"/>
      <c r="AJ933" s="2"/>
    </row>
    <row r="934" spans="2:36" x14ac:dyDescent="0.25">
      <c r="B934" s="1">
        <v>45923</v>
      </c>
      <c r="C934">
        <v>124884</v>
      </c>
      <c r="D934">
        <v>98401</v>
      </c>
      <c r="F934" s="2">
        <f t="shared" si="142"/>
        <v>0.44069686723246076</v>
      </c>
      <c r="I934">
        <v>124258</v>
      </c>
      <c r="J934">
        <v>94848</v>
      </c>
      <c r="L934" s="2">
        <f t="shared" si="143"/>
        <v>0.43288636550345494</v>
      </c>
      <c r="N934">
        <v>325404</v>
      </c>
      <c r="O934">
        <v>113021</v>
      </c>
      <c r="Q934" s="2">
        <f t="shared" si="144"/>
        <v>0.25778867537207045</v>
      </c>
      <c r="T934">
        <v>331362</v>
      </c>
      <c r="U934">
        <v>110783</v>
      </c>
      <c r="W934" s="2">
        <f t="shared" si="145"/>
        <v>0.25055807483970188</v>
      </c>
      <c r="Z934">
        <f t="shared" si="140"/>
        <v>450288</v>
      </c>
      <c r="AA934">
        <f t="shared" si="141"/>
        <v>211422</v>
      </c>
      <c r="AC934" s="2">
        <f t="shared" si="146"/>
        <v>0.31950854603980594</v>
      </c>
      <c r="AD934" s="2"/>
      <c r="AE934">
        <f t="shared" si="147"/>
        <v>455620</v>
      </c>
      <c r="AF934">
        <f t="shared" si="148"/>
        <v>205631</v>
      </c>
      <c r="AH934" s="2">
        <f t="shared" si="149"/>
        <v>0.31097268661975558</v>
      </c>
      <c r="AI934" s="2"/>
      <c r="AJ934" s="2"/>
    </row>
    <row r="935" spans="2:36" x14ac:dyDescent="0.25">
      <c r="B935" s="1">
        <v>45930</v>
      </c>
      <c r="C935">
        <v>118270</v>
      </c>
      <c r="D935">
        <v>104217</v>
      </c>
      <c r="F935" s="2">
        <f t="shared" si="142"/>
        <v>0.46841837950082477</v>
      </c>
      <c r="I935">
        <v>118554</v>
      </c>
      <c r="J935">
        <v>100168</v>
      </c>
      <c r="L935" s="2">
        <f t="shared" si="143"/>
        <v>0.45796947723594333</v>
      </c>
      <c r="N935">
        <v>318156</v>
      </c>
      <c r="O935">
        <v>115676</v>
      </c>
      <c r="Q935" s="2">
        <f t="shared" si="144"/>
        <v>0.26663777683527262</v>
      </c>
      <c r="T935">
        <v>330608</v>
      </c>
      <c r="U935">
        <v>121495</v>
      </c>
      <c r="W935" s="2">
        <f t="shared" si="145"/>
        <v>0.26873300995569593</v>
      </c>
      <c r="Z935">
        <f t="shared" si="140"/>
        <v>436426</v>
      </c>
      <c r="AA935">
        <f t="shared" si="141"/>
        <v>219893</v>
      </c>
      <c r="AC935" s="2">
        <f t="shared" si="146"/>
        <v>0.33503982057505571</v>
      </c>
      <c r="AD935" s="2"/>
      <c r="AE935">
        <f t="shared" si="147"/>
        <v>449162</v>
      </c>
      <c r="AF935">
        <f t="shared" si="148"/>
        <v>221663</v>
      </c>
      <c r="AH935" s="2">
        <f t="shared" si="149"/>
        <v>0.33043342153318672</v>
      </c>
      <c r="AI935" s="2"/>
      <c r="AJ935" s="2"/>
    </row>
    <row r="936" spans="2:36" x14ac:dyDescent="0.25">
      <c r="B936" s="1">
        <v>45937</v>
      </c>
      <c r="C936">
        <v>118017</v>
      </c>
      <c r="D936">
        <v>135498</v>
      </c>
      <c r="F936" s="2">
        <f t="shared" si="142"/>
        <v>0.53447724986687173</v>
      </c>
      <c r="I936">
        <v>117088</v>
      </c>
      <c r="J936">
        <v>132759</v>
      </c>
      <c r="L936" s="2">
        <f t="shared" si="143"/>
        <v>0.53136119305014673</v>
      </c>
      <c r="N936">
        <v>276894</v>
      </c>
      <c r="O936">
        <v>135238</v>
      </c>
      <c r="Q936" s="2">
        <f t="shared" si="144"/>
        <v>0.32814243980084051</v>
      </c>
      <c r="T936">
        <v>288413</v>
      </c>
      <c r="U936">
        <v>141013</v>
      </c>
      <c r="W936" s="2">
        <f t="shared" si="145"/>
        <v>0.32837555248168487</v>
      </c>
      <c r="Z936">
        <f t="shared" si="140"/>
        <v>394911</v>
      </c>
      <c r="AA936">
        <f t="shared" si="141"/>
        <v>270736</v>
      </c>
      <c r="AC936" s="2">
        <f t="shared" si="146"/>
        <v>0.40672608755090911</v>
      </c>
      <c r="AD936" s="2"/>
      <c r="AE936">
        <f t="shared" si="147"/>
        <v>405501</v>
      </c>
      <c r="AF936">
        <f t="shared" si="148"/>
        <v>273772</v>
      </c>
      <c r="AH936" s="2">
        <f t="shared" si="149"/>
        <v>0.40303677608266486</v>
      </c>
      <c r="AI936" s="2"/>
      <c r="AJ936" s="2"/>
    </row>
    <row r="937" spans="2:36" x14ac:dyDescent="0.25">
      <c r="B937" s="1">
        <v>45944</v>
      </c>
      <c r="C937">
        <v>130907</v>
      </c>
      <c r="D937">
        <v>149673</v>
      </c>
      <c r="F937" s="2">
        <f t="shared" si="142"/>
        <v>0.53344144272578231</v>
      </c>
      <c r="I937">
        <v>124247</v>
      </c>
      <c r="J937">
        <v>149332</v>
      </c>
      <c r="L937" s="2">
        <f t="shared" si="143"/>
        <v>0.54584598964101771</v>
      </c>
      <c r="N937">
        <v>255919</v>
      </c>
      <c r="O937">
        <v>145608</v>
      </c>
      <c r="Q937" s="2">
        <f t="shared" si="144"/>
        <v>0.36263563845021629</v>
      </c>
      <c r="T937">
        <v>267241</v>
      </c>
      <c r="U937">
        <v>157635</v>
      </c>
      <c r="W937" s="2">
        <f t="shared" si="145"/>
        <v>0.37101413118180365</v>
      </c>
      <c r="Z937">
        <f t="shared" si="140"/>
        <v>386826</v>
      </c>
      <c r="AA937">
        <f t="shared" si="141"/>
        <v>295281</v>
      </c>
      <c r="AC937" s="2">
        <f t="shared" si="146"/>
        <v>0.43289542549775917</v>
      </c>
      <c r="AD937" s="2"/>
      <c r="AE937">
        <f t="shared" si="147"/>
        <v>391488</v>
      </c>
      <c r="AF937">
        <f t="shared" si="148"/>
        <v>306967</v>
      </c>
      <c r="AH937" s="2">
        <f t="shared" si="149"/>
        <v>0.43949431244675746</v>
      </c>
      <c r="AI937" s="2"/>
      <c r="AJ937" s="2"/>
    </row>
    <row r="938" spans="2:36" x14ac:dyDescent="0.25">
      <c r="B938" s="1">
        <v>45951</v>
      </c>
      <c r="C938">
        <v>128075</v>
      </c>
      <c r="D938">
        <v>166229</v>
      </c>
      <c r="F938" s="2">
        <f t="shared" si="142"/>
        <v>0.56482072958573448</v>
      </c>
      <c r="I938">
        <v>126740</v>
      </c>
      <c r="J938">
        <v>156735</v>
      </c>
      <c r="L938" s="2">
        <f t="shared" si="143"/>
        <v>0.55290589999118089</v>
      </c>
      <c r="N938">
        <v>242430</v>
      </c>
      <c r="O938">
        <v>190639</v>
      </c>
      <c r="Q938" s="2">
        <f t="shared" si="144"/>
        <v>0.44020467870016095</v>
      </c>
      <c r="T938">
        <v>250389</v>
      </c>
      <c r="U938">
        <v>197868</v>
      </c>
      <c r="W938" s="2">
        <f t="shared" si="145"/>
        <v>0.44141641959857847</v>
      </c>
      <c r="Z938">
        <f t="shared" si="140"/>
        <v>370505</v>
      </c>
      <c r="AA938">
        <f t="shared" si="141"/>
        <v>356868</v>
      </c>
      <c r="AC938" s="2">
        <f t="shared" si="146"/>
        <v>0.49062585496024735</v>
      </c>
      <c r="AD938" s="2"/>
      <c r="AE938">
        <f t="shared" si="147"/>
        <v>377129</v>
      </c>
      <c r="AF938">
        <f t="shared" si="148"/>
        <v>354603</v>
      </c>
      <c r="AH938" s="2">
        <f t="shared" si="149"/>
        <v>0.48460775256514682</v>
      </c>
      <c r="AI938" s="2"/>
      <c r="AJ938" s="2"/>
    </row>
    <row r="939" spans="2:36" x14ac:dyDescent="0.25">
      <c r="B939" s="1">
        <v>45958</v>
      </c>
      <c r="C939">
        <v>139241</v>
      </c>
      <c r="D939">
        <v>147841</v>
      </c>
      <c r="F939" s="2">
        <f t="shared" si="142"/>
        <v>0.51497829888324587</v>
      </c>
      <c r="I939">
        <v>138345</v>
      </c>
      <c r="J939">
        <v>133755</v>
      </c>
      <c r="L939" s="2">
        <f t="shared" si="143"/>
        <v>0.49156560088202866</v>
      </c>
      <c r="N939">
        <v>299264</v>
      </c>
      <c r="O939">
        <v>125377</v>
      </c>
      <c r="Q939" s="2">
        <f t="shared" si="144"/>
        <v>0.29525410876481545</v>
      </c>
      <c r="T939">
        <v>307357</v>
      </c>
      <c r="U939">
        <v>135790</v>
      </c>
      <c r="W939" s="2">
        <f t="shared" si="145"/>
        <v>0.30642202248915146</v>
      </c>
      <c r="Z939">
        <f t="shared" si="140"/>
        <v>438505</v>
      </c>
      <c r="AA939">
        <f t="shared" si="141"/>
        <v>273218</v>
      </c>
      <c r="AC939" s="2">
        <f t="shared" si="146"/>
        <v>0.38388249361057603</v>
      </c>
      <c r="AD939" s="2"/>
      <c r="AE939">
        <f t="shared" si="147"/>
        <v>445702</v>
      </c>
      <c r="AF939">
        <f t="shared" si="148"/>
        <v>269545</v>
      </c>
      <c r="AH939" s="2">
        <f t="shared" si="149"/>
        <v>0.37685582742744816</v>
      </c>
      <c r="AI939" s="2"/>
      <c r="AJ939" s="2"/>
    </row>
    <row r="940" spans="2:36" x14ac:dyDescent="0.25">
      <c r="B940" s="1">
        <v>45965</v>
      </c>
      <c r="C940">
        <v>139453</v>
      </c>
      <c r="D940">
        <v>131716</v>
      </c>
      <c r="F940" s="2">
        <f t="shared" si="142"/>
        <v>0.48573398876715257</v>
      </c>
      <c r="I940">
        <v>138697</v>
      </c>
      <c r="J940">
        <v>116046</v>
      </c>
      <c r="L940" s="2">
        <f t="shared" si="143"/>
        <v>0.45554146728271239</v>
      </c>
      <c r="N940">
        <v>292998</v>
      </c>
      <c r="O940">
        <v>140237</v>
      </c>
      <c r="Q940" s="2">
        <f t="shared" si="144"/>
        <v>0.32369730054127666</v>
      </c>
      <c r="T940">
        <v>301605</v>
      </c>
      <c r="U940">
        <v>149374</v>
      </c>
      <c r="W940" s="2">
        <f t="shared" si="145"/>
        <v>0.33122163116242664</v>
      </c>
      <c r="Z940">
        <f t="shared" si="140"/>
        <v>432451</v>
      </c>
      <c r="AA940">
        <f t="shared" si="141"/>
        <v>271953</v>
      </c>
      <c r="AC940" s="2">
        <f t="shared" si="146"/>
        <v>0.38607532041271769</v>
      </c>
      <c r="AD940" s="2"/>
      <c r="AE940">
        <f t="shared" si="147"/>
        <v>440302</v>
      </c>
      <c r="AF940">
        <f t="shared" si="148"/>
        <v>265420</v>
      </c>
      <c r="AH940" s="2">
        <f t="shared" si="149"/>
        <v>0.37609710339198721</v>
      </c>
      <c r="AI940" s="2"/>
      <c r="AJ940" s="2"/>
    </row>
    <row r="941" spans="2:36" x14ac:dyDescent="0.25">
      <c r="B941" s="1">
        <v>45972</v>
      </c>
      <c r="C941">
        <v>132353</v>
      </c>
      <c r="D941">
        <v>143999</v>
      </c>
      <c r="F941" s="2">
        <f t="shared" si="142"/>
        <v>0.52107095298749417</v>
      </c>
      <c r="I941">
        <v>131861</v>
      </c>
      <c r="J941">
        <v>128683</v>
      </c>
      <c r="L941" s="2">
        <f t="shared" si="143"/>
        <v>0.49390122205846232</v>
      </c>
      <c r="N941">
        <v>291732</v>
      </c>
      <c r="O941">
        <v>127154</v>
      </c>
      <c r="Q941" s="2">
        <f t="shared" si="144"/>
        <v>0.30355275659726033</v>
      </c>
      <c r="T941">
        <v>301753</v>
      </c>
      <c r="U941">
        <v>136886</v>
      </c>
      <c r="W941" s="2">
        <f t="shared" si="145"/>
        <v>0.31206983419167017</v>
      </c>
      <c r="Z941">
        <f t="shared" si="140"/>
        <v>424085</v>
      </c>
      <c r="AA941">
        <f t="shared" si="141"/>
        <v>271153</v>
      </c>
      <c r="AC941" s="2">
        <f t="shared" si="146"/>
        <v>0.39001464246775924</v>
      </c>
      <c r="AD941" s="2"/>
      <c r="AE941">
        <f t="shared" si="147"/>
        <v>433614</v>
      </c>
      <c r="AF941">
        <f t="shared" si="148"/>
        <v>265569</v>
      </c>
      <c r="AH941" s="2">
        <f t="shared" si="149"/>
        <v>0.3798275987831512</v>
      </c>
      <c r="AI941" s="2"/>
      <c r="AJ941" s="2"/>
    </row>
    <row r="942" spans="2:36" x14ac:dyDescent="0.25">
      <c r="B942" s="1">
        <v>45979</v>
      </c>
      <c r="C942">
        <v>133720</v>
      </c>
      <c r="D942">
        <v>146391</v>
      </c>
      <c r="F942" s="2">
        <f t="shared" si="142"/>
        <v>0.52261781936446627</v>
      </c>
      <c r="I942">
        <v>137487</v>
      </c>
      <c r="J942">
        <v>140808</v>
      </c>
      <c r="L942" s="2">
        <f t="shared" si="143"/>
        <v>0.50596669002317685</v>
      </c>
      <c r="N942">
        <v>309541</v>
      </c>
      <c r="O942">
        <v>131714</v>
      </c>
      <c r="Q942" s="2">
        <f t="shared" si="144"/>
        <v>0.29849860058242966</v>
      </c>
      <c r="T942">
        <v>317262</v>
      </c>
      <c r="U942">
        <v>138898</v>
      </c>
      <c r="W942" s="2">
        <f t="shared" si="145"/>
        <v>0.30449403717993684</v>
      </c>
      <c r="Z942">
        <f t="shared" si="140"/>
        <v>443261</v>
      </c>
      <c r="AA942">
        <f t="shared" si="141"/>
        <v>278105</v>
      </c>
      <c r="AC942" s="2">
        <f t="shared" si="146"/>
        <v>0.38552551686661141</v>
      </c>
      <c r="AD942" s="2"/>
      <c r="AE942">
        <f t="shared" si="147"/>
        <v>454749</v>
      </c>
      <c r="AF942">
        <f t="shared" si="148"/>
        <v>279706</v>
      </c>
      <c r="AH942" s="2">
        <f t="shared" si="149"/>
        <v>0.38083476863796967</v>
      </c>
      <c r="AI942" s="2"/>
      <c r="AJ942" s="2"/>
    </row>
    <row r="943" spans="2:36" x14ac:dyDescent="0.25">
      <c r="B943" s="1">
        <v>45986</v>
      </c>
      <c r="C943">
        <v>130042</v>
      </c>
      <c r="D943">
        <v>167052</v>
      </c>
      <c r="F943" s="2">
        <f t="shared" si="142"/>
        <v>0.56228668367587364</v>
      </c>
      <c r="I943">
        <v>133572</v>
      </c>
      <c r="J943">
        <v>162127</v>
      </c>
      <c r="L943" s="2">
        <f t="shared" si="143"/>
        <v>0.54828389680046263</v>
      </c>
      <c r="N943">
        <v>289562</v>
      </c>
      <c r="O943">
        <v>163975</v>
      </c>
      <c r="Q943" s="2">
        <f t="shared" si="144"/>
        <v>0.36154712845919956</v>
      </c>
      <c r="T943">
        <v>299236</v>
      </c>
      <c r="U943">
        <v>178302</v>
      </c>
      <c r="W943" s="2">
        <f t="shared" si="145"/>
        <v>0.37337761602218045</v>
      </c>
      <c r="Z943">
        <f t="shared" si="140"/>
        <v>419604</v>
      </c>
      <c r="AA943">
        <f t="shared" si="141"/>
        <v>331027</v>
      </c>
      <c r="AC943" s="2">
        <f t="shared" si="146"/>
        <v>0.44099830675791435</v>
      </c>
      <c r="AD943" s="2"/>
      <c r="AE943">
        <f t="shared" si="147"/>
        <v>432808</v>
      </c>
      <c r="AF943">
        <f t="shared" si="148"/>
        <v>340429</v>
      </c>
      <c r="AH943" s="2">
        <f t="shared" si="149"/>
        <v>0.44026475711845137</v>
      </c>
      <c r="AI943" s="2"/>
      <c r="AJ943" s="2"/>
    </row>
    <row r="944" spans="2:36" x14ac:dyDescent="0.25">
      <c r="B944" s="1">
        <v>45993</v>
      </c>
      <c r="C944">
        <v>130467</v>
      </c>
      <c r="D944">
        <v>165235</v>
      </c>
      <c r="F944" s="2">
        <f t="shared" si="142"/>
        <v>0.55878891586800228</v>
      </c>
      <c r="I944">
        <v>133710</v>
      </c>
      <c r="J944">
        <v>163135</v>
      </c>
      <c r="L944" s="2">
        <f t="shared" si="143"/>
        <v>0.54956290319863899</v>
      </c>
      <c r="N944">
        <v>308874</v>
      </c>
      <c r="O944">
        <v>162427</v>
      </c>
      <c r="Q944" s="2">
        <f t="shared" si="144"/>
        <v>0.34463538163509094</v>
      </c>
      <c r="T944">
        <v>314829</v>
      </c>
      <c r="U944">
        <v>174703</v>
      </c>
      <c r="W944" s="2">
        <f t="shared" si="145"/>
        <v>0.35687758920765139</v>
      </c>
      <c r="Z944">
        <f t="shared" si="140"/>
        <v>439341</v>
      </c>
      <c r="AA944">
        <f t="shared" si="141"/>
        <v>327662</v>
      </c>
      <c r="AC944" s="2">
        <f t="shared" si="146"/>
        <v>0.42719780757050496</v>
      </c>
      <c r="AD944" s="2"/>
      <c r="AE944">
        <f t="shared" si="147"/>
        <v>448539</v>
      </c>
      <c r="AF944">
        <f t="shared" si="148"/>
        <v>337838</v>
      </c>
      <c r="AH944" s="2">
        <f t="shared" si="149"/>
        <v>0.42961327709228525</v>
      </c>
      <c r="AI944" s="2"/>
      <c r="AJ944" s="2"/>
    </row>
    <row r="945" spans="2:36" x14ac:dyDescent="0.25">
      <c r="B945" s="1">
        <v>46000</v>
      </c>
      <c r="C945">
        <v>136194</v>
      </c>
      <c r="D945">
        <v>129316</v>
      </c>
      <c r="F945" s="2">
        <f t="shared" si="142"/>
        <v>0.48704756882979927</v>
      </c>
      <c r="I945">
        <v>138442</v>
      </c>
      <c r="J945">
        <v>127697</v>
      </c>
      <c r="L945" s="2">
        <f t="shared" si="143"/>
        <v>0.47981318033057913</v>
      </c>
      <c r="N945">
        <v>292338</v>
      </c>
      <c r="O945">
        <v>178479</v>
      </c>
      <c r="Q945" s="2">
        <f t="shared" si="144"/>
        <v>0.37908359298835853</v>
      </c>
      <c r="T945">
        <v>299434</v>
      </c>
      <c r="U945">
        <v>191618</v>
      </c>
      <c r="W945" s="2">
        <f t="shared" si="145"/>
        <v>0.39021936576981664</v>
      </c>
      <c r="Z945">
        <f t="shared" si="140"/>
        <v>428532</v>
      </c>
      <c r="AA945">
        <f t="shared" si="141"/>
        <v>307795</v>
      </c>
      <c r="AC945" s="2">
        <f t="shared" si="146"/>
        <v>0.41801400736357625</v>
      </c>
      <c r="AD945" s="2"/>
      <c r="AE945">
        <f t="shared" si="147"/>
        <v>437876</v>
      </c>
      <c r="AF945">
        <f t="shared" si="148"/>
        <v>319315</v>
      </c>
      <c r="AH945" s="2">
        <f t="shared" si="149"/>
        <v>0.42170997806365895</v>
      </c>
      <c r="AI945" s="2"/>
      <c r="AJ945" s="2"/>
    </row>
    <row r="946" spans="2:36" x14ac:dyDescent="0.25">
      <c r="B946" s="1">
        <v>46007</v>
      </c>
      <c r="C946">
        <v>144673</v>
      </c>
      <c r="D946">
        <v>144599</v>
      </c>
      <c r="F946" s="2">
        <f t="shared" si="142"/>
        <v>0.49987209270167871</v>
      </c>
      <c r="I946">
        <v>150903</v>
      </c>
      <c r="J946">
        <v>139812</v>
      </c>
      <c r="L946" s="2">
        <f t="shared" si="143"/>
        <v>0.48092461689283317</v>
      </c>
      <c r="N946">
        <v>262856</v>
      </c>
      <c r="O946">
        <v>221868</v>
      </c>
      <c r="Q946" s="2">
        <f t="shared" si="144"/>
        <v>0.45772026967924012</v>
      </c>
      <c r="T946">
        <v>265318</v>
      </c>
      <c r="U946">
        <v>232378</v>
      </c>
      <c r="W946" s="2">
        <f t="shared" si="145"/>
        <v>0.46690750980518225</v>
      </c>
      <c r="Z946">
        <f t="shared" si="140"/>
        <v>407529</v>
      </c>
      <c r="AA946">
        <f t="shared" si="141"/>
        <v>366467</v>
      </c>
      <c r="AC946" s="2">
        <f t="shared" si="146"/>
        <v>0.4734740231215665</v>
      </c>
      <c r="AD946" s="2"/>
      <c r="AE946">
        <f t="shared" si="147"/>
        <v>416221</v>
      </c>
      <c r="AF946">
        <f t="shared" si="148"/>
        <v>372190</v>
      </c>
      <c r="AH946" s="2">
        <f t="shared" si="149"/>
        <v>0.47207611258594817</v>
      </c>
      <c r="AI946" s="2"/>
      <c r="AJ946" s="2"/>
    </row>
    <row r="947" spans="2:36" x14ac:dyDescent="0.25">
      <c r="B947" s="1">
        <v>46014</v>
      </c>
      <c r="C947">
        <v>146806</v>
      </c>
      <c r="D947">
        <v>135446</v>
      </c>
      <c r="F947" s="2">
        <f t="shared" si="142"/>
        <v>0.47987613905304477</v>
      </c>
      <c r="I947">
        <v>150614</v>
      </c>
      <c r="J947">
        <v>132948</v>
      </c>
      <c r="L947" s="2">
        <f t="shared" si="143"/>
        <v>0.46884984588908246</v>
      </c>
      <c r="N947">
        <v>286322</v>
      </c>
      <c r="O947">
        <v>187227</v>
      </c>
      <c r="Q947" s="2">
        <f t="shared" si="144"/>
        <v>0.39536985612893283</v>
      </c>
      <c r="T947">
        <v>290099</v>
      </c>
      <c r="U947">
        <v>191303</v>
      </c>
      <c r="W947" s="2">
        <f t="shared" si="145"/>
        <v>0.39738721484331185</v>
      </c>
      <c r="Z947">
        <f t="shared" si="140"/>
        <v>433128</v>
      </c>
      <c r="AA947">
        <f t="shared" si="141"/>
        <v>322673</v>
      </c>
      <c r="AC947" s="2">
        <f t="shared" si="146"/>
        <v>0.42692851689796651</v>
      </c>
      <c r="AD947" s="2"/>
      <c r="AE947">
        <f t="shared" si="147"/>
        <v>440713</v>
      </c>
      <c r="AF947">
        <f t="shared" si="148"/>
        <v>324251</v>
      </c>
      <c r="AH947" s="2">
        <f t="shared" si="149"/>
        <v>0.42387746351462291</v>
      </c>
      <c r="AI947" s="2"/>
      <c r="AJ947" s="2"/>
    </row>
    <row r="948" spans="2:36" x14ac:dyDescent="0.25">
      <c r="B948" s="1">
        <v>46021</v>
      </c>
      <c r="C948">
        <v>146234</v>
      </c>
      <c r="D948">
        <v>130491</v>
      </c>
      <c r="F948" s="2">
        <f t="shared" si="142"/>
        <v>0.47155479266419731</v>
      </c>
      <c r="I948">
        <v>149020</v>
      </c>
      <c r="J948">
        <v>129309</v>
      </c>
      <c r="L948" s="2">
        <f t="shared" si="143"/>
        <v>0.46459046667792431</v>
      </c>
      <c r="N948">
        <v>303005</v>
      </c>
      <c r="O948">
        <v>176099</v>
      </c>
      <c r="Q948" s="2">
        <f t="shared" si="144"/>
        <v>0.36755902685012021</v>
      </c>
      <c r="T948">
        <v>309579</v>
      </c>
      <c r="U948">
        <v>183395</v>
      </c>
      <c r="W948" s="2">
        <f t="shared" si="145"/>
        <v>0.37201759119142186</v>
      </c>
      <c r="Z948">
        <f t="shared" si="140"/>
        <v>449239</v>
      </c>
      <c r="AA948">
        <f t="shared" si="141"/>
        <v>306590</v>
      </c>
      <c r="AC948" s="2">
        <f t="shared" si="146"/>
        <v>0.40563407860772743</v>
      </c>
      <c r="AD948" s="2"/>
      <c r="AE948">
        <f t="shared" si="147"/>
        <v>458599</v>
      </c>
      <c r="AF948">
        <f t="shared" si="148"/>
        <v>312704</v>
      </c>
      <c r="AH948" s="2">
        <f t="shared" si="149"/>
        <v>0.40542303089706638</v>
      </c>
      <c r="AI948" s="2"/>
      <c r="AJ948" s="2"/>
    </row>
    <row r="949" spans="2:36" x14ac:dyDescent="0.25">
      <c r="B949" s="1">
        <v>46028</v>
      </c>
      <c r="C949">
        <v>148771</v>
      </c>
      <c r="D949">
        <v>124243</v>
      </c>
      <c r="F949" s="2">
        <f t="shared" si="142"/>
        <v>0.45507922670632273</v>
      </c>
      <c r="I949">
        <v>151433</v>
      </c>
      <c r="J949">
        <v>128853</v>
      </c>
      <c r="L949" s="2">
        <f t="shared" si="143"/>
        <v>0.45971971486267599</v>
      </c>
      <c r="N949">
        <v>309492</v>
      </c>
      <c r="O949">
        <v>188806</v>
      </c>
      <c r="Q949" s="2">
        <f t="shared" si="144"/>
        <v>0.37890178166478694</v>
      </c>
      <c r="T949">
        <v>316869</v>
      </c>
      <c r="U949">
        <v>193904</v>
      </c>
      <c r="W949" s="2">
        <f t="shared" si="145"/>
        <v>0.37962852382565249</v>
      </c>
      <c r="Z949">
        <f t="shared" si="140"/>
        <v>458263</v>
      </c>
      <c r="AA949">
        <f t="shared" si="141"/>
        <v>313049</v>
      </c>
      <c r="AC949" s="2">
        <f t="shared" si="146"/>
        <v>0.40586559005953493</v>
      </c>
      <c r="AD949" s="2"/>
      <c r="AE949">
        <f t="shared" si="147"/>
        <v>468302</v>
      </c>
      <c r="AF949">
        <f t="shared" si="148"/>
        <v>322757</v>
      </c>
      <c r="AH949" s="2">
        <f t="shared" si="149"/>
        <v>0.40800622962383337</v>
      </c>
      <c r="AI949" s="2"/>
      <c r="AJ949" s="2"/>
    </row>
    <row r="950" spans="2:36" x14ac:dyDescent="0.25">
      <c r="B950" s="1">
        <v>46035</v>
      </c>
      <c r="C950">
        <v>174209</v>
      </c>
      <c r="D950">
        <v>126639</v>
      </c>
      <c r="F950" s="2">
        <f t="shared" si="142"/>
        <v>0.42094014253044726</v>
      </c>
      <c r="I950">
        <v>168480</v>
      </c>
      <c r="J950">
        <v>125973</v>
      </c>
      <c r="L950" s="2">
        <f t="shared" si="143"/>
        <v>0.42782039918085402</v>
      </c>
      <c r="N950">
        <v>362138</v>
      </c>
      <c r="O950">
        <v>168772</v>
      </c>
      <c r="Q950" s="2">
        <f t="shared" si="144"/>
        <v>0.31789192141794276</v>
      </c>
      <c r="T950">
        <v>367171</v>
      </c>
      <c r="U950">
        <v>158710</v>
      </c>
      <c r="W950" s="2">
        <f t="shared" si="145"/>
        <v>0.30179831558850767</v>
      </c>
      <c r="Z950">
        <f t="shared" si="140"/>
        <v>536347</v>
      </c>
      <c r="AA950">
        <f t="shared" si="141"/>
        <v>295411</v>
      </c>
      <c r="AC950" s="2">
        <f t="shared" si="146"/>
        <v>0.35516460316582465</v>
      </c>
      <c r="AD950" s="2"/>
      <c r="AE950">
        <f t="shared" si="147"/>
        <v>535651</v>
      </c>
      <c r="AF950">
        <f t="shared" si="148"/>
        <v>284683</v>
      </c>
      <c r="AH950" s="2">
        <f t="shared" si="149"/>
        <v>0.34703303776266742</v>
      </c>
      <c r="AI950" s="2"/>
      <c r="AJ950" s="2"/>
    </row>
    <row r="951" spans="2:36" x14ac:dyDescent="0.25">
      <c r="B951" s="1">
        <v>46042</v>
      </c>
      <c r="C951">
        <v>169655</v>
      </c>
      <c r="D951">
        <v>122155</v>
      </c>
      <c r="F951" s="2">
        <f t="shared" si="142"/>
        <v>0.41861142524245226</v>
      </c>
      <c r="I951">
        <v>168421</v>
      </c>
      <c r="J951">
        <v>114987</v>
      </c>
      <c r="L951" s="2">
        <f t="shared" si="143"/>
        <v>0.40572954891887314</v>
      </c>
      <c r="N951">
        <v>362132</v>
      </c>
      <c r="O951">
        <v>156361</v>
      </c>
      <c r="Q951" s="2">
        <f t="shared" si="144"/>
        <v>0.30156819860634571</v>
      </c>
      <c r="T951">
        <v>357962</v>
      </c>
      <c r="U951">
        <v>140992</v>
      </c>
      <c r="W951" s="2">
        <f t="shared" si="145"/>
        <v>0.28257514720795907</v>
      </c>
      <c r="Z951">
        <f t="shared" si="140"/>
        <v>531787</v>
      </c>
      <c r="AA951">
        <f t="shared" si="141"/>
        <v>278516</v>
      </c>
      <c r="AC951" s="2">
        <f t="shared" si="146"/>
        <v>0.34371833746141878</v>
      </c>
      <c r="AD951" s="2"/>
      <c r="AE951">
        <f t="shared" si="147"/>
        <v>526383</v>
      </c>
      <c r="AF951">
        <f t="shared" si="148"/>
        <v>255979</v>
      </c>
      <c r="AH951" s="2">
        <f t="shared" si="149"/>
        <v>0.32718741452166644</v>
      </c>
      <c r="AI951" s="2"/>
      <c r="AJ951" s="2"/>
    </row>
    <row r="952" spans="2:36" x14ac:dyDescent="0.25">
      <c r="B952" s="1">
        <v>46049</v>
      </c>
      <c r="C952">
        <v>176380</v>
      </c>
      <c r="D952">
        <v>117333</v>
      </c>
      <c r="F952" s="2">
        <f t="shared" si="142"/>
        <v>0.39948180707016712</v>
      </c>
      <c r="I952">
        <v>171431</v>
      </c>
      <c r="J952">
        <v>108440</v>
      </c>
      <c r="L952" s="2">
        <f t="shared" si="143"/>
        <v>0.38746422458918572</v>
      </c>
      <c r="N952">
        <v>372993</v>
      </c>
      <c r="O952">
        <v>155031</v>
      </c>
      <c r="Q952" s="2">
        <f t="shared" si="144"/>
        <v>0.29360597245579745</v>
      </c>
      <c r="T952">
        <v>377371</v>
      </c>
      <c r="U952">
        <v>130454</v>
      </c>
      <c r="W952" s="2">
        <f t="shared" si="145"/>
        <v>0.25688770737951067</v>
      </c>
      <c r="Z952">
        <f t="shared" si="140"/>
        <v>549373</v>
      </c>
      <c r="AA952">
        <f t="shared" si="141"/>
        <v>272364</v>
      </c>
      <c r="AC952" s="2">
        <f t="shared" si="146"/>
        <v>0.33144911328076987</v>
      </c>
      <c r="AD952" s="2"/>
      <c r="AE952">
        <f t="shared" si="147"/>
        <v>548802</v>
      </c>
      <c r="AF952">
        <f t="shared" si="148"/>
        <v>238894</v>
      </c>
      <c r="AH952" s="2">
        <f t="shared" si="149"/>
        <v>0.30328197680323371</v>
      </c>
      <c r="AI952" s="2"/>
      <c r="AJ952" s="2"/>
    </row>
    <row r="953" spans="2:36" x14ac:dyDescent="0.25">
      <c r="B953" s="1">
        <v>46056</v>
      </c>
      <c r="C953">
        <v>189550</v>
      </c>
      <c r="D953">
        <v>112790</v>
      </c>
      <c r="F953" s="2">
        <f t="shared" si="142"/>
        <v>0.37305682344380497</v>
      </c>
      <c r="I953">
        <v>178346</v>
      </c>
      <c r="J953">
        <v>97969</v>
      </c>
      <c r="L953" s="2">
        <f t="shared" si="143"/>
        <v>0.35455548920615965</v>
      </c>
      <c r="N953">
        <v>367654</v>
      </c>
      <c r="O953">
        <v>123348</v>
      </c>
      <c r="Q953" s="2">
        <f t="shared" si="144"/>
        <v>0.25121689932016572</v>
      </c>
      <c r="T953">
        <v>381856</v>
      </c>
      <c r="U953">
        <v>103607</v>
      </c>
      <c r="W953" s="2">
        <f t="shared" si="145"/>
        <v>0.21341894232928152</v>
      </c>
      <c r="Z953">
        <f t="shared" si="140"/>
        <v>557204</v>
      </c>
      <c r="AA953">
        <f t="shared" si="141"/>
        <v>236138</v>
      </c>
      <c r="AC953" s="2">
        <f t="shared" si="146"/>
        <v>0.29764968954120669</v>
      </c>
      <c r="AD953" s="2"/>
      <c r="AE953">
        <f t="shared" si="147"/>
        <v>560202</v>
      </c>
      <c r="AF953">
        <f t="shared" si="148"/>
        <v>201576</v>
      </c>
      <c r="AH953" s="2">
        <f t="shared" si="149"/>
        <v>0.26461252490883169</v>
      </c>
      <c r="AI953" s="2"/>
      <c r="AJ953" s="2"/>
    </row>
    <row r="954" spans="2:36" x14ac:dyDescent="0.25">
      <c r="B954" s="1">
        <v>46063</v>
      </c>
      <c r="C954">
        <v>191747</v>
      </c>
      <c r="D954">
        <v>112601</v>
      </c>
      <c r="F954" s="2">
        <f t="shared" si="142"/>
        <v>0.36997450287171263</v>
      </c>
      <c r="I954">
        <v>177309</v>
      </c>
      <c r="J954">
        <v>90995</v>
      </c>
      <c r="L954" s="2">
        <f t="shared" si="143"/>
        <v>0.33914887590196197</v>
      </c>
      <c r="N954">
        <v>377645</v>
      </c>
      <c r="O954">
        <v>127103</v>
      </c>
      <c r="Q954" s="2">
        <f t="shared" si="144"/>
        <v>0.25181476697282607</v>
      </c>
      <c r="T954">
        <v>384052</v>
      </c>
      <c r="U954">
        <v>102990</v>
      </c>
      <c r="W954" s="2">
        <f t="shared" si="145"/>
        <v>0.21146020261086312</v>
      </c>
      <c r="Z954">
        <f t="shared" si="140"/>
        <v>569392</v>
      </c>
      <c r="AA954">
        <f t="shared" si="141"/>
        <v>239704</v>
      </c>
      <c r="AC954" s="2">
        <f t="shared" si="146"/>
        <v>0.2962615066691715</v>
      </c>
      <c r="AD954" s="2"/>
      <c r="AE954">
        <f t="shared" si="147"/>
        <v>561361</v>
      </c>
      <c r="AF954">
        <f t="shared" si="148"/>
        <v>193985</v>
      </c>
      <c r="AH954" s="2">
        <f t="shared" si="149"/>
        <v>0.25681608163675984</v>
      </c>
      <c r="AI954" s="2"/>
      <c r="AJ954" s="2"/>
    </row>
    <row r="955" spans="2:36" x14ac:dyDescent="0.25">
      <c r="B955" s="1">
        <v>46070</v>
      </c>
      <c r="C955">
        <v>183954</v>
      </c>
      <c r="D955">
        <v>120169</v>
      </c>
      <c r="F955" s="2">
        <f t="shared" si="142"/>
        <v>0.39513289031082821</v>
      </c>
      <c r="I955">
        <v>182583</v>
      </c>
      <c r="J955">
        <v>101364</v>
      </c>
      <c r="L955" s="2">
        <f t="shared" si="143"/>
        <v>0.35698211285908987</v>
      </c>
      <c r="N955">
        <v>375350</v>
      </c>
      <c r="O955">
        <v>125334</v>
      </c>
      <c r="Q955" s="2">
        <f t="shared" si="144"/>
        <v>0.25032555464125078</v>
      </c>
      <c r="T955">
        <v>372827</v>
      </c>
      <c r="U955">
        <v>109641</v>
      </c>
      <c r="W955" s="2">
        <f t="shared" si="145"/>
        <v>0.22725030468341942</v>
      </c>
      <c r="Z955">
        <f t="shared" si="140"/>
        <v>559304</v>
      </c>
      <c r="AA955">
        <f t="shared" si="141"/>
        <v>245503</v>
      </c>
      <c r="AC955" s="2">
        <f t="shared" si="146"/>
        <v>0.30504580601311865</v>
      </c>
      <c r="AD955" s="2"/>
      <c r="AE955">
        <f t="shared" si="147"/>
        <v>555410</v>
      </c>
      <c r="AF955">
        <f t="shared" si="148"/>
        <v>211005</v>
      </c>
      <c r="AH955" s="2">
        <f t="shared" si="149"/>
        <v>0.27531428795104479</v>
      </c>
      <c r="AI955" s="2"/>
      <c r="AJ955" s="2"/>
    </row>
    <row r="956" spans="2:36" x14ac:dyDescent="0.25">
      <c r="B956" s="1">
        <v>46077</v>
      </c>
      <c r="C956">
        <v>193433</v>
      </c>
      <c r="D956">
        <v>125733</v>
      </c>
      <c r="F956" s="2">
        <f t="shared" si="142"/>
        <v>0.39394233721637018</v>
      </c>
      <c r="I956">
        <v>191809</v>
      </c>
      <c r="J956">
        <v>93622</v>
      </c>
      <c r="L956" s="2">
        <f t="shared" si="143"/>
        <v>0.32800221419537473</v>
      </c>
      <c r="N956">
        <v>407328</v>
      </c>
      <c r="O956">
        <v>106616</v>
      </c>
      <c r="Q956" s="2">
        <f t="shared" si="144"/>
        <v>0.20744672571330727</v>
      </c>
      <c r="T956">
        <v>413137</v>
      </c>
      <c r="U956">
        <v>92185</v>
      </c>
      <c r="W956" s="2">
        <f t="shared" si="145"/>
        <v>0.18242823387859622</v>
      </c>
      <c r="Z956">
        <f t="shared" si="140"/>
        <v>600761</v>
      </c>
      <c r="AA956">
        <f t="shared" si="141"/>
        <v>232349</v>
      </c>
      <c r="AC956" s="2">
        <f t="shared" si="146"/>
        <v>0.27889354346964984</v>
      </c>
      <c r="AD956" s="2"/>
      <c r="AE956">
        <f t="shared" si="147"/>
        <v>604946</v>
      </c>
      <c r="AF956">
        <f t="shared" si="148"/>
        <v>185807</v>
      </c>
      <c r="AH956" s="2">
        <f t="shared" si="149"/>
        <v>0.23497476455985625</v>
      </c>
      <c r="AI956" s="2"/>
      <c r="AJ956" s="2"/>
    </row>
    <row r="957" spans="2:36" x14ac:dyDescent="0.25">
      <c r="B957" s="1">
        <v>46084</v>
      </c>
      <c r="C957">
        <v>187335</v>
      </c>
      <c r="D957">
        <v>118950</v>
      </c>
      <c r="F957" s="2">
        <f t="shared" si="142"/>
        <v>0.38836377883343942</v>
      </c>
      <c r="I957">
        <v>179794</v>
      </c>
      <c r="J957">
        <v>71373</v>
      </c>
      <c r="L957" s="2">
        <f t="shared" si="143"/>
        <v>0.28416551537423307</v>
      </c>
      <c r="N957">
        <v>351125</v>
      </c>
      <c r="O957">
        <v>104611</v>
      </c>
      <c r="Q957" s="2">
        <f t="shared" si="144"/>
        <v>0.22954298102410167</v>
      </c>
      <c r="T957">
        <v>360987</v>
      </c>
      <c r="U957">
        <v>75393</v>
      </c>
      <c r="W957" s="2">
        <f t="shared" si="145"/>
        <v>0.1727691461570191</v>
      </c>
      <c r="Z957">
        <f t="shared" si="140"/>
        <v>538460</v>
      </c>
      <c r="AA957">
        <f t="shared" si="141"/>
        <v>223561</v>
      </c>
      <c r="AC957" s="2">
        <f t="shared" si="146"/>
        <v>0.29337905385809576</v>
      </c>
      <c r="AD957" s="2"/>
      <c r="AE957">
        <f t="shared" si="147"/>
        <v>540781</v>
      </c>
      <c r="AF957">
        <f t="shared" si="148"/>
        <v>146766</v>
      </c>
      <c r="AH957" s="2">
        <f t="shared" si="149"/>
        <v>0.2134632250595232</v>
      </c>
      <c r="AI957" s="2"/>
      <c r="AJ957" s="2"/>
    </row>
    <row r="958" spans="2:36" x14ac:dyDescent="0.25">
      <c r="B958" s="1">
        <v>46091</v>
      </c>
      <c r="C958">
        <v>189998</v>
      </c>
      <c r="D958">
        <v>97876</v>
      </c>
      <c r="F958" s="2">
        <f t="shared" si="142"/>
        <v>0.33999597045929819</v>
      </c>
      <c r="I958">
        <v>192461</v>
      </c>
      <c r="J958">
        <v>56042</v>
      </c>
      <c r="L958" s="2">
        <f t="shared" si="143"/>
        <v>0.2255184042043758</v>
      </c>
      <c r="N958">
        <v>367329</v>
      </c>
      <c r="O958">
        <v>80361</v>
      </c>
      <c r="Q958" s="2">
        <f t="shared" si="144"/>
        <v>0.17950144072907592</v>
      </c>
      <c r="T958">
        <v>402841</v>
      </c>
      <c r="U958">
        <v>51809</v>
      </c>
      <c r="W958" s="2">
        <f t="shared" si="145"/>
        <v>0.11395359067414494</v>
      </c>
      <c r="Z958">
        <f t="shared" si="140"/>
        <v>557327</v>
      </c>
      <c r="AA958">
        <f t="shared" si="141"/>
        <v>178237</v>
      </c>
      <c r="AC958" s="2">
        <f t="shared" si="146"/>
        <v>0.24231338129652893</v>
      </c>
      <c r="AD958" s="2"/>
      <c r="AE958">
        <f t="shared" si="147"/>
        <v>595302</v>
      </c>
      <c r="AF958">
        <f t="shared" si="148"/>
        <v>107851</v>
      </c>
      <c r="AH958" s="2">
        <f t="shared" si="149"/>
        <v>0.1533819808775615</v>
      </c>
      <c r="AI958" s="2"/>
      <c r="AJ958" s="2"/>
    </row>
    <row r="959" spans="2:36" x14ac:dyDescent="0.25">
      <c r="B959" s="1">
        <v>46098</v>
      </c>
      <c r="C959">
        <v>189353</v>
      </c>
      <c r="D959">
        <v>92982</v>
      </c>
      <c r="F959" s="2">
        <f t="shared" si="142"/>
        <v>0.32933217631537004</v>
      </c>
      <c r="I959">
        <v>213162</v>
      </c>
      <c r="J959">
        <v>65301</v>
      </c>
      <c r="L959" s="2">
        <f t="shared" si="143"/>
        <v>0.23450512276316782</v>
      </c>
      <c r="N959">
        <v>397911</v>
      </c>
      <c r="O959">
        <v>69207</v>
      </c>
      <c r="Q959" s="2">
        <f t="shared" si="144"/>
        <v>0.14815742489049877</v>
      </c>
      <c r="T959">
        <v>471555</v>
      </c>
      <c r="U959">
        <v>42851</v>
      </c>
      <c r="W959" s="2">
        <f t="shared" si="145"/>
        <v>8.3301905498769452E-2</v>
      </c>
      <c r="Z959">
        <f t="shared" si="140"/>
        <v>587264</v>
      </c>
      <c r="AA959">
        <f t="shared" si="141"/>
        <v>162189</v>
      </c>
      <c r="AC959" s="2">
        <f t="shared" si="146"/>
        <v>0.21640983490625829</v>
      </c>
      <c r="AD959" s="2"/>
      <c r="AE959">
        <f t="shared" si="147"/>
        <v>684717</v>
      </c>
      <c r="AF959">
        <f t="shared" si="148"/>
        <v>108152</v>
      </c>
      <c r="AH959" s="2">
        <f t="shared" si="149"/>
        <v>0.13640588798401754</v>
      </c>
      <c r="AI959" s="2"/>
      <c r="AJ959" s="2"/>
    </row>
    <row r="960" spans="2:36" x14ac:dyDescent="0.25">
      <c r="B960" s="1">
        <v>46105</v>
      </c>
      <c r="C960">
        <v>181139</v>
      </c>
      <c r="D960">
        <v>86803</v>
      </c>
      <c r="F960" s="2">
        <f t="shared" si="142"/>
        <v>0.32396190220271553</v>
      </c>
      <c r="I960">
        <v>215871</v>
      </c>
      <c r="J960">
        <v>66886</v>
      </c>
      <c r="L960" s="2">
        <f t="shared" si="143"/>
        <v>0.23654940461244106</v>
      </c>
      <c r="N960">
        <v>411964</v>
      </c>
      <c r="O960">
        <v>96134</v>
      </c>
      <c r="Q960" s="2">
        <f t="shared" si="144"/>
        <v>0.18920365756212384</v>
      </c>
      <c r="T960">
        <v>452833</v>
      </c>
      <c r="U960">
        <v>45708</v>
      </c>
      <c r="W960" s="2">
        <f t="shared" si="145"/>
        <v>9.1683532547974997E-2</v>
      </c>
      <c r="Z960">
        <f t="shared" si="140"/>
        <v>593103</v>
      </c>
      <c r="AA960">
        <f t="shared" si="141"/>
        <v>182937</v>
      </c>
      <c r="AC960" s="2">
        <f t="shared" si="146"/>
        <v>0.2357314055976496</v>
      </c>
      <c r="AD960" s="2"/>
      <c r="AE960">
        <f t="shared" si="147"/>
        <v>668704</v>
      </c>
      <c r="AF960">
        <f t="shared" si="148"/>
        <v>112594</v>
      </c>
      <c r="AH960" s="2">
        <f t="shared" si="149"/>
        <v>0.14411146579154177</v>
      </c>
      <c r="AI960" s="2"/>
      <c r="AJ960" s="2"/>
    </row>
    <row r="961" spans="2:36" x14ac:dyDescent="0.25">
      <c r="B961" s="1">
        <v>46112</v>
      </c>
      <c r="C961">
        <v>177780</v>
      </c>
      <c r="D961">
        <v>104433</v>
      </c>
      <c r="F961" s="2">
        <f t="shared" si="142"/>
        <v>0.37005028117060518</v>
      </c>
      <c r="I961">
        <v>214757</v>
      </c>
      <c r="J961">
        <v>84040</v>
      </c>
      <c r="L961" s="2">
        <f t="shared" si="143"/>
        <v>0.28126119070807271</v>
      </c>
      <c r="N961">
        <v>432381</v>
      </c>
      <c r="O961">
        <v>50309</v>
      </c>
      <c r="Q961" s="2">
        <f t="shared" si="144"/>
        <v>0.1042263150262073</v>
      </c>
      <c r="T961">
        <v>470101</v>
      </c>
      <c r="U961">
        <v>40248</v>
      </c>
      <c r="W961" s="2">
        <f t="shared" si="145"/>
        <v>7.8863679560457645E-2</v>
      </c>
      <c r="Z961">
        <f t="shared" si="140"/>
        <v>610161</v>
      </c>
      <c r="AA961">
        <f t="shared" si="141"/>
        <v>154742</v>
      </c>
      <c r="AC961" s="2">
        <f t="shared" si="146"/>
        <v>0.20230277564606231</v>
      </c>
      <c r="AD961" s="2"/>
      <c r="AE961">
        <f t="shared" si="147"/>
        <v>684858</v>
      </c>
      <c r="AF961">
        <f t="shared" si="148"/>
        <v>124288</v>
      </c>
      <c r="AH961" s="2">
        <f t="shared" si="149"/>
        <v>0.15360392314860358</v>
      </c>
      <c r="AI961" s="2"/>
      <c r="AJ961" s="2"/>
    </row>
    <row r="962" spans="2:36" x14ac:dyDescent="0.25">
      <c r="B962" s="1">
        <v>46119</v>
      </c>
      <c r="C962">
        <v>186768</v>
      </c>
      <c r="D962">
        <v>108068</v>
      </c>
      <c r="F962" s="2">
        <f t="shared" si="142"/>
        <v>0.36653597254066667</v>
      </c>
      <c r="I962">
        <v>223091</v>
      </c>
      <c r="J962">
        <v>85253</v>
      </c>
      <c r="L962" s="2">
        <f t="shared" si="143"/>
        <v>0.27648665127260463</v>
      </c>
      <c r="N962">
        <v>425195</v>
      </c>
      <c r="O962">
        <v>50469</v>
      </c>
      <c r="Q962" s="2">
        <f t="shared" si="144"/>
        <v>0.10610220659961654</v>
      </c>
      <c r="T962">
        <v>465576</v>
      </c>
      <c r="U962">
        <v>41306</v>
      </c>
      <c r="W962" s="2">
        <f t="shared" si="145"/>
        <v>8.1490366594197464E-2</v>
      </c>
      <c r="Z962">
        <f t="shared" si="140"/>
        <v>611963</v>
      </c>
      <c r="AA962">
        <f t="shared" si="141"/>
        <v>158537</v>
      </c>
      <c r="AC962" s="2">
        <f t="shared" si="146"/>
        <v>0.2057585983127839</v>
      </c>
      <c r="AD962" s="2"/>
      <c r="AE962">
        <f t="shared" si="147"/>
        <v>688667</v>
      </c>
      <c r="AF962">
        <f t="shared" si="148"/>
        <v>126559</v>
      </c>
      <c r="AH962" s="2">
        <f t="shared" si="149"/>
        <v>0.15524406728931608</v>
      </c>
      <c r="AI962" s="2"/>
      <c r="AJ962" s="2"/>
    </row>
    <row r="963" spans="2:36" x14ac:dyDescent="0.25">
      <c r="B963" s="1">
        <v>46126</v>
      </c>
      <c r="C963">
        <v>200130</v>
      </c>
      <c r="D963">
        <v>101762</v>
      </c>
      <c r="F963" s="2">
        <f t="shared" si="142"/>
        <v>0.33708081035602133</v>
      </c>
      <c r="I963">
        <v>226150</v>
      </c>
      <c r="J963">
        <v>81907</v>
      </c>
      <c r="L963" s="2">
        <f t="shared" si="143"/>
        <v>0.26588261263337631</v>
      </c>
      <c r="N963">
        <v>404095</v>
      </c>
      <c r="O963">
        <v>53575</v>
      </c>
      <c r="Q963" s="2">
        <f t="shared" si="144"/>
        <v>0.11706032731007057</v>
      </c>
      <c r="T963">
        <v>427362</v>
      </c>
      <c r="U963">
        <v>53950</v>
      </c>
      <c r="W963" s="2">
        <f t="shared" si="145"/>
        <v>0.11208945548833189</v>
      </c>
      <c r="Z963">
        <f t="shared" si="140"/>
        <v>604225</v>
      </c>
      <c r="AA963">
        <f t="shared" si="141"/>
        <v>155337</v>
      </c>
      <c r="AC963" s="2">
        <f t="shared" si="146"/>
        <v>0.20450865103836158</v>
      </c>
      <c r="AD963" s="2"/>
      <c r="AE963">
        <f t="shared" si="147"/>
        <v>653512</v>
      </c>
      <c r="AF963">
        <f t="shared" si="148"/>
        <v>135857</v>
      </c>
      <c r="AH963" s="2">
        <f t="shared" si="149"/>
        <v>0.17210835490119322</v>
      </c>
      <c r="AI963" s="2"/>
      <c r="AJ963" s="2"/>
    </row>
    <row r="964" spans="2:36" x14ac:dyDescent="0.25">
      <c r="B964" s="1">
        <v>46133</v>
      </c>
      <c r="C964">
        <v>200831</v>
      </c>
      <c r="D964">
        <v>100944</v>
      </c>
      <c r="F964" s="2">
        <f t="shared" si="142"/>
        <v>0.33450086985336758</v>
      </c>
      <c r="I964">
        <v>220477</v>
      </c>
      <c r="J964">
        <v>77076</v>
      </c>
      <c r="L964" s="2">
        <f t="shared" si="143"/>
        <v>0.25903284456886672</v>
      </c>
      <c r="N964">
        <v>405256</v>
      </c>
      <c r="O964">
        <v>60869</v>
      </c>
      <c r="Q964" s="2">
        <f t="shared" si="144"/>
        <v>0.13058514347009922</v>
      </c>
      <c r="T964">
        <v>429907</v>
      </c>
      <c r="U964">
        <v>60564</v>
      </c>
      <c r="W964" s="2">
        <f t="shared" si="145"/>
        <v>0.12348130674392574</v>
      </c>
      <c r="Z964">
        <f t="shared" si="140"/>
        <v>606087</v>
      </c>
      <c r="AA964">
        <f t="shared" si="141"/>
        <v>161813</v>
      </c>
      <c r="AC964" s="2">
        <f t="shared" si="146"/>
        <v>0.21072144810522203</v>
      </c>
      <c r="AD964" s="2"/>
      <c r="AE964">
        <f t="shared" si="147"/>
        <v>650384</v>
      </c>
      <c r="AF964">
        <f t="shared" si="148"/>
        <v>137640</v>
      </c>
      <c r="AH964" s="2">
        <f t="shared" si="149"/>
        <v>0.17466473102342062</v>
      </c>
      <c r="AI964" s="2"/>
      <c r="AJ964" s="2"/>
    </row>
    <row r="965" spans="2:36" x14ac:dyDescent="0.25">
      <c r="B965" s="1">
        <v>46140</v>
      </c>
      <c r="C965">
        <v>193329</v>
      </c>
      <c r="D965">
        <v>112998</v>
      </c>
      <c r="F965" s="2">
        <f t="shared" si="142"/>
        <v>0.36888031417406891</v>
      </c>
      <c r="I965">
        <v>219650</v>
      </c>
      <c r="J965">
        <v>84149</v>
      </c>
      <c r="L965" s="2">
        <f t="shared" si="143"/>
        <v>0.27698906184681321</v>
      </c>
      <c r="N965">
        <v>418839</v>
      </c>
      <c r="O965">
        <v>64297</v>
      </c>
      <c r="Q965" s="2">
        <f t="shared" si="144"/>
        <v>0.13308261027950721</v>
      </c>
      <c r="T965">
        <v>446838</v>
      </c>
      <c r="U965">
        <v>63633</v>
      </c>
      <c r="W965" s="2">
        <f t="shared" si="145"/>
        <v>0.12465546524680149</v>
      </c>
      <c r="Z965">
        <f t="shared" si="140"/>
        <v>612168</v>
      </c>
      <c r="AA965">
        <f t="shared" si="141"/>
        <v>177295</v>
      </c>
      <c r="AC965" s="2">
        <f t="shared" si="146"/>
        <v>0.22457670593808704</v>
      </c>
      <c r="AD965" s="2"/>
      <c r="AE965">
        <f t="shared" si="147"/>
        <v>666488</v>
      </c>
      <c r="AF965">
        <f t="shared" si="148"/>
        <v>147782</v>
      </c>
      <c r="AH965" s="2">
        <f t="shared" si="149"/>
        <v>0.18149016910852667</v>
      </c>
      <c r="AI965" s="2"/>
      <c r="AJ965" s="2"/>
    </row>
    <row r="966" spans="2:36" x14ac:dyDescent="0.25">
      <c r="B966" s="1">
        <v>46147</v>
      </c>
      <c r="C966">
        <v>185755</v>
      </c>
      <c r="D966">
        <v>114964</v>
      </c>
      <c r="F966" s="2">
        <f t="shared" si="142"/>
        <v>0.38229709462987044</v>
      </c>
      <c r="I966">
        <v>214039</v>
      </c>
      <c r="J966">
        <v>82083</v>
      </c>
      <c r="L966" s="2">
        <f t="shared" si="143"/>
        <v>0.27719318389042352</v>
      </c>
      <c r="N966">
        <v>417792</v>
      </c>
      <c r="O966">
        <v>75750</v>
      </c>
      <c r="Q966" s="2">
        <f t="shared" si="144"/>
        <v>0.15348237839940673</v>
      </c>
      <c r="T966">
        <v>451458</v>
      </c>
      <c r="U966">
        <v>77253</v>
      </c>
      <c r="W966" s="2">
        <f t="shared" si="145"/>
        <v>0.14611574187032236</v>
      </c>
      <c r="Z966">
        <f t="shared" si="140"/>
        <v>603547</v>
      </c>
      <c r="AA966">
        <f t="shared" si="141"/>
        <v>190714</v>
      </c>
      <c r="AC966" s="2">
        <f t="shared" si="146"/>
        <v>0.24011502516175415</v>
      </c>
      <c r="AD966" s="2"/>
      <c r="AE966">
        <f t="shared" si="147"/>
        <v>665497</v>
      </c>
      <c r="AF966">
        <f t="shared" si="148"/>
        <v>159336</v>
      </c>
      <c r="AH966" s="2">
        <f t="shared" si="149"/>
        <v>0.19317364848399615</v>
      </c>
      <c r="AI966" s="2"/>
      <c r="AJ966" s="2"/>
    </row>
    <row r="967" spans="2:36" x14ac:dyDescent="0.25">
      <c r="B967" s="1">
        <v>46154</v>
      </c>
      <c r="C967">
        <v>187332</v>
      </c>
      <c r="D967">
        <v>114531</v>
      </c>
      <c r="F967" s="2">
        <f t="shared" si="142"/>
        <v>0.37941384005326922</v>
      </c>
      <c r="I967">
        <v>214128</v>
      </c>
      <c r="J967">
        <v>84545</v>
      </c>
      <c r="L967" s="2">
        <f t="shared" si="143"/>
        <v>0.28306877421126114</v>
      </c>
      <c r="N967">
        <v>398036</v>
      </c>
      <c r="O967">
        <v>82187</v>
      </c>
      <c r="Q967" s="2">
        <f t="shared" si="144"/>
        <v>0.17114340629249328</v>
      </c>
      <c r="T967">
        <v>432754</v>
      </c>
      <c r="U967">
        <v>86949</v>
      </c>
      <c r="W967" s="2">
        <f t="shared" si="145"/>
        <v>0.16730517237730011</v>
      </c>
      <c r="Z967">
        <f t="shared" si="140"/>
        <v>585368</v>
      </c>
      <c r="AA967">
        <f t="shared" si="141"/>
        <v>196718</v>
      </c>
      <c r="AC967" s="2">
        <f t="shared" si="146"/>
        <v>0.25152988290290323</v>
      </c>
      <c r="AD967" s="2"/>
      <c r="AE967">
        <f t="shared" si="147"/>
        <v>646882</v>
      </c>
      <c r="AF967">
        <f t="shared" si="148"/>
        <v>171494</v>
      </c>
      <c r="AH967" s="2">
        <f t="shared" si="149"/>
        <v>0.20955404361809241</v>
      </c>
      <c r="AI967" s="2"/>
      <c r="AJ967" s="2"/>
    </row>
    <row r="968" spans="2:36" x14ac:dyDescent="0.25">
      <c r="B968" s="1">
        <v>46161</v>
      </c>
      <c r="C968">
        <v>207565</v>
      </c>
      <c r="D968">
        <v>109346</v>
      </c>
      <c r="F968" s="2">
        <f t="shared" si="142"/>
        <v>0.34503693465988872</v>
      </c>
      <c r="I968">
        <v>216414</v>
      </c>
      <c r="J968">
        <v>77640</v>
      </c>
      <c r="L968" s="2">
        <f t="shared" si="143"/>
        <v>0.26403313677079721</v>
      </c>
      <c r="N968">
        <v>400490</v>
      </c>
      <c r="O968">
        <v>87226</v>
      </c>
      <c r="Q968" s="2">
        <f t="shared" si="144"/>
        <v>0.17884588572037824</v>
      </c>
      <c r="T968">
        <v>435594</v>
      </c>
      <c r="U968">
        <v>100306</v>
      </c>
      <c r="W968" s="2">
        <f t="shared" si="145"/>
        <v>0.18717298003358834</v>
      </c>
      <c r="Z968">
        <f t="shared" si="140"/>
        <v>608055</v>
      </c>
      <c r="AA968">
        <f t="shared" si="141"/>
        <v>196572</v>
      </c>
      <c r="AC968" s="2">
        <f t="shared" si="146"/>
        <v>0.24430201820222289</v>
      </c>
      <c r="AD968" s="2"/>
      <c r="AE968">
        <f t="shared" si="147"/>
        <v>652008</v>
      </c>
      <c r="AF968">
        <f t="shared" si="148"/>
        <v>177946</v>
      </c>
      <c r="AH968" s="2">
        <f t="shared" si="149"/>
        <v>0.21440465375189469</v>
      </c>
      <c r="AI968" s="2"/>
      <c r="AJ968" s="2"/>
    </row>
    <row r="969" spans="2:36" x14ac:dyDescent="0.25">
      <c r="B969" s="1">
        <v>46168</v>
      </c>
      <c r="C969">
        <v>200581</v>
      </c>
      <c r="D969">
        <v>120657</v>
      </c>
      <c r="F969" s="2">
        <f t="shared" si="142"/>
        <v>0.3756000224132886</v>
      </c>
      <c r="I969">
        <v>202764</v>
      </c>
      <c r="J969">
        <v>87002</v>
      </c>
      <c r="L969" s="2">
        <f t="shared" si="143"/>
        <v>0.30024916656888662</v>
      </c>
      <c r="N969">
        <v>380088</v>
      </c>
      <c r="O969">
        <v>107461</v>
      </c>
      <c r="Q969" s="2">
        <f t="shared" si="144"/>
        <v>0.22041066641506801</v>
      </c>
      <c r="T969">
        <v>404434</v>
      </c>
      <c r="U969">
        <v>125714</v>
      </c>
      <c r="W969" s="2">
        <f t="shared" si="145"/>
        <v>0.23713000897862482</v>
      </c>
      <c r="Z969">
        <f t="shared" ref="Z969:Z978" si="150">IFERROR(+C969+N969,C969)</f>
        <v>580669</v>
      </c>
      <c r="AA969">
        <f t="shared" ref="AA969:AA978" si="151">IFERROR(+D969+O969,D969)</f>
        <v>228118</v>
      </c>
      <c r="AC969" s="2">
        <f t="shared" si="146"/>
        <v>0.28204953838278807</v>
      </c>
      <c r="AD969" s="2"/>
      <c r="AE969">
        <f t="shared" si="147"/>
        <v>607198</v>
      </c>
      <c r="AF969">
        <f t="shared" si="148"/>
        <v>212716</v>
      </c>
      <c r="AH969" s="2">
        <f t="shared" si="149"/>
        <v>0.25943696534026739</v>
      </c>
      <c r="AI969" s="2"/>
      <c r="AJ969" s="2"/>
    </row>
    <row r="970" spans="2:36" x14ac:dyDescent="0.25">
      <c r="B970" s="1">
        <v>46175</v>
      </c>
      <c r="C970">
        <v>218787</v>
      </c>
      <c r="D970">
        <v>128022</v>
      </c>
      <c r="F970" s="2">
        <f t="shared" ref="F970:F984" si="152">+D970/SUM(C970:D970)</f>
        <v>0.36914266930788991</v>
      </c>
      <c r="I970">
        <v>221670</v>
      </c>
      <c r="J970">
        <v>97411</v>
      </c>
      <c r="L970" s="2">
        <f t="shared" ref="L970:L984" si="153">+J970/SUM(I970:J970)</f>
        <v>0.30528611857177329</v>
      </c>
      <c r="N970">
        <v>363035</v>
      </c>
      <c r="O970">
        <v>116126</v>
      </c>
      <c r="Q970" s="2">
        <f t="shared" ref="Q970:Q984" si="154">+O970/SUM(N970:O970)</f>
        <v>0.24235277912851838</v>
      </c>
      <c r="T970">
        <v>392532</v>
      </c>
      <c r="U970">
        <v>140032</v>
      </c>
      <c r="W970" s="2">
        <f t="shared" ref="W970:W984" si="155">+U970/SUM(T970:U970)</f>
        <v>0.26293928992571786</v>
      </c>
      <c r="Z970">
        <f t="shared" si="150"/>
        <v>581822</v>
      </c>
      <c r="AA970">
        <f t="shared" si="151"/>
        <v>244148</v>
      </c>
      <c r="AC970" s="2">
        <f t="shared" ref="AC970:AC978" si="156">+AA970/SUM(Z970:AA970)</f>
        <v>0.29558942818746442</v>
      </c>
      <c r="AD970" s="2"/>
      <c r="AE970">
        <f t="shared" ref="AE970:AE978" si="157">IFERROR(+I970+T970,I970)</f>
        <v>614202</v>
      </c>
      <c r="AF970">
        <f t="shared" ref="AF970:AF978" si="158">IFERROR(+J970+U970,J970)</f>
        <v>237443</v>
      </c>
      <c r="AH970" s="2">
        <f t="shared" ref="AH970:AH978" si="159">+AF970/SUM(AE970:AF970)</f>
        <v>0.27880513594279305</v>
      </c>
      <c r="AI970" s="2"/>
      <c r="AJ970" s="2"/>
    </row>
    <row r="971" spans="2:36" x14ac:dyDescent="0.25">
      <c r="B971" s="1">
        <v>46182</v>
      </c>
      <c r="C971">
        <v>213483</v>
      </c>
      <c r="D971">
        <v>118758</v>
      </c>
      <c r="F971" s="2">
        <f t="shared" si="152"/>
        <v>0.35744534840672887</v>
      </c>
      <c r="I971">
        <v>215237</v>
      </c>
      <c r="J971">
        <v>92030</v>
      </c>
      <c r="L971" s="2">
        <f t="shared" si="153"/>
        <v>0.29951149977055785</v>
      </c>
      <c r="N971">
        <v>338224</v>
      </c>
      <c r="O971">
        <v>120134</v>
      </c>
      <c r="Q971" s="2">
        <f t="shared" si="154"/>
        <v>0.26209643990068898</v>
      </c>
      <c r="T971">
        <v>365528</v>
      </c>
      <c r="U971">
        <v>156637</v>
      </c>
      <c r="W971" s="2">
        <f t="shared" si="155"/>
        <v>0.29997606120670667</v>
      </c>
      <c r="Z971">
        <f t="shared" si="150"/>
        <v>551707</v>
      </c>
      <c r="AA971">
        <f t="shared" si="151"/>
        <v>238892</v>
      </c>
      <c r="AC971" s="2">
        <f t="shared" si="156"/>
        <v>0.30216582616471815</v>
      </c>
      <c r="AD971" s="2"/>
      <c r="AE971">
        <f t="shared" si="157"/>
        <v>580765</v>
      </c>
      <c r="AF971">
        <f t="shared" si="158"/>
        <v>248667</v>
      </c>
      <c r="AH971" s="2">
        <f t="shared" si="159"/>
        <v>0.29980396222957395</v>
      </c>
      <c r="AI971" s="2"/>
      <c r="AJ971" s="2"/>
    </row>
    <row r="972" spans="2:36" x14ac:dyDescent="0.25">
      <c r="B972" s="1">
        <v>46189</v>
      </c>
      <c r="C972">
        <v>220173</v>
      </c>
      <c r="D972">
        <v>123945</v>
      </c>
      <c r="F972" s="2">
        <f t="shared" si="152"/>
        <v>0.36018168186494165</v>
      </c>
      <c r="I972">
        <v>220780</v>
      </c>
      <c r="J972">
        <v>102895</v>
      </c>
      <c r="L972" s="2">
        <f t="shared" si="153"/>
        <v>0.31789603769212943</v>
      </c>
      <c r="N972">
        <v>329415</v>
      </c>
      <c r="O972">
        <v>154608</v>
      </c>
      <c r="Q972" s="2">
        <f t="shared" si="154"/>
        <v>0.31942283734450638</v>
      </c>
      <c r="T972">
        <v>345346</v>
      </c>
      <c r="U972">
        <v>231218</v>
      </c>
      <c r="W972" s="2">
        <f t="shared" si="155"/>
        <v>0.40102746616160567</v>
      </c>
      <c r="Z972">
        <f t="shared" si="150"/>
        <v>549588</v>
      </c>
      <c r="AA972">
        <f t="shared" si="151"/>
        <v>278553</v>
      </c>
      <c r="AC972" s="2">
        <f t="shared" si="156"/>
        <v>0.33635938807521909</v>
      </c>
      <c r="AD972" s="2"/>
      <c r="AE972">
        <f t="shared" si="157"/>
        <v>566126</v>
      </c>
      <c r="AF972">
        <f t="shared" si="158"/>
        <v>334113</v>
      </c>
      <c r="AH972" s="2">
        <f t="shared" si="159"/>
        <v>0.37113810887997523</v>
      </c>
      <c r="AI972" s="2"/>
      <c r="AJ972" s="2"/>
    </row>
    <row r="973" spans="2:36" x14ac:dyDescent="0.25">
      <c r="B973" s="1">
        <v>46196</v>
      </c>
      <c r="C973">
        <v>209683</v>
      </c>
      <c r="D973">
        <v>126811</v>
      </c>
      <c r="F973" s="2">
        <f t="shared" si="152"/>
        <v>0.37685961711055771</v>
      </c>
      <c r="I973">
        <v>207881</v>
      </c>
      <c r="J973">
        <v>107586</v>
      </c>
      <c r="L973" s="2">
        <f t="shared" si="153"/>
        <v>0.34103725587779388</v>
      </c>
      <c r="N973">
        <v>303820</v>
      </c>
      <c r="O973">
        <v>165182</v>
      </c>
      <c r="Q973" s="2">
        <f t="shared" si="154"/>
        <v>0.35219892452484214</v>
      </c>
      <c r="T973">
        <v>293249</v>
      </c>
      <c r="U973">
        <v>202911</v>
      </c>
      <c r="W973" s="2">
        <f t="shared" si="155"/>
        <v>0.40896283456949373</v>
      </c>
      <c r="Z973">
        <f t="shared" si="150"/>
        <v>513503</v>
      </c>
      <c r="AA973">
        <f t="shared" si="151"/>
        <v>291993</v>
      </c>
      <c r="AC973" s="2">
        <f t="shared" si="156"/>
        <v>0.36250086902976553</v>
      </c>
      <c r="AD973" s="2"/>
      <c r="AE973">
        <f t="shared" si="157"/>
        <v>501130</v>
      </c>
      <c r="AF973">
        <f t="shared" si="158"/>
        <v>310497</v>
      </c>
      <c r="AH973" s="2">
        <f t="shared" si="159"/>
        <v>0.38256120114288955</v>
      </c>
      <c r="AI973" s="2"/>
      <c r="AJ973" s="2"/>
    </row>
    <row r="974" spans="2:36" s="3" customFormat="1" x14ac:dyDescent="0.25">
      <c r="B974" s="6">
        <v>46203</v>
      </c>
      <c r="C974" s="3">
        <v>203601</v>
      </c>
      <c r="D974" s="3">
        <v>122319</v>
      </c>
      <c r="F974" s="4">
        <f t="shared" si="152"/>
        <v>0.37530375552282769</v>
      </c>
      <c r="I974" s="3">
        <v>199357</v>
      </c>
      <c r="J974" s="3">
        <v>105644</v>
      </c>
      <c r="L974" s="4">
        <f t="shared" si="153"/>
        <v>0.34637263484382019</v>
      </c>
      <c r="N974" s="3">
        <v>271135</v>
      </c>
      <c r="O974" s="3">
        <v>169984</v>
      </c>
      <c r="Q974" s="4">
        <f t="shared" si="154"/>
        <v>0.38534726457033136</v>
      </c>
      <c r="T974" s="3">
        <v>281525</v>
      </c>
      <c r="U974" s="3">
        <v>225891</v>
      </c>
      <c r="W974" s="4">
        <f t="shared" si="155"/>
        <v>0.44517910353634887</v>
      </c>
      <c r="Y974" s="5"/>
      <c r="Z974" s="3">
        <f t="shared" si="150"/>
        <v>474736</v>
      </c>
      <c r="AA974" s="3">
        <f t="shared" si="151"/>
        <v>292303</v>
      </c>
      <c r="AC974" s="4">
        <f t="shared" si="156"/>
        <v>0.38107971041889654</v>
      </c>
      <c r="AD974" s="4"/>
      <c r="AE974" s="3">
        <f t="shared" si="157"/>
        <v>480882</v>
      </c>
      <c r="AF974" s="3">
        <f t="shared" si="158"/>
        <v>331535</v>
      </c>
      <c r="AH974" s="4">
        <f t="shared" si="159"/>
        <v>0.40808476435131219</v>
      </c>
      <c r="AI974" s="4"/>
      <c r="AJ974" s="4"/>
    </row>
    <row r="975" spans="2:36" x14ac:dyDescent="0.25">
      <c r="B975" s="1">
        <v>46210</v>
      </c>
      <c r="C975">
        <v>193113</v>
      </c>
      <c r="D975">
        <v>129072</v>
      </c>
      <c r="F975" s="2">
        <f t="shared" si="152"/>
        <v>0.40061455375017457</v>
      </c>
      <c r="I975">
        <v>186489</v>
      </c>
      <c r="J975">
        <v>111810</v>
      </c>
      <c r="L975" s="2">
        <f t="shared" si="153"/>
        <v>0.37482525921977611</v>
      </c>
      <c r="N975">
        <v>265669</v>
      </c>
      <c r="O975">
        <v>169232</v>
      </c>
      <c r="Q975" s="2">
        <f t="shared" si="154"/>
        <v>0.38912764054348004</v>
      </c>
      <c r="T975">
        <v>281158</v>
      </c>
      <c r="U975">
        <v>226071</v>
      </c>
      <c r="W975" s="2">
        <f t="shared" si="155"/>
        <v>0.44569809691480572</v>
      </c>
      <c r="Z975">
        <f t="shared" si="150"/>
        <v>458782</v>
      </c>
      <c r="AA975">
        <f t="shared" si="151"/>
        <v>298304</v>
      </c>
      <c r="AC975" s="2">
        <f t="shared" si="156"/>
        <v>0.39401600346592064</v>
      </c>
      <c r="AD975" s="2"/>
      <c r="AE975">
        <f t="shared" si="157"/>
        <v>467647</v>
      </c>
      <c r="AF975">
        <f t="shared" si="158"/>
        <v>337881</v>
      </c>
      <c r="AH975" s="2">
        <f t="shared" si="159"/>
        <v>0.41945283093821695</v>
      </c>
      <c r="AI975" s="2"/>
      <c r="AJ975" s="2"/>
    </row>
    <row r="976" spans="2:36" x14ac:dyDescent="0.25">
      <c r="B976" s="1">
        <v>46217</v>
      </c>
      <c r="C976">
        <v>181161</v>
      </c>
      <c r="D976">
        <v>119187</v>
      </c>
      <c r="F976" s="2">
        <f t="shared" si="152"/>
        <v>0.39682967757401416</v>
      </c>
      <c r="I976">
        <v>182883</v>
      </c>
      <c r="J976">
        <v>96500</v>
      </c>
      <c r="L976" s="2">
        <f t="shared" si="153"/>
        <v>0.34540397948336155</v>
      </c>
      <c r="N976">
        <v>319311</v>
      </c>
      <c r="O976">
        <v>151560</v>
      </c>
      <c r="Q976" s="2">
        <f t="shared" si="154"/>
        <v>0.32187159540511096</v>
      </c>
      <c r="T976">
        <v>357154</v>
      </c>
      <c r="U976">
        <v>187315</v>
      </c>
      <c r="W976" s="2">
        <f t="shared" si="155"/>
        <v>0.34403244261840438</v>
      </c>
      <c r="Z976">
        <f t="shared" si="150"/>
        <v>500472</v>
      </c>
      <c r="AA976">
        <f t="shared" si="151"/>
        <v>270747</v>
      </c>
      <c r="AC976" s="2">
        <f t="shared" si="156"/>
        <v>0.3510637056400322</v>
      </c>
      <c r="AD976" s="2"/>
      <c r="AE976">
        <f t="shared" si="157"/>
        <v>540037</v>
      </c>
      <c r="AF976">
        <f t="shared" si="158"/>
        <v>283815</v>
      </c>
      <c r="AH976" s="2">
        <f t="shared" si="159"/>
        <v>0.34449755538616161</v>
      </c>
      <c r="AI976" s="2"/>
      <c r="AJ976" s="2"/>
    </row>
    <row r="977" spans="2:36" x14ac:dyDescent="0.25">
      <c r="B977" s="1">
        <v>46224</v>
      </c>
      <c r="C977">
        <v>187469</v>
      </c>
      <c r="D977">
        <v>123490</v>
      </c>
      <c r="F977" s="2">
        <f t="shared" si="152"/>
        <v>0.39712630925620418</v>
      </c>
      <c r="I977">
        <v>189485</v>
      </c>
      <c r="J977">
        <v>102580</v>
      </c>
      <c r="L977" s="2">
        <f t="shared" si="153"/>
        <v>0.35122318661941693</v>
      </c>
      <c r="N977">
        <v>322915</v>
      </c>
      <c r="O977">
        <v>134840</v>
      </c>
      <c r="Q977" s="2">
        <f t="shared" si="154"/>
        <v>0.29456805496389993</v>
      </c>
      <c r="T977">
        <v>353600</v>
      </c>
      <c r="U977">
        <v>161569</v>
      </c>
      <c r="W977" s="2">
        <f t="shared" si="155"/>
        <v>0.31362329643282105</v>
      </c>
      <c r="Z977">
        <f t="shared" si="150"/>
        <v>510384</v>
      </c>
      <c r="AA977">
        <f t="shared" si="151"/>
        <v>258330</v>
      </c>
      <c r="AC977" s="2">
        <f t="shared" si="156"/>
        <v>0.3360547615888354</v>
      </c>
      <c r="AD977" s="2"/>
      <c r="AE977">
        <f t="shared" si="157"/>
        <v>543085</v>
      </c>
      <c r="AF977">
        <f t="shared" si="158"/>
        <v>264149</v>
      </c>
      <c r="AH977" s="2">
        <f t="shared" si="159"/>
        <v>0.32722729716538201</v>
      </c>
      <c r="AI977" s="2"/>
      <c r="AJ977" s="2"/>
    </row>
    <row r="978" spans="2:36" x14ac:dyDescent="0.25">
      <c r="B978" s="1">
        <v>46231</v>
      </c>
      <c r="C978">
        <v>193959</v>
      </c>
      <c r="D978">
        <v>101016</v>
      </c>
      <c r="F978" s="2">
        <f t="shared" si="152"/>
        <v>0.34245614035087718</v>
      </c>
      <c r="I978">
        <v>195035</v>
      </c>
      <c r="J978">
        <v>86728</v>
      </c>
      <c r="L978" s="2">
        <f t="shared" si="153"/>
        <v>0.30780478629202557</v>
      </c>
      <c r="N978">
        <v>331984</v>
      </c>
      <c r="O978">
        <v>127459</v>
      </c>
      <c r="Q978" s="2">
        <f t="shared" si="154"/>
        <v>0.27742070289459192</v>
      </c>
      <c r="T978">
        <v>350373</v>
      </c>
      <c r="U978">
        <v>165290</v>
      </c>
      <c r="W978" s="2">
        <f t="shared" si="155"/>
        <v>0.32053880150408309</v>
      </c>
      <c r="Z978">
        <f t="shared" si="150"/>
        <v>525943</v>
      </c>
      <c r="AA978">
        <f t="shared" si="151"/>
        <v>228475</v>
      </c>
      <c r="AC978" s="2">
        <f t="shared" si="156"/>
        <v>0.30284934876951503</v>
      </c>
      <c r="AD978" s="2"/>
      <c r="AE978">
        <f t="shared" si="157"/>
        <v>545408</v>
      </c>
      <c r="AF978">
        <f t="shared" si="158"/>
        <v>252018</v>
      </c>
      <c r="AH978" s="2">
        <f t="shared" si="159"/>
        <v>0.31603935662995691</v>
      </c>
      <c r="AI978" s="2"/>
      <c r="AJ978" s="2"/>
    </row>
    <row r="979" spans="2:36" x14ac:dyDescent="0.25">
      <c r="B979" s="1">
        <v>46238</v>
      </c>
      <c r="C979">
        <v>189518</v>
      </c>
      <c r="D979">
        <v>102560</v>
      </c>
      <c r="F979" s="2">
        <f t="shared" si="152"/>
        <v>0.35113907928703975</v>
      </c>
      <c r="I979">
        <v>191726</v>
      </c>
      <c r="J979">
        <v>90676</v>
      </c>
      <c r="L979" s="2">
        <f t="shared" si="153"/>
        <v>0.32108837756106545</v>
      </c>
      <c r="N979">
        <v>325317</v>
      </c>
      <c r="O979">
        <v>131233</v>
      </c>
      <c r="Q979" s="2">
        <f t="shared" si="154"/>
        <v>0.28744496769247618</v>
      </c>
      <c r="T979">
        <v>340418</v>
      </c>
      <c r="U979">
        <v>175696</v>
      </c>
      <c r="W979" s="2">
        <f t="shared" si="155"/>
        <v>0.34042091475914238</v>
      </c>
      <c r="Z979">
        <f t="shared" ref="Z979" si="160">IFERROR(+C979+N979,C979)</f>
        <v>514835</v>
      </c>
      <c r="AA979">
        <f t="shared" ref="AA979" si="161">IFERROR(+D979+O979,D979)</f>
        <v>233793</v>
      </c>
      <c r="AC979" s="2">
        <f t="shared" ref="AC979" si="162">+AA979/SUM(Z979:AA979)</f>
        <v>0.3122952921878423</v>
      </c>
      <c r="AD979" s="2"/>
      <c r="AE979">
        <f t="shared" ref="AE979" si="163">IFERROR(+I979+T979,I979)</f>
        <v>532144</v>
      </c>
      <c r="AF979">
        <f t="shared" ref="AF979" si="164">IFERROR(+J979+U979,J979)</f>
        <v>266372</v>
      </c>
      <c r="AH979" s="2">
        <f t="shared" ref="AH979" si="165">+AF979/SUM(AE979:AF979)</f>
        <v>0.33358379794518833</v>
      </c>
      <c r="AI979" s="2"/>
      <c r="AJ979" s="2"/>
    </row>
    <row r="980" spans="2:36" x14ac:dyDescent="0.25">
      <c r="B980" s="1">
        <v>46245</v>
      </c>
      <c r="C980">
        <v>190554</v>
      </c>
      <c r="D980">
        <v>110638</v>
      </c>
      <c r="F980" s="2">
        <f t="shared" si="152"/>
        <v>0.36733379372626102</v>
      </c>
      <c r="I980">
        <v>192505</v>
      </c>
      <c r="J980">
        <v>88790</v>
      </c>
      <c r="L980" s="2">
        <f t="shared" si="153"/>
        <v>0.31564727421390354</v>
      </c>
      <c r="N980">
        <v>368997</v>
      </c>
      <c r="O980">
        <v>123056</v>
      </c>
      <c r="Q980" s="2">
        <f t="shared" si="154"/>
        <v>0.25008688088478276</v>
      </c>
      <c r="T980">
        <v>392236</v>
      </c>
      <c r="U980">
        <v>151488</v>
      </c>
      <c r="W980" s="2">
        <f t="shared" si="155"/>
        <v>0.27861194282393276</v>
      </c>
      <c r="Z980">
        <f t="shared" ref="Z980:Z981" si="166">IFERROR(+C980+N980,C980)</f>
        <v>559551</v>
      </c>
      <c r="AA980">
        <f t="shared" ref="AA980:AA981" si="167">IFERROR(+D980+O980,D980)</f>
        <v>233694</v>
      </c>
      <c r="AC980" s="2">
        <f t="shared" ref="AC980:AC981" si="168">+AA980/SUM(Z980:AA980)</f>
        <v>0.29460507157309535</v>
      </c>
      <c r="AD980" s="2"/>
      <c r="AE980">
        <f t="shared" ref="AE980:AE981" si="169">IFERROR(+I980+T980,I980)</f>
        <v>584741</v>
      </c>
      <c r="AF980">
        <f t="shared" ref="AF980:AF981" si="170">IFERROR(+J980+U980,J980)</f>
        <v>240278</v>
      </c>
      <c r="AH980" s="2">
        <f t="shared" ref="AH980:AH981" si="171">+AF980/SUM(AE980:AF980)</f>
        <v>0.29123935327550032</v>
      </c>
    </row>
    <row r="981" spans="2:36" x14ac:dyDescent="0.25">
      <c r="B981" s="1">
        <v>46252</v>
      </c>
      <c r="C981">
        <v>195538</v>
      </c>
      <c r="D981">
        <v>108059</v>
      </c>
      <c r="F981" s="2">
        <f t="shared" si="152"/>
        <v>0.3559290770330405</v>
      </c>
      <c r="I981">
        <v>195631</v>
      </c>
      <c r="J981">
        <v>91596</v>
      </c>
      <c r="L981" s="2">
        <f t="shared" si="153"/>
        <v>0.31889759667440737</v>
      </c>
      <c r="N981">
        <v>367808</v>
      </c>
      <c r="O981">
        <v>120717</v>
      </c>
      <c r="Q981" s="2">
        <f t="shared" si="154"/>
        <v>0.24710506115347219</v>
      </c>
      <c r="T981">
        <v>383124</v>
      </c>
      <c r="U981">
        <v>131227</v>
      </c>
      <c r="W981" s="2">
        <f t="shared" si="155"/>
        <v>0.25513122361966828</v>
      </c>
      <c r="Z981">
        <f t="shared" si="166"/>
        <v>563346</v>
      </c>
      <c r="AA981">
        <f t="shared" si="167"/>
        <v>228776</v>
      </c>
      <c r="AC981" s="2">
        <f t="shared" si="168"/>
        <v>0.28881409681841941</v>
      </c>
      <c r="AD981" s="2"/>
      <c r="AE981">
        <f t="shared" si="169"/>
        <v>578755</v>
      </c>
      <c r="AF981">
        <f t="shared" si="170"/>
        <v>222823</v>
      </c>
      <c r="AH981" s="2">
        <f t="shared" si="171"/>
        <v>0.2779804335947344</v>
      </c>
    </row>
    <row r="982" spans="2:36" x14ac:dyDescent="0.25">
      <c r="B982" s="1">
        <v>46259</v>
      </c>
      <c r="C982">
        <v>196882</v>
      </c>
      <c r="D982">
        <v>112862</v>
      </c>
      <c r="F982" s="2">
        <f t="shared" si="152"/>
        <v>0.36437186838163127</v>
      </c>
      <c r="I982">
        <v>203162</v>
      </c>
      <c r="J982">
        <v>98589</v>
      </c>
      <c r="L982" s="2">
        <f t="shared" si="153"/>
        <v>0.32672302660140312</v>
      </c>
      <c r="N982">
        <v>345087</v>
      </c>
      <c r="O982">
        <v>119826</v>
      </c>
      <c r="Q982" s="2">
        <f t="shared" si="154"/>
        <v>0.25773854463093093</v>
      </c>
      <c r="T982">
        <v>354170</v>
      </c>
      <c r="U982">
        <v>130572</v>
      </c>
      <c r="W982" s="2">
        <f t="shared" si="155"/>
        <v>0.26936390904852481</v>
      </c>
      <c r="Z982">
        <f t="shared" ref="Z982:Z984" si="172">IFERROR(+C982+N982,C982)</f>
        <v>541969</v>
      </c>
      <c r="AA982">
        <f t="shared" ref="AA982:AA984" si="173">IFERROR(+D982+O982,D982)</f>
        <v>232688</v>
      </c>
      <c r="AC982" s="2">
        <f t="shared" ref="AC982:AC984" si="174">+AA982/SUM(Z982:AA982)</f>
        <v>0.30037552103705251</v>
      </c>
      <c r="AD982" s="2"/>
      <c r="AE982">
        <f t="shared" ref="AE982:AE984" si="175">IFERROR(+I982+T982,I982)</f>
        <v>557332</v>
      </c>
      <c r="AF982">
        <f t="shared" ref="AF982:AF984" si="176">IFERROR(+J982+U982,J982)</f>
        <v>229161</v>
      </c>
      <c r="AH982" s="2">
        <f t="shared" ref="AH982:AH984" si="177">+AF982/SUM(AE982:AF982)</f>
        <v>0.29137067971361474</v>
      </c>
    </row>
    <row r="983" spans="2:36" x14ac:dyDescent="0.25">
      <c r="B983" s="1">
        <v>46266</v>
      </c>
      <c r="C983">
        <v>205300</v>
      </c>
      <c r="D983">
        <v>111019</v>
      </c>
      <c r="F983" s="2">
        <f t="shared" si="152"/>
        <v>0.35097164571208178</v>
      </c>
      <c r="I983">
        <v>211013</v>
      </c>
      <c r="J983">
        <v>91394</v>
      </c>
      <c r="L983" s="2">
        <f t="shared" si="153"/>
        <v>0.30222184010290765</v>
      </c>
      <c r="N983">
        <v>352427</v>
      </c>
      <c r="O983">
        <v>102463</v>
      </c>
      <c r="Q983" s="2">
        <f t="shared" si="154"/>
        <v>0.22524786212051265</v>
      </c>
      <c r="T983">
        <v>369299</v>
      </c>
      <c r="U983">
        <v>107864</v>
      </c>
      <c r="W983" s="2">
        <f t="shared" si="155"/>
        <v>0.22605273250440625</v>
      </c>
      <c r="Z983">
        <f t="shared" si="172"/>
        <v>557727</v>
      </c>
      <c r="AA983">
        <f t="shared" si="173"/>
        <v>213482</v>
      </c>
      <c r="AC983" s="2">
        <f t="shared" si="174"/>
        <v>0.27681471559590204</v>
      </c>
      <c r="AD983" s="2"/>
      <c r="AE983">
        <f t="shared" si="175"/>
        <v>580312</v>
      </c>
      <c r="AF983">
        <f t="shared" si="176"/>
        <v>199258</v>
      </c>
      <c r="AH983" s="2">
        <f t="shared" si="177"/>
        <v>0.25559988198622319</v>
      </c>
    </row>
    <row r="984" spans="2:36" x14ac:dyDescent="0.25">
      <c r="B984" s="1">
        <v>46273</v>
      </c>
      <c r="C984">
        <v>205300</v>
      </c>
      <c r="D984">
        <v>111019</v>
      </c>
      <c r="F984" s="2">
        <f t="shared" si="152"/>
        <v>0.35097164571208178</v>
      </c>
      <c r="I984">
        <v>211013</v>
      </c>
      <c r="J984">
        <v>91394</v>
      </c>
      <c r="L984" s="2">
        <f t="shared" si="153"/>
        <v>0.30222184010290765</v>
      </c>
      <c r="N984">
        <v>356802</v>
      </c>
      <c r="O984">
        <v>97321</v>
      </c>
      <c r="Q984" s="2">
        <f t="shared" si="154"/>
        <v>0.21430537541591155</v>
      </c>
      <c r="T984">
        <v>369390</v>
      </c>
      <c r="U984">
        <v>103637</v>
      </c>
      <c r="W984" s="2">
        <f t="shared" si="155"/>
        <v>0.21909320186796949</v>
      </c>
      <c r="Z984">
        <f t="shared" si="172"/>
        <v>562102</v>
      </c>
      <c r="AA984">
        <f t="shared" si="173"/>
        <v>208340</v>
      </c>
      <c r="AC984" s="2">
        <f>+AA984/SUM(Z984:AA984)</f>
        <v>0.27041620264731153</v>
      </c>
      <c r="AD984" s="2"/>
      <c r="AE984">
        <f t="shared" si="175"/>
        <v>580403</v>
      </c>
      <c r="AF984">
        <f t="shared" si="176"/>
        <v>195031</v>
      </c>
      <c r="AH984" s="2">
        <f t="shared" si="177"/>
        <v>0.2515120564741809</v>
      </c>
    </row>
    <row r="985" spans="2:36" x14ac:dyDescent="0.25">
      <c r="B985" s="1"/>
    </row>
    <row r="986" spans="2:36" x14ac:dyDescent="0.25">
      <c r="B986" s="1"/>
    </row>
    <row r="987" spans="2:36" x14ac:dyDescent="0.25">
      <c r="B987" s="1"/>
    </row>
    <row r="988" spans="2:36" x14ac:dyDescent="0.25">
      <c r="B988" s="1"/>
    </row>
    <row r="989" spans="2:36" x14ac:dyDescent="0.25">
      <c r="B989" s="1"/>
    </row>
    <row r="990" spans="2:36" x14ac:dyDescent="0.25">
      <c r="B990" s="1"/>
    </row>
    <row r="991" spans="2:36" x14ac:dyDescent="0.25">
      <c r="B991" s="1"/>
    </row>
    <row r="992" spans="2:36" x14ac:dyDescent="0.25">
      <c r="B992" s="1"/>
    </row>
    <row r="993" spans="2:2" x14ac:dyDescent="0.25">
      <c r="B993" s="1"/>
    </row>
    <row r="994" spans="2:2" x14ac:dyDescent="0.25">
      <c r="B994" s="1"/>
    </row>
    <row r="995" spans="2:2" x14ac:dyDescent="0.25">
      <c r="B995" s="1"/>
    </row>
    <row r="996" spans="2:2" x14ac:dyDescent="0.25">
      <c r="B996" s="1"/>
    </row>
    <row r="997" spans="2:2" x14ac:dyDescent="0.25">
      <c r="B997" s="1"/>
    </row>
    <row r="998" spans="2:2" x14ac:dyDescent="0.25">
      <c r="B998" s="1"/>
    </row>
    <row r="999" spans="2:2" x14ac:dyDescent="0.25">
      <c r="B999" s="1"/>
    </row>
    <row r="1000" spans="2:2" x14ac:dyDescent="0.25">
      <c r="B1000" s="1"/>
    </row>
    <row r="1001" spans="2:2" x14ac:dyDescent="0.25">
      <c r="B1001" s="1"/>
    </row>
    <row r="1002" spans="2:2" x14ac:dyDescent="0.25">
      <c r="B1002" s="1"/>
    </row>
    <row r="1003" spans="2:2" x14ac:dyDescent="0.25">
      <c r="B1003" s="1"/>
    </row>
    <row r="1004" spans="2:2" x14ac:dyDescent="0.25">
      <c r="B1004" s="1"/>
    </row>
    <row r="1005" spans="2:2" x14ac:dyDescent="0.25">
      <c r="B1005" s="1"/>
    </row>
    <row r="1006" spans="2:2" x14ac:dyDescent="0.25">
      <c r="B1006" s="1"/>
    </row>
    <row r="1007" spans="2:2" x14ac:dyDescent="0.25">
      <c r="B1007" s="1"/>
    </row>
    <row r="1008" spans="2:2" x14ac:dyDescent="0.25">
      <c r="B1008" s="1"/>
    </row>
    <row r="1009" spans="2:2" x14ac:dyDescent="0.25">
      <c r="B1009" s="1"/>
    </row>
    <row r="1010" spans="2:2" x14ac:dyDescent="0.25">
      <c r="B1010" s="1"/>
    </row>
    <row r="1011" spans="2:2" x14ac:dyDescent="0.25">
      <c r="B1011" s="1"/>
    </row>
    <row r="1012" spans="2:2" x14ac:dyDescent="0.25">
      <c r="B1012" s="1"/>
    </row>
    <row r="1013" spans="2:2" x14ac:dyDescent="0.25">
      <c r="B1013" s="1"/>
    </row>
    <row r="1014" spans="2:2" x14ac:dyDescent="0.25">
      <c r="B1014" s="1"/>
    </row>
    <row r="1015" spans="2:2" x14ac:dyDescent="0.25">
      <c r="B1015" s="1"/>
    </row>
    <row r="1016" spans="2:2" x14ac:dyDescent="0.25">
      <c r="B1016" s="1"/>
    </row>
    <row r="1017" spans="2:2" x14ac:dyDescent="0.25">
      <c r="B1017" s="1"/>
    </row>
    <row r="1018" spans="2:2" x14ac:dyDescent="0.25">
      <c r="B1018" s="1"/>
    </row>
    <row r="1019" spans="2:2" x14ac:dyDescent="0.25">
      <c r="B1019" s="1"/>
    </row>
    <row r="1020" spans="2:2" x14ac:dyDescent="0.25">
      <c r="B1020" s="1"/>
    </row>
    <row r="1021" spans="2:2" x14ac:dyDescent="0.25">
      <c r="B1021" s="1"/>
    </row>
    <row r="1022" spans="2:2" x14ac:dyDescent="0.25">
      <c r="B1022" s="1"/>
    </row>
    <row r="1023" spans="2:2" x14ac:dyDescent="0.25">
      <c r="B1023" s="1"/>
    </row>
    <row r="1024" spans="2:2" x14ac:dyDescent="0.25">
      <c r="B1024" s="1"/>
    </row>
    <row r="1025" spans="2:2" x14ac:dyDescent="0.25">
      <c r="B1025" s="1"/>
    </row>
    <row r="1026" spans="2:2" x14ac:dyDescent="0.25">
      <c r="B1026" s="1"/>
    </row>
    <row r="1027" spans="2:2" x14ac:dyDescent="0.25">
      <c r="B1027" s="1"/>
    </row>
    <row r="1028" spans="2:2" x14ac:dyDescent="0.25">
      <c r="B1028" s="1"/>
    </row>
    <row r="1029" spans="2:2" x14ac:dyDescent="0.25">
      <c r="B1029" s="1"/>
    </row>
    <row r="1030" spans="2:2" x14ac:dyDescent="0.25">
      <c r="B1030" s="1"/>
    </row>
    <row r="1031" spans="2:2" x14ac:dyDescent="0.25">
      <c r="B1031" s="1"/>
    </row>
    <row r="1032" spans="2:2" x14ac:dyDescent="0.25">
      <c r="B1032" s="1"/>
    </row>
    <row r="1033" spans="2:2" x14ac:dyDescent="0.25">
      <c r="B1033" s="1"/>
    </row>
    <row r="1034" spans="2:2" x14ac:dyDescent="0.25">
      <c r="B1034" s="1"/>
    </row>
    <row r="1035" spans="2:2" x14ac:dyDescent="0.25">
      <c r="B1035" s="1"/>
    </row>
    <row r="1036" spans="2:2" x14ac:dyDescent="0.25">
      <c r="B1036" s="1"/>
    </row>
    <row r="1037" spans="2:2" x14ac:dyDescent="0.25">
      <c r="B1037" s="1"/>
    </row>
    <row r="1038" spans="2:2" x14ac:dyDescent="0.25">
      <c r="B1038" s="1"/>
    </row>
    <row r="1039" spans="2:2" x14ac:dyDescent="0.25">
      <c r="B1039" s="1"/>
    </row>
    <row r="1040" spans="2:2" x14ac:dyDescent="0.25">
      <c r="B1040" s="1"/>
    </row>
    <row r="1041" spans="2:2" x14ac:dyDescent="0.25">
      <c r="B1041" s="1"/>
    </row>
    <row r="1042" spans="2:2" x14ac:dyDescent="0.25">
      <c r="B1042" s="1"/>
    </row>
    <row r="1043" spans="2:2" x14ac:dyDescent="0.25">
      <c r="B1043" s="1"/>
    </row>
    <row r="1044" spans="2:2" x14ac:dyDescent="0.25">
      <c r="B1044" s="1"/>
    </row>
    <row r="1045" spans="2:2" x14ac:dyDescent="0.25">
      <c r="B1045" s="1"/>
    </row>
    <row r="1046" spans="2:2" x14ac:dyDescent="0.25">
      <c r="B1046" s="1"/>
    </row>
    <row r="1047" spans="2:2" x14ac:dyDescent="0.25">
      <c r="B1047" s="1"/>
    </row>
    <row r="1048" spans="2:2" x14ac:dyDescent="0.25">
      <c r="B1048" s="1"/>
    </row>
    <row r="1049" spans="2:2" x14ac:dyDescent="0.25">
      <c r="B1049" s="1"/>
    </row>
    <row r="1050" spans="2:2" x14ac:dyDescent="0.25">
      <c r="B1050" s="1"/>
    </row>
    <row r="1051" spans="2:2" x14ac:dyDescent="0.25">
      <c r="B1051" s="1"/>
    </row>
    <row r="1052" spans="2:2" x14ac:dyDescent="0.25">
      <c r="B1052" s="1"/>
    </row>
    <row r="1053" spans="2:2" x14ac:dyDescent="0.25">
      <c r="B1053" s="1"/>
    </row>
    <row r="1054" spans="2:2" x14ac:dyDescent="0.25">
      <c r="B1054" s="1"/>
    </row>
    <row r="1055" spans="2:2" x14ac:dyDescent="0.25">
      <c r="B1055" s="1"/>
    </row>
    <row r="1056" spans="2:2" x14ac:dyDescent="0.25">
      <c r="B1056" s="1"/>
    </row>
    <row r="1057" spans="2:2" x14ac:dyDescent="0.25">
      <c r="B1057" s="1"/>
    </row>
    <row r="1058" spans="2:2" x14ac:dyDescent="0.25">
      <c r="B1058" s="1"/>
    </row>
    <row r="1059" spans="2:2" x14ac:dyDescent="0.25">
      <c r="B1059" s="1"/>
    </row>
    <row r="1060" spans="2:2" x14ac:dyDescent="0.25">
      <c r="B1060" s="1"/>
    </row>
    <row r="1061" spans="2:2" x14ac:dyDescent="0.25">
      <c r="B1061" s="1"/>
    </row>
    <row r="1062" spans="2:2" x14ac:dyDescent="0.25">
      <c r="B1062" s="1"/>
    </row>
    <row r="1063" spans="2:2" x14ac:dyDescent="0.25">
      <c r="B1063" s="1"/>
    </row>
    <row r="1064" spans="2:2" x14ac:dyDescent="0.25">
      <c r="B1064" s="1"/>
    </row>
    <row r="1065" spans="2:2" x14ac:dyDescent="0.25">
      <c r="B1065" s="1"/>
    </row>
    <row r="1066" spans="2:2" x14ac:dyDescent="0.25">
      <c r="B1066" s="1"/>
    </row>
    <row r="1067" spans="2:2" x14ac:dyDescent="0.25">
      <c r="B1067" s="1"/>
    </row>
    <row r="1068" spans="2:2" x14ac:dyDescent="0.25">
      <c r="B1068" s="1"/>
    </row>
    <row r="1069" spans="2:2" x14ac:dyDescent="0.25">
      <c r="B1069" s="1"/>
    </row>
    <row r="1070" spans="2:2" x14ac:dyDescent="0.25">
      <c r="B1070" s="1"/>
    </row>
    <row r="1071" spans="2:2" x14ac:dyDescent="0.25">
      <c r="B1071" s="1"/>
    </row>
    <row r="1072" spans="2:2" x14ac:dyDescent="0.25">
      <c r="B1072" s="1"/>
    </row>
    <row r="1073" spans="2:2" x14ac:dyDescent="0.25">
      <c r="B1073" s="1"/>
    </row>
    <row r="1074" spans="2:2" x14ac:dyDescent="0.25">
      <c r="B1074" s="1"/>
    </row>
    <row r="1075" spans="2:2" x14ac:dyDescent="0.25">
      <c r="B1075" s="1"/>
    </row>
    <row r="1076" spans="2:2" x14ac:dyDescent="0.25">
      <c r="B1076" s="1"/>
    </row>
    <row r="1077" spans="2:2" x14ac:dyDescent="0.25">
      <c r="B1077" s="1"/>
    </row>
    <row r="1078" spans="2:2" x14ac:dyDescent="0.25">
      <c r="B1078" s="1"/>
    </row>
    <row r="1079" spans="2:2" x14ac:dyDescent="0.25">
      <c r="B1079" s="1"/>
    </row>
    <row r="1080" spans="2:2" x14ac:dyDescent="0.25">
      <c r="B1080" s="1"/>
    </row>
    <row r="1081" spans="2:2" x14ac:dyDescent="0.25">
      <c r="B1081" s="1"/>
    </row>
    <row r="1082" spans="2:2" x14ac:dyDescent="0.25">
      <c r="B1082" s="1"/>
    </row>
    <row r="1083" spans="2:2" x14ac:dyDescent="0.25">
      <c r="B1083" s="1"/>
    </row>
    <row r="1084" spans="2:2" x14ac:dyDescent="0.25">
      <c r="B1084" s="1"/>
    </row>
    <row r="1085" spans="2:2" x14ac:dyDescent="0.25">
      <c r="B1085" s="1"/>
    </row>
    <row r="1086" spans="2:2" x14ac:dyDescent="0.25">
      <c r="B1086" s="1"/>
    </row>
    <row r="1087" spans="2:2" x14ac:dyDescent="0.25">
      <c r="B1087" s="1"/>
    </row>
    <row r="1088" spans="2:2" x14ac:dyDescent="0.25">
      <c r="B1088" s="1"/>
    </row>
    <row r="1089" spans="2:2" x14ac:dyDescent="0.25">
      <c r="B1089" s="1"/>
    </row>
    <row r="1090" spans="2:2" x14ac:dyDescent="0.25">
      <c r="B1090" s="1"/>
    </row>
    <row r="1091" spans="2:2" x14ac:dyDescent="0.25">
      <c r="B1091" s="1"/>
    </row>
    <row r="1092" spans="2:2" x14ac:dyDescent="0.25">
      <c r="B1092" s="1"/>
    </row>
    <row r="1093" spans="2:2" x14ac:dyDescent="0.25">
      <c r="B1093" s="1"/>
    </row>
    <row r="1094" spans="2:2" x14ac:dyDescent="0.25">
      <c r="B1094" s="1"/>
    </row>
    <row r="1095" spans="2:2" x14ac:dyDescent="0.25">
      <c r="B1095" s="1"/>
    </row>
    <row r="1096" spans="2:2" x14ac:dyDescent="0.25">
      <c r="B1096" s="1"/>
    </row>
    <row r="1097" spans="2:2" x14ac:dyDescent="0.25">
      <c r="B1097" s="1"/>
    </row>
    <row r="1098" spans="2:2" x14ac:dyDescent="0.25">
      <c r="B1098" s="1"/>
    </row>
    <row r="1099" spans="2:2" x14ac:dyDescent="0.25">
      <c r="B1099" s="1"/>
    </row>
    <row r="1100" spans="2:2" x14ac:dyDescent="0.25">
      <c r="B1100" s="1"/>
    </row>
    <row r="1101" spans="2:2" x14ac:dyDescent="0.25">
      <c r="B1101" s="1"/>
    </row>
    <row r="1102" spans="2:2" x14ac:dyDescent="0.25">
      <c r="B1102" s="1"/>
    </row>
    <row r="1103" spans="2:2" x14ac:dyDescent="0.25">
      <c r="B1103" s="1"/>
    </row>
    <row r="1104" spans="2:2" x14ac:dyDescent="0.25">
      <c r="B1104" s="1"/>
    </row>
    <row r="1105" spans="2:2" x14ac:dyDescent="0.25">
      <c r="B1105" s="1"/>
    </row>
    <row r="1106" spans="2:2" x14ac:dyDescent="0.25">
      <c r="B1106" s="1"/>
    </row>
    <row r="1107" spans="2:2" x14ac:dyDescent="0.25">
      <c r="B1107" s="1"/>
    </row>
    <row r="1108" spans="2:2" x14ac:dyDescent="0.25">
      <c r="B1108" s="1"/>
    </row>
    <row r="1109" spans="2:2" x14ac:dyDescent="0.25">
      <c r="B1109" s="1"/>
    </row>
    <row r="1110" spans="2:2" x14ac:dyDescent="0.25">
      <c r="B1110" s="1"/>
    </row>
    <row r="1111" spans="2:2" x14ac:dyDescent="0.25">
      <c r="B1111" s="1"/>
    </row>
    <row r="1112" spans="2:2" x14ac:dyDescent="0.25">
      <c r="B1112" s="1"/>
    </row>
    <row r="1113" spans="2:2" x14ac:dyDescent="0.25">
      <c r="B1113" s="1"/>
    </row>
    <row r="1114" spans="2:2" x14ac:dyDescent="0.25">
      <c r="B1114" s="1"/>
    </row>
    <row r="1115" spans="2:2" x14ac:dyDescent="0.25">
      <c r="B1115" s="1"/>
    </row>
    <row r="1116" spans="2:2" x14ac:dyDescent="0.25">
      <c r="B1116" s="1"/>
    </row>
    <row r="1117" spans="2:2" x14ac:dyDescent="0.25">
      <c r="B1117" s="1"/>
    </row>
    <row r="1118" spans="2:2" x14ac:dyDescent="0.25">
      <c r="B1118" s="1"/>
    </row>
    <row r="1119" spans="2:2" x14ac:dyDescent="0.25">
      <c r="B1119" s="1"/>
    </row>
    <row r="1120" spans="2:2" x14ac:dyDescent="0.25">
      <c r="B1120" s="1"/>
    </row>
    <row r="1121" spans="2:2" x14ac:dyDescent="0.25">
      <c r="B1121" s="1"/>
    </row>
    <row r="1122" spans="2:2" x14ac:dyDescent="0.25">
      <c r="B1122" s="1"/>
    </row>
    <row r="1123" spans="2:2" x14ac:dyDescent="0.25">
      <c r="B1123" s="1"/>
    </row>
    <row r="1124" spans="2:2" x14ac:dyDescent="0.25">
      <c r="B1124" s="1"/>
    </row>
    <row r="1125" spans="2:2" x14ac:dyDescent="0.25">
      <c r="B1125" s="1"/>
    </row>
    <row r="1126" spans="2:2" x14ac:dyDescent="0.25">
      <c r="B1126" s="1"/>
    </row>
    <row r="1127" spans="2:2" x14ac:dyDescent="0.25">
      <c r="B1127" s="1"/>
    </row>
    <row r="1128" spans="2:2" x14ac:dyDescent="0.25">
      <c r="B1128" s="1"/>
    </row>
    <row r="1129" spans="2:2" x14ac:dyDescent="0.25">
      <c r="B1129" s="1"/>
    </row>
    <row r="1130" spans="2:2" x14ac:dyDescent="0.25">
      <c r="B1130" s="1"/>
    </row>
    <row r="1131" spans="2:2" x14ac:dyDescent="0.25">
      <c r="B1131" s="1"/>
    </row>
    <row r="1132" spans="2:2" x14ac:dyDescent="0.25">
      <c r="B1132" s="1"/>
    </row>
    <row r="1133" spans="2:2" x14ac:dyDescent="0.25">
      <c r="B1133" s="1"/>
    </row>
    <row r="1134" spans="2:2" x14ac:dyDescent="0.25">
      <c r="B1134" s="1"/>
    </row>
    <row r="1135" spans="2:2" x14ac:dyDescent="0.25">
      <c r="B1135" s="1"/>
    </row>
    <row r="1136" spans="2:2" x14ac:dyDescent="0.25">
      <c r="B1136" s="1"/>
    </row>
    <row r="1137" spans="2:2" x14ac:dyDescent="0.25">
      <c r="B1137" s="1"/>
    </row>
    <row r="1138" spans="2:2" x14ac:dyDescent="0.25">
      <c r="B1138" s="1"/>
    </row>
    <row r="1139" spans="2:2" x14ac:dyDescent="0.25">
      <c r="B1139" s="1"/>
    </row>
    <row r="1140" spans="2:2" x14ac:dyDescent="0.25">
      <c r="B1140" s="1"/>
    </row>
    <row r="1141" spans="2:2" x14ac:dyDescent="0.25">
      <c r="B1141" s="1"/>
    </row>
    <row r="1142" spans="2:2" x14ac:dyDescent="0.25">
      <c r="B1142" s="1"/>
    </row>
    <row r="1143" spans="2:2" x14ac:dyDescent="0.25">
      <c r="B1143" s="1"/>
    </row>
    <row r="1144" spans="2:2" x14ac:dyDescent="0.25">
      <c r="B1144" s="1"/>
    </row>
    <row r="1145" spans="2:2" x14ac:dyDescent="0.25">
      <c r="B1145" s="1"/>
    </row>
    <row r="1146" spans="2:2" x14ac:dyDescent="0.25">
      <c r="B1146" s="1"/>
    </row>
    <row r="1147" spans="2:2" x14ac:dyDescent="0.25">
      <c r="B1147" s="1"/>
    </row>
    <row r="1148" spans="2:2" x14ac:dyDescent="0.25">
      <c r="B1148" s="1"/>
    </row>
    <row r="1149" spans="2:2" x14ac:dyDescent="0.25">
      <c r="B1149" s="1"/>
    </row>
    <row r="1150" spans="2:2" x14ac:dyDescent="0.25">
      <c r="B1150" s="1"/>
    </row>
    <row r="1151" spans="2:2" x14ac:dyDescent="0.25">
      <c r="B1151" s="1"/>
    </row>
    <row r="1152" spans="2:2" x14ac:dyDescent="0.25">
      <c r="B1152" s="1"/>
    </row>
    <row r="1153" spans="2:2" x14ac:dyDescent="0.25">
      <c r="B1153" s="1"/>
    </row>
    <row r="1154" spans="2:2" x14ac:dyDescent="0.25">
      <c r="B1154" s="1"/>
    </row>
    <row r="1155" spans="2:2" x14ac:dyDescent="0.25">
      <c r="B1155" s="1"/>
    </row>
    <row r="1156" spans="2:2" x14ac:dyDescent="0.25">
      <c r="B1156" s="1"/>
    </row>
    <row r="1157" spans="2:2" x14ac:dyDescent="0.25">
      <c r="B1157" s="1"/>
    </row>
    <row r="1158" spans="2:2" x14ac:dyDescent="0.25">
      <c r="B1158" s="1"/>
    </row>
    <row r="1159" spans="2:2" x14ac:dyDescent="0.25">
      <c r="B1159" s="1"/>
    </row>
    <row r="1160" spans="2:2" x14ac:dyDescent="0.25">
      <c r="B1160" s="1"/>
    </row>
    <row r="1161" spans="2:2" x14ac:dyDescent="0.25">
      <c r="B1161" s="1"/>
    </row>
    <row r="1162" spans="2:2" x14ac:dyDescent="0.25">
      <c r="B1162" s="1"/>
    </row>
    <row r="1163" spans="2:2" x14ac:dyDescent="0.25">
      <c r="B1163" s="1"/>
    </row>
    <row r="1164" spans="2:2" x14ac:dyDescent="0.25">
      <c r="B1164" s="1"/>
    </row>
    <row r="1165" spans="2:2" x14ac:dyDescent="0.25">
      <c r="B1165" s="1"/>
    </row>
    <row r="1166" spans="2:2" x14ac:dyDescent="0.25">
      <c r="B1166" s="1"/>
    </row>
    <row r="1167" spans="2:2" x14ac:dyDescent="0.25">
      <c r="B1167" s="1"/>
    </row>
    <row r="1168" spans="2:2" x14ac:dyDescent="0.25">
      <c r="B1168" s="1"/>
    </row>
    <row r="1169" spans="2:2" x14ac:dyDescent="0.25">
      <c r="B1169" s="1"/>
    </row>
    <row r="1170" spans="2:2" x14ac:dyDescent="0.25">
      <c r="B1170" s="1"/>
    </row>
    <row r="1171" spans="2:2" x14ac:dyDescent="0.25">
      <c r="B1171" s="1"/>
    </row>
    <row r="1172" spans="2:2" x14ac:dyDescent="0.25">
      <c r="B1172" s="1"/>
    </row>
    <row r="1173" spans="2:2" x14ac:dyDescent="0.25">
      <c r="B1173" s="1"/>
    </row>
    <row r="1174" spans="2:2" x14ac:dyDescent="0.25">
      <c r="B1174" s="1"/>
    </row>
    <row r="1175" spans="2:2" x14ac:dyDescent="0.25">
      <c r="B1175" s="1"/>
    </row>
    <row r="1176" spans="2:2" x14ac:dyDescent="0.25">
      <c r="B1176" s="1"/>
    </row>
    <row r="1177" spans="2:2" x14ac:dyDescent="0.25">
      <c r="B1177" s="1"/>
    </row>
    <row r="1178" spans="2:2" x14ac:dyDescent="0.25">
      <c r="B1178" s="1"/>
    </row>
    <row r="1179" spans="2:2" x14ac:dyDescent="0.25">
      <c r="B1179" s="1"/>
    </row>
    <row r="1180" spans="2:2" x14ac:dyDescent="0.25">
      <c r="B1180" s="1"/>
    </row>
    <row r="1181" spans="2:2" x14ac:dyDescent="0.25">
      <c r="B1181" s="1"/>
    </row>
    <row r="1182" spans="2:2" x14ac:dyDescent="0.25">
      <c r="B1182" s="1"/>
    </row>
    <row r="1183" spans="2:2" x14ac:dyDescent="0.25">
      <c r="B1183" s="1"/>
    </row>
    <row r="1184" spans="2:2" x14ac:dyDescent="0.25">
      <c r="B1184" s="1"/>
    </row>
    <row r="1185" spans="2:2" x14ac:dyDescent="0.25">
      <c r="B1185" s="1"/>
    </row>
    <row r="1186" spans="2:2" x14ac:dyDescent="0.25">
      <c r="B1186" s="1"/>
    </row>
    <row r="1187" spans="2:2" x14ac:dyDescent="0.25">
      <c r="B1187" s="1"/>
    </row>
    <row r="1188" spans="2:2" x14ac:dyDescent="0.25">
      <c r="B1188" s="1"/>
    </row>
    <row r="1189" spans="2:2" x14ac:dyDescent="0.25">
      <c r="B1189" s="1"/>
    </row>
    <row r="1190" spans="2:2" x14ac:dyDescent="0.25">
      <c r="B1190" s="1"/>
    </row>
    <row r="1191" spans="2:2" x14ac:dyDescent="0.25">
      <c r="B1191" s="1"/>
    </row>
    <row r="1192" spans="2:2" x14ac:dyDescent="0.25">
      <c r="B1192" s="1"/>
    </row>
    <row r="1193" spans="2:2" x14ac:dyDescent="0.25">
      <c r="B1193" s="1"/>
    </row>
    <row r="1194" spans="2:2" x14ac:dyDescent="0.25">
      <c r="B1194" s="1"/>
    </row>
    <row r="1195" spans="2:2" x14ac:dyDescent="0.25">
      <c r="B1195" s="1"/>
    </row>
    <row r="1196" spans="2:2" x14ac:dyDescent="0.25">
      <c r="B1196" s="1"/>
    </row>
    <row r="1197" spans="2:2" x14ac:dyDescent="0.25">
      <c r="B1197" s="1"/>
    </row>
    <row r="1198" spans="2:2" x14ac:dyDescent="0.25">
      <c r="B1198" s="1"/>
    </row>
    <row r="1199" spans="2:2" x14ac:dyDescent="0.25">
      <c r="B1199" s="1"/>
    </row>
    <row r="1200" spans="2:2" x14ac:dyDescent="0.25">
      <c r="B1200" s="1"/>
    </row>
    <row r="1201" spans="2:2" x14ac:dyDescent="0.25">
      <c r="B1201" s="1"/>
    </row>
    <row r="1202" spans="2:2" x14ac:dyDescent="0.25">
      <c r="B1202" s="1"/>
    </row>
    <row r="1203" spans="2:2" x14ac:dyDescent="0.25">
      <c r="B1203" s="1"/>
    </row>
    <row r="1204" spans="2:2" x14ac:dyDescent="0.25">
      <c r="B1204" s="1"/>
    </row>
    <row r="1205" spans="2:2" x14ac:dyDescent="0.25">
      <c r="B1205" s="1"/>
    </row>
    <row r="1206" spans="2:2" x14ac:dyDescent="0.25">
      <c r="B1206" s="1"/>
    </row>
    <row r="1207" spans="2:2" x14ac:dyDescent="0.25">
      <c r="B1207" s="1"/>
    </row>
    <row r="1208" spans="2:2" x14ac:dyDescent="0.25">
      <c r="B1208" s="1"/>
    </row>
    <row r="1209" spans="2:2" x14ac:dyDescent="0.25">
      <c r="B1209" s="1"/>
    </row>
    <row r="1210" spans="2:2" x14ac:dyDescent="0.25">
      <c r="B1210" s="1"/>
    </row>
    <row r="1211" spans="2:2" x14ac:dyDescent="0.25">
      <c r="B1211" s="1"/>
    </row>
    <row r="1212" spans="2:2" x14ac:dyDescent="0.25">
      <c r="B1212" s="1"/>
    </row>
    <row r="1213" spans="2:2" x14ac:dyDescent="0.25">
      <c r="B1213" s="1"/>
    </row>
    <row r="1214" spans="2:2" x14ac:dyDescent="0.25">
      <c r="B1214" s="1"/>
    </row>
    <row r="1215" spans="2:2" x14ac:dyDescent="0.25">
      <c r="B1215" s="1"/>
    </row>
    <row r="1216" spans="2:2" x14ac:dyDescent="0.25">
      <c r="B1216" s="1"/>
    </row>
    <row r="1217" spans="2:2" x14ac:dyDescent="0.25">
      <c r="B1217" s="1"/>
    </row>
    <row r="1218" spans="2:2" x14ac:dyDescent="0.25">
      <c r="B1218" s="1"/>
    </row>
    <row r="1219" spans="2:2" x14ac:dyDescent="0.25">
      <c r="B1219" s="1"/>
    </row>
    <row r="1220" spans="2:2" x14ac:dyDescent="0.25">
      <c r="B1220" s="1"/>
    </row>
    <row r="1221" spans="2:2" x14ac:dyDescent="0.25">
      <c r="B1221" s="1"/>
    </row>
    <row r="1222" spans="2:2" x14ac:dyDescent="0.25">
      <c r="B1222" s="1"/>
    </row>
    <row r="1223" spans="2:2" x14ac:dyDescent="0.25">
      <c r="B1223" s="1"/>
    </row>
    <row r="1224" spans="2:2" x14ac:dyDescent="0.25">
      <c r="B1224" s="1"/>
    </row>
    <row r="1225" spans="2:2" x14ac:dyDescent="0.25">
      <c r="B1225" s="1"/>
    </row>
    <row r="1226" spans="2:2" x14ac:dyDescent="0.25">
      <c r="B1226" s="1"/>
    </row>
    <row r="1227" spans="2:2" x14ac:dyDescent="0.25">
      <c r="B1227" s="1"/>
    </row>
    <row r="1228" spans="2:2" x14ac:dyDescent="0.25">
      <c r="B1228" s="1"/>
    </row>
    <row r="1229" spans="2:2" x14ac:dyDescent="0.25">
      <c r="B1229" s="1"/>
    </row>
    <row r="1230" spans="2:2" x14ac:dyDescent="0.25">
      <c r="B1230" s="1"/>
    </row>
    <row r="1231" spans="2:2" x14ac:dyDescent="0.25">
      <c r="B1231" s="1"/>
    </row>
    <row r="1232" spans="2:2" x14ac:dyDescent="0.25">
      <c r="B1232" s="1"/>
    </row>
    <row r="1233" spans="2:2" x14ac:dyDescent="0.25">
      <c r="B1233" s="1"/>
    </row>
    <row r="1234" spans="2:2" x14ac:dyDescent="0.25">
      <c r="B1234" s="1"/>
    </row>
    <row r="1235" spans="2:2" x14ac:dyDescent="0.25">
      <c r="B1235" s="1"/>
    </row>
    <row r="1236" spans="2:2" x14ac:dyDescent="0.25">
      <c r="B1236" s="1"/>
    </row>
    <row r="1237" spans="2:2" x14ac:dyDescent="0.25">
      <c r="B1237" s="1"/>
    </row>
    <row r="1238" spans="2:2" x14ac:dyDescent="0.25">
      <c r="B1238" s="1"/>
    </row>
    <row r="1239" spans="2:2" x14ac:dyDescent="0.25">
      <c r="B1239" s="1"/>
    </row>
    <row r="1240" spans="2:2" x14ac:dyDescent="0.25">
      <c r="B1240" s="1"/>
    </row>
    <row r="1241" spans="2:2" x14ac:dyDescent="0.25">
      <c r="B1241" s="1"/>
    </row>
    <row r="1242" spans="2:2" x14ac:dyDescent="0.25">
      <c r="B1242" s="1"/>
    </row>
    <row r="1243" spans="2:2" x14ac:dyDescent="0.25">
      <c r="B1243" s="1"/>
    </row>
    <row r="1244" spans="2:2" x14ac:dyDescent="0.25">
      <c r="B1244" s="1"/>
    </row>
    <row r="1245" spans="2:2" x14ac:dyDescent="0.25">
      <c r="B1245" s="1"/>
    </row>
    <row r="1246" spans="2:2" x14ac:dyDescent="0.25">
      <c r="B1246" s="1"/>
    </row>
    <row r="1247" spans="2:2" x14ac:dyDescent="0.25">
      <c r="B1247" s="1"/>
    </row>
    <row r="1248" spans="2:2" x14ac:dyDescent="0.25">
      <c r="B1248" s="1"/>
    </row>
    <row r="1249" spans="2:2" x14ac:dyDescent="0.25">
      <c r="B1249" s="1"/>
    </row>
    <row r="1250" spans="2:2" x14ac:dyDescent="0.25">
      <c r="B1250" s="1"/>
    </row>
    <row r="1251" spans="2:2" x14ac:dyDescent="0.25">
      <c r="B1251" s="1"/>
    </row>
    <row r="1252" spans="2:2" x14ac:dyDescent="0.25">
      <c r="B1252" s="1"/>
    </row>
    <row r="1253" spans="2:2" x14ac:dyDescent="0.25">
      <c r="B1253" s="1"/>
    </row>
    <row r="1254" spans="2:2" x14ac:dyDescent="0.25">
      <c r="B1254" s="1"/>
    </row>
    <row r="1255" spans="2:2" x14ac:dyDescent="0.25">
      <c r="B1255" s="1"/>
    </row>
    <row r="1256" spans="2:2" x14ac:dyDescent="0.25">
      <c r="B1256" s="1"/>
    </row>
    <row r="1257" spans="2:2" x14ac:dyDescent="0.25">
      <c r="B1257" s="1"/>
    </row>
    <row r="1258" spans="2:2" x14ac:dyDescent="0.25">
      <c r="B1258" s="1"/>
    </row>
    <row r="1259" spans="2:2" x14ac:dyDescent="0.25">
      <c r="B1259" s="1"/>
    </row>
    <row r="1260" spans="2:2" x14ac:dyDescent="0.25">
      <c r="B1260" s="1"/>
    </row>
    <row r="1261" spans="2:2" x14ac:dyDescent="0.25">
      <c r="B1261" s="1"/>
    </row>
    <row r="1262" spans="2:2" x14ac:dyDescent="0.25">
      <c r="B1262" s="1"/>
    </row>
    <row r="1263" spans="2:2" x14ac:dyDescent="0.25">
      <c r="B1263" s="1"/>
    </row>
    <row r="1264" spans="2:2" x14ac:dyDescent="0.25">
      <c r="B1264" s="1"/>
    </row>
    <row r="1265" spans="2:2" x14ac:dyDescent="0.25">
      <c r="B1265" s="1"/>
    </row>
    <row r="1266" spans="2:2" x14ac:dyDescent="0.25">
      <c r="B1266" s="1"/>
    </row>
    <row r="1267" spans="2:2" x14ac:dyDescent="0.25">
      <c r="B1267" s="1"/>
    </row>
    <row r="1268" spans="2:2" x14ac:dyDescent="0.25">
      <c r="B1268" s="1"/>
    </row>
    <row r="1269" spans="2:2" x14ac:dyDescent="0.25">
      <c r="B1269" s="1"/>
    </row>
    <row r="1270" spans="2:2" x14ac:dyDescent="0.25">
      <c r="B1270" s="1"/>
    </row>
    <row r="1271" spans="2:2" x14ac:dyDescent="0.25">
      <c r="B1271" s="1"/>
    </row>
    <row r="1272" spans="2:2" x14ac:dyDescent="0.25">
      <c r="B1272" s="1"/>
    </row>
    <row r="1273" spans="2:2" x14ac:dyDescent="0.25">
      <c r="B1273" s="1"/>
    </row>
    <row r="1274" spans="2:2" x14ac:dyDescent="0.25">
      <c r="B1274" s="1"/>
    </row>
    <row r="1275" spans="2:2" x14ac:dyDescent="0.25">
      <c r="B1275" s="1"/>
    </row>
    <row r="1276" spans="2:2" x14ac:dyDescent="0.25">
      <c r="B1276" s="1"/>
    </row>
    <row r="1277" spans="2:2" x14ac:dyDescent="0.25">
      <c r="B1277" s="1"/>
    </row>
    <row r="1278" spans="2:2" x14ac:dyDescent="0.25">
      <c r="B1278" s="1"/>
    </row>
    <row r="1279" spans="2:2" x14ac:dyDescent="0.25">
      <c r="B1279" s="1"/>
    </row>
    <row r="1280" spans="2:2" x14ac:dyDescent="0.25">
      <c r="B1280" s="1"/>
    </row>
    <row r="1281" spans="2:2" x14ac:dyDescent="0.25">
      <c r="B1281" s="1"/>
    </row>
    <row r="1282" spans="2:2" x14ac:dyDescent="0.25">
      <c r="B1282" s="1"/>
    </row>
    <row r="1283" spans="2:2" x14ac:dyDescent="0.25">
      <c r="B1283" s="1"/>
    </row>
    <row r="1284" spans="2:2" x14ac:dyDescent="0.25">
      <c r="B1284" s="1"/>
    </row>
    <row r="1285" spans="2:2" x14ac:dyDescent="0.25">
      <c r="B1285" s="1"/>
    </row>
    <row r="1286" spans="2:2" x14ac:dyDescent="0.25">
      <c r="B1286" s="1"/>
    </row>
    <row r="1287" spans="2:2" x14ac:dyDescent="0.25">
      <c r="B1287" s="1"/>
    </row>
    <row r="1288" spans="2:2" x14ac:dyDescent="0.25">
      <c r="B1288" s="1"/>
    </row>
    <row r="1289" spans="2:2" x14ac:dyDescent="0.25">
      <c r="B1289" s="1"/>
    </row>
    <row r="1290" spans="2:2" x14ac:dyDescent="0.25">
      <c r="B1290" s="1"/>
    </row>
    <row r="1291" spans="2:2" x14ac:dyDescent="0.25">
      <c r="B1291" s="1"/>
    </row>
    <row r="1292" spans="2:2" x14ac:dyDescent="0.25">
      <c r="B1292" s="1"/>
    </row>
    <row r="1293" spans="2:2" x14ac:dyDescent="0.25">
      <c r="B1293" s="1"/>
    </row>
    <row r="1294" spans="2:2" x14ac:dyDescent="0.25">
      <c r="B1294" s="1"/>
    </row>
    <row r="1295" spans="2:2" x14ac:dyDescent="0.25">
      <c r="B1295" s="1"/>
    </row>
    <row r="1296" spans="2:2" x14ac:dyDescent="0.25">
      <c r="B1296" s="1"/>
    </row>
    <row r="1297" spans="2:2" x14ac:dyDescent="0.25">
      <c r="B1297" s="1"/>
    </row>
    <row r="1298" spans="2:2" x14ac:dyDescent="0.25">
      <c r="B1298" s="1"/>
    </row>
    <row r="1299" spans="2:2" x14ac:dyDescent="0.25">
      <c r="B1299" s="1"/>
    </row>
    <row r="1300" spans="2:2" x14ac:dyDescent="0.25">
      <c r="B1300" s="1"/>
    </row>
    <row r="1301" spans="2:2" x14ac:dyDescent="0.25">
      <c r="B1301" s="1"/>
    </row>
    <row r="1302" spans="2:2" x14ac:dyDescent="0.25">
      <c r="B1302" s="1"/>
    </row>
    <row r="1303" spans="2:2" x14ac:dyDescent="0.25">
      <c r="B1303" s="1"/>
    </row>
    <row r="1304" spans="2:2" x14ac:dyDescent="0.25">
      <c r="B1304" s="1"/>
    </row>
    <row r="1305" spans="2:2" x14ac:dyDescent="0.25">
      <c r="B1305" s="1"/>
    </row>
    <row r="1306" spans="2:2" x14ac:dyDescent="0.25">
      <c r="B1306" s="1"/>
    </row>
    <row r="1307" spans="2:2" x14ac:dyDescent="0.25">
      <c r="B1307" s="1"/>
    </row>
    <row r="1308" spans="2:2" x14ac:dyDescent="0.25">
      <c r="B1308" s="1"/>
    </row>
    <row r="1309" spans="2:2" x14ac:dyDescent="0.25">
      <c r="B1309" s="1"/>
    </row>
    <row r="1310" spans="2:2" x14ac:dyDescent="0.25">
      <c r="B1310" s="1"/>
    </row>
    <row r="1311" spans="2:2" x14ac:dyDescent="0.25">
      <c r="B1311" s="1"/>
    </row>
    <row r="1312" spans="2:2" x14ac:dyDescent="0.25">
      <c r="B1312" s="1"/>
    </row>
    <row r="1313" spans="2:2" x14ac:dyDescent="0.25">
      <c r="B1313" s="1"/>
    </row>
    <row r="1314" spans="2:2" x14ac:dyDescent="0.25">
      <c r="B1314" s="1"/>
    </row>
    <row r="1315" spans="2:2" x14ac:dyDescent="0.25">
      <c r="B1315" s="1"/>
    </row>
    <row r="1316" spans="2:2" x14ac:dyDescent="0.25">
      <c r="B1316" s="1"/>
    </row>
    <row r="1317" spans="2:2" x14ac:dyDescent="0.25">
      <c r="B1317" s="1"/>
    </row>
    <row r="1318" spans="2:2" x14ac:dyDescent="0.25">
      <c r="B1318" s="1"/>
    </row>
    <row r="1319" spans="2:2" x14ac:dyDescent="0.25">
      <c r="B1319" s="1"/>
    </row>
    <row r="1320" spans="2:2" x14ac:dyDescent="0.25">
      <c r="B1320" s="1"/>
    </row>
    <row r="1321" spans="2:2" x14ac:dyDescent="0.25">
      <c r="B1321" s="1"/>
    </row>
    <row r="1322" spans="2:2" x14ac:dyDescent="0.25">
      <c r="B1322" s="1"/>
    </row>
    <row r="1323" spans="2:2" x14ac:dyDescent="0.25">
      <c r="B1323" s="1"/>
    </row>
    <row r="1324" spans="2:2" x14ac:dyDescent="0.25">
      <c r="B1324" s="1"/>
    </row>
    <row r="1325" spans="2:2" x14ac:dyDescent="0.25">
      <c r="B1325" s="1"/>
    </row>
    <row r="1326" spans="2:2" x14ac:dyDescent="0.25">
      <c r="B1326" s="1"/>
    </row>
    <row r="1327" spans="2:2" x14ac:dyDescent="0.25">
      <c r="B1327" s="1"/>
    </row>
    <row r="1328" spans="2:2" x14ac:dyDescent="0.25">
      <c r="B1328" s="1"/>
    </row>
    <row r="1329" spans="2:2" x14ac:dyDescent="0.25">
      <c r="B1329" s="1"/>
    </row>
    <row r="1330" spans="2:2" x14ac:dyDescent="0.25">
      <c r="B1330" s="1"/>
    </row>
    <row r="1331" spans="2:2" x14ac:dyDescent="0.25">
      <c r="B1331" s="1"/>
    </row>
    <row r="1332" spans="2:2" x14ac:dyDescent="0.25">
      <c r="B1332" s="1"/>
    </row>
    <row r="1333" spans="2:2" x14ac:dyDescent="0.25">
      <c r="B1333" s="1"/>
    </row>
    <row r="1334" spans="2:2" x14ac:dyDescent="0.25">
      <c r="B1334" s="1"/>
    </row>
    <row r="1335" spans="2:2" x14ac:dyDescent="0.25">
      <c r="B1335" s="1"/>
    </row>
    <row r="1336" spans="2:2" x14ac:dyDescent="0.25">
      <c r="B1336" s="1"/>
    </row>
    <row r="1337" spans="2:2" x14ac:dyDescent="0.25">
      <c r="B1337" s="1"/>
    </row>
    <row r="1338" spans="2:2" x14ac:dyDescent="0.25">
      <c r="B1338" s="1"/>
    </row>
    <row r="1339" spans="2:2" x14ac:dyDescent="0.25">
      <c r="B1339" s="1"/>
    </row>
    <row r="1340" spans="2:2" x14ac:dyDescent="0.25">
      <c r="B1340" s="1"/>
    </row>
    <row r="1341" spans="2:2" x14ac:dyDescent="0.25">
      <c r="B1341" s="1"/>
    </row>
    <row r="1342" spans="2:2" x14ac:dyDescent="0.25">
      <c r="B1342" s="1"/>
    </row>
    <row r="1343" spans="2:2" x14ac:dyDescent="0.25">
      <c r="B1343" s="1"/>
    </row>
    <row r="1344" spans="2:2" x14ac:dyDescent="0.25">
      <c r="B1344" s="1"/>
    </row>
    <row r="1345" spans="2:2" x14ac:dyDescent="0.25">
      <c r="B1345" s="1"/>
    </row>
    <row r="1346" spans="2:2" x14ac:dyDescent="0.25">
      <c r="B1346" s="1"/>
    </row>
    <row r="1347" spans="2:2" x14ac:dyDescent="0.25">
      <c r="B1347" s="1"/>
    </row>
    <row r="1348" spans="2:2" x14ac:dyDescent="0.25">
      <c r="B1348" s="1"/>
    </row>
    <row r="1349" spans="2:2" x14ac:dyDescent="0.25">
      <c r="B1349" s="1"/>
    </row>
    <row r="1350" spans="2:2" x14ac:dyDescent="0.25">
      <c r="B1350" s="1"/>
    </row>
    <row r="1351" spans="2:2" x14ac:dyDescent="0.25">
      <c r="B1351" s="1"/>
    </row>
    <row r="1352" spans="2:2" x14ac:dyDescent="0.25">
      <c r="B1352" s="1"/>
    </row>
    <row r="1353" spans="2:2" x14ac:dyDescent="0.25">
      <c r="B1353" s="1"/>
    </row>
    <row r="1354" spans="2:2" x14ac:dyDescent="0.25">
      <c r="B1354" s="1"/>
    </row>
    <row r="1355" spans="2:2" x14ac:dyDescent="0.25">
      <c r="B1355" s="1"/>
    </row>
    <row r="1356" spans="2:2" x14ac:dyDescent="0.25">
      <c r="B1356" s="1"/>
    </row>
    <row r="1357" spans="2:2" x14ac:dyDescent="0.25">
      <c r="B1357" s="1"/>
    </row>
    <row r="1358" spans="2:2" x14ac:dyDescent="0.25">
      <c r="B1358" s="1"/>
    </row>
    <row r="1359" spans="2:2" x14ac:dyDescent="0.25">
      <c r="B1359" s="1"/>
    </row>
    <row r="1360" spans="2:2" x14ac:dyDescent="0.25">
      <c r="B1360" s="1"/>
    </row>
    <row r="1361" spans="2:2" x14ac:dyDescent="0.25">
      <c r="B1361" s="1"/>
    </row>
    <row r="1362" spans="2:2" x14ac:dyDescent="0.25">
      <c r="B1362" s="1"/>
    </row>
    <row r="1363" spans="2:2" x14ac:dyDescent="0.25">
      <c r="B1363" s="1"/>
    </row>
    <row r="1364" spans="2:2" x14ac:dyDescent="0.25">
      <c r="B1364" s="1"/>
    </row>
    <row r="1365" spans="2:2" x14ac:dyDescent="0.25">
      <c r="B1365" s="1"/>
    </row>
    <row r="1366" spans="2:2" x14ac:dyDescent="0.25">
      <c r="B1366" s="1"/>
    </row>
    <row r="1367" spans="2:2" x14ac:dyDescent="0.25">
      <c r="B1367" s="1"/>
    </row>
    <row r="1368" spans="2:2" x14ac:dyDescent="0.25">
      <c r="B1368" s="1"/>
    </row>
    <row r="1369" spans="2:2" x14ac:dyDescent="0.25">
      <c r="B1369" s="1"/>
    </row>
    <row r="1370" spans="2:2" x14ac:dyDescent="0.25">
      <c r="B1370" s="1"/>
    </row>
    <row r="1371" spans="2:2" x14ac:dyDescent="0.25">
      <c r="B1371" s="1"/>
    </row>
    <row r="1372" spans="2:2" x14ac:dyDescent="0.25">
      <c r="B1372" s="1"/>
    </row>
    <row r="1373" spans="2:2" x14ac:dyDescent="0.25">
      <c r="B1373" s="1"/>
    </row>
    <row r="1374" spans="2:2" x14ac:dyDescent="0.25">
      <c r="B1374" s="1"/>
    </row>
    <row r="1375" spans="2:2" x14ac:dyDescent="0.25">
      <c r="B1375" s="1"/>
    </row>
    <row r="1376" spans="2:2" x14ac:dyDescent="0.25">
      <c r="B1376" s="1"/>
    </row>
    <row r="1377" spans="2:2" x14ac:dyDescent="0.25">
      <c r="B1377" s="1"/>
    </row>
    <row r="1378" spans="2:2" x14ac:dyDescent="0.25">
      <c r="B1378" s="1"/>
    </row>
    <row r="1379" spans="2:2" x14ac:dyDescent="0.25">
      <c r="B1379" s="1"/>
    </row>
    <row r="1380" spans="2:2" x14ac:dyDescent="0.25">
      <c r="B1380" s="1"/>
    </row>
    <row r="1381" spans="2:2" x14ac:dyDescent="0.25">
      <c r="B1381" s="1"/>
    </row>
    <row r="1382" spans="2:2" x14ac:dyDescent="0.25">
      <c r="B1382" s="1"/>
    </row>
    <row r="1383" spans="2:2" x14ac:dyDescent="0.25">
      <c r="B1383" s="1"/>
    </row>
    <row r="1384" spans="2:2" x14ac:dyDescent="0.25">
      <c r="B1384" s="1"/>
    </row>
    <row r="1385" spans="2:2" x14ac:dyDescent="0.25">
      <c r="B1385" s="1"/>
    </row>
    <row r="1386" spans="2:2" x14ac:dyDescent="0.25">
      <c r="B1386" s="1"/>
    </row>
    <row r="1387" spans="2:2" x14ac:dyDescent="0.25">
      <c r="B1387" s="1"/>
    </row>
    <row r="1388" spans="2:2" x14ac:dyDescent="0.25">
      <c r="B1388" s="1"/>
    </row>
    <row r="1389" spans="2:2" x14ac:dyDescent="0.25">
      <c r="B1389" s="1"/>
    </row>
    <row r="1390" spans="2:2" x14ac:dyDescent="0.25">
      <c r="B1390" s="1"/>
    </row>
    <row r="1391" spans="2:2" x14ac:dyDescent="0.25">
      <c r="B1391" s="1"/>
    </row>
    <row r="1392" spans="2:2" x14ac:dyDescent="0.25">
      <c r="B1392" s="1"/>
    </row>
    <row r="1393" spans="2:2" x14ac:dyDescent="0.25">
      <c r="B1393" s="1"/>
    </row>
    <row r="1394" spans="2:2" x14ac:dyDescent="0.25">
      <c r="B1394" s="1"/>
    </row>
    <row r="1395" spans="2:2" x14ac:dyDescent="0.25">
      <c r="B1395" s="1"/>
    </row>
    <row r="1396" spans="2:2" x14ac:dyDescent="0.25">
      <c r="B1396" s="1"/>
    </row>
    <row r="1397" spans="2:2" x14ac:dyDescent="0.25">
      <c r="B1397" s="1"/>
    </row>
    <row r="1398" spans="2:2" x14ac:dyDescent="0.25">
      <c r="B1398" s="1"/>
    </row>
    <row r="1399" spans="2:2" x14ac:dyDescent="0.25">
      <c r="B1399" s="1"/>
    </row>
    <row r="1400" spans="2:2" x14ac:dyDescent="0.25">
      <c r="B1400" s="1"/>
    </row>
    <row r="1401" spans="2:2" x14ac:dyDescent="0.25">
      <c r="B1401" s="1"/>
    </row>
    <row r="1402" spans="2:2" x14ac:dyDescent="0.25">
      <c r="B1402" s="1"/>
    </row>
    <row r="1403" spans="2:2" x14ac:dyDescent="0.25">
      <c r="B1403" s="1"/>
    </row>
    <row r="1404" spans="2:2" x14ac:dyDescent="0.25">
      <c r="B1404" s="1"/>
    </row>
    <row r="1405" spans="2:2" x14ac:dyDescent="0.25">
      <c r="B1405" s="1"/>
    </row>
    <row r="1406" spans="2:2" x14ac:dyDescent="0.25">
      <c r="B1406" s="1"/>
    </row>
    <row r="1407" spans="2:2" x14ac:dyDescent="0.25">
      <c r="B1407" s="1"/>
    </row>
    <row r="1408" spans="2:2" x14ac:dyDescent="0.25">
      <c r="B1408" s="1"/>
    </row>
    <row r="1409" spans="2:2" x14ac:dyDescent="0.25">
      <c r="B1409" s="1"/>
    </row>
    <row r="1410" spans="2:2" x14ac:dyDescent="0.25">
      <c r="B1410" s="1"/>
    </row>
    <row r="1411" spans="2:2" x14ac:dyDescent="0.25">
      <c r="B1411" s="1"/>
    </row>
    <row r="1412" spans="2:2" x14ac:dyDescent="0.25">
      <c r="B1412" s="1"/>
    </row>
    <row r="1413" spans="2:2" x14ac:dyDescent="0.25">
      <c r="B1413" s="1"/>
    </row>
    <row r="1414" spans="2:2" x14ac:dyDescent="0.25">
      <c r="B1414" s="1"/>
    </row>
    <row r="1415" spans="2:2" x14ac:dyDescent="0.25">
      <c r="B1415" s="1"/>
    </row>
    <row r="1416" spans="2:2" x14ac:dyDescent="0.25">
      <c r="B1416" s="1"/>
    </row>
    <row r="1417" spans="2:2" x14ac:dyDescent="0.25">
      <c r="B1417" s="1"/>
    </row>
    <row r="1418" spans="2:2" x14ac:dyDescent="0.25">
      <c r="B1418" s="1"/>
    </row>
    <row r="1419" spans="2:2" x14ac:dyDescent="0.25">
      <c r="B1419" s="1"/>
    </row>
    <row r="1420" spans="2:2" x14ac:dyDescent="0.25">
      <c r="B1420" s="1"/>
    </row>
    <row r="1421" spans="2:2" x14ac:dyDescent="0.25">
      <c r="B1421" s="1"/>
    </row>
    <row r="1422" spans="2:2" x14ac:dyDescent="0.25">
      <c r="B1422" s="1"/>
    </row>
    <row r="1423" spans="2:2" x14ac:dyDescent="0.25">
      <c r="B1423" s="1"/>
    </row>
    <row r="1424" spans="2:2" x14ac:dyDescent="0.25">
      <c r="B1424" s="1"/>
    </row>
    <row r="1425" spans="2:2" x14ac:dyDescent="0.25">
      <c r="B1425" s="1"/>
    </row>
    <row r="1426" spans="2:2" x14ac:dyDescent="0.25">
      <c r="B1426" s="1"/>
    </row>
    <row r="1427" spans="2:2" x14ac:dyDescent="0.25">
      <c r="B1427" s="1"/>
    </row>
    <row r="1428" spans="2:2" x14ac:dyDescent="0.25">
      <c r="B1428" s="1"/>
    </row>
    <row r="1429" spans="2:2" x14ac:dyDescent="0.25">
      <c r="B1429" s="1"/>
    </row>
    <row r="1430" spans="2:2" x14ac:dyDescent="0.25">
      <c r="B1430" s="1"/>
    </row>
    <row r="1431" spans="2:2" x14ac:dyDescent="0.25">
      <c r="B1431" s="1"/>
    </row>
    <row r="1432" spans="2:2" x14ac:dyDescent="0.25">
      <c r="B1432" s="1"/>
    </row>
    <row r="1433" spans="2:2" x14ac:dyDescent="0.25">
      <c r="B1433" s="1"/>
    </row>
    <row r="1434" spans="2:2" x14ac:dyDescent="0.25">
      <c r="B1434" s="1"/>
    </row>
    <row r="1435" spans="2:2" x14ac:dyDescent="0.25">
      <c r="B1435" s="1"/>
    </row>
    <row r="1436" spans="2:2" x14ac:dyDescent="0.25">
      <c r="B1436" s="1"/>
    </row>
    <row r="1437" spans="2:2" x14ac:dyDescent="0.25">
      <c r="B1437" s="1"/>
    </row>
    <row r="1438" spans="2:2" x14ac:dyDescent="0.25">
      <c r="B1438" s="1"/>
    </row>
    <row r="1439" spans="2:2" x14ac:dyDescent="0.25">
      <c r="B1439" s="1"/>
    </row>
    <row r="1440" spans="2:2" x14ac:dyDescent="0.25">
      <c r="B1440" s="1"/>
    </row>
    <row r="1441" spans="2:2" x14ac:dyDescent="0.25">
      <c r="B1441" s="1"/>
    </row>
    <row r="1442" spans="2:2" x14ac:dyDescent="0.25">
      <c r="B1442" s="1"/>
    </row>
    <row r="1443" spans="2:2" x14ac:dyDescent="0.25">
      <c r="B1443" s="1"/>
    </row>
    <row r="1444" spans="2:2" x14ac:dyDescent="0.25">
      <c r="B1444" s="1"/>
    </row>
    <row r="1445" spans="2:2" x14ac:dyDescent="0.25">
      <c r="B1445" s="1"/>
    </row>
    <row r="1446" spans="2:2" x14ac:dyDescent="0.25">
      <c r="B1446" s="1"/>
    </row>
    <row r="1447" spans="2:2" x14ac:dyDescent="0.25">
      <c r="B1447" s="1"/>
    </row>
    <row r="1448" spans="2:2" x14ac:dyDescent="0.25">
      <c r="B1448" s="1"/>
    </row>
    <row r="1449" spans="2:2" x14ac:dyDescent="0.25">
      <c r="B1449" s="1"/>
    </row>
    <row r="1450" spans="2:2" x14ac:dyDescent="0.25">
      <c r="B1450" s="1"/>
    </row>
    <row r="1451" spans="2:2" x14ac:dyDescent="0.25">
      <c r="B1451" s="1"/>
    </row>
    <row r="1452" spans="2:2" x14ac:dyDescent="0.25">
      <c r="B1452" s="1"/>
    </row>
    <row r="1453" spans="2:2" x14ac:dyDescent="0.25">
      <c r="B1453" s="1"/>
    </row>
    <row r="1454" spans="2:2" x14ac:dyDescent="0.25">
      <c r="B1454" s="1"/>
    </row>
    <row r="1455" spans="2:2" x14ac:dyDescent="0.25">
      <c r="B1455" s="1"/>
    </row>
    <row r="1456" spans="2:2" x14ac:dyDescent="0.25">
      <c r="B1456" s="1"/>
    </row>
    <row r="1457" spans="2:2" x14ac:dyDescent="0.25">
      <c r="B1457" s="1"/>
    </row>
    <row r="1458" spans="2:2" x14ac:dyDescent="0.25">
      <c r="B1458" s="1"/>
    </row>
    <row r="1459" spans="2:2" x14ac:dyDescent="0.25">
      <c r="B1459" s="1"/>
    </row>
    <row r="1460" spans="2:2" x14ac:dyDescent="0.25">
      <c r="B1460" s="1"/>
    </row>
    <row r="1461" spans="2:2" x14ac:dyDescent="0.25">
      <c r="B1461" s="1"/>
    </row>
    <row r="1462" spans="2:2" x14ac:dyDescent="0.25">
      <c r="B1462" s="1"/>
    </row>
    <row r="1463" spans="2:2" x14ac:dyDescent="0.25">
      <c r="B1463" s="1"/>
    </row>
    <row r="1464" spans="2:2" x14ac:dyDescent="0.25">
      <c r="B1464" s="1"/>
    </row>
    <row r="1465" spans="2:2" x14ac:dyDescent="0.25">
      <c r="B1465" s="1"/>
    </row>
    <row r="1466" spans="2:2" x14ac:dyDescent="0.25">
      <c r="B1466" s="1"/>
    </row>
    <row r="1467" spans="2:2" x14ac:dyDescent="0.25">
      <c r="B1467" s="1"/>
    </row>
    <row r="1468" spans="2:2" x14ac:dyDescent="0.25">
      <c r="B1468" s="1"/>
    </row>
    <row r="1469" spans="2:2" x14ac:dyDescent="0.25">
      <c r="B1469" s="1"/>
    </row>
    <row r="1470" spans="2:2" x14ac:dyDescent="0.25">
      <c r="B1470" s="1"/>
    </row>
    <row r="1471" spans="2:2" x14ac:dyDescent="0.25">
      <c r="B1471" s="1"/>
    </row>
    <row r="1472" spans="2:2" x14ac:dyDescent="0.25">
      <c r="B1472" s="1"/>
    </row>
    <row r="1473" spans="2:2" x14ac:dyDescent="0.25">
      <c r="B1473" s="1"/>
    </row>
    <row r="1474" spans="2:2" x14ac:dyDescent="0.25">
      <c r="B1474" s="1"/>
    </row>
    <row r="1475" spans="2:2" x14ac:dyDescent="0.25">
      <c r="B1475" s="1"/>
    </row>
    <row r="1476" spans="2:2" x14ac:dyDescent="0.25">
      <c r="B1476" s="1"/>
    </row>
    <row r="1477" spans="2:2" x14ac:dyDescent="0.25">
      <c r="B1477" s="1"/>
    </row>
    <row r="1478" spans="2:2" x14ac:dyDescent="0.25">
      <c r="B1478" s="1"/>
    </row>
    <row r="1479" spans="2:2" x14ac:dyDescent="0.25">
      <c r="B1479" s="1"/>
    </row>
    <row r="1480" spans="2:2" x14ac:dyDescent="0.25">
      <c r="B1480" s="1"/>
    </row>
    <row r="1481" spans="2:2" x14ac:dyDescent="0.25">
      <c r="B1481" s="1"/>
    </row>
    <row r="1482" spans="2:2" x14ac:dyDescent="0.25">
      <c r="B1482" s="1"/>
    </row>
    <row r="1483" spans="2:2" x14ac:dyDescent="0.25">
      <c r="B1483" s="1"/>
    </row>
    <row r="1484" spans="2:2" x14ac:dyDescent="0.25">
      <c r="B1484" s="1"/>
    </row>
    <row r="1485" spans="2:2" x14ac:dyDescent="0.25">
      <c r="B1485" s="1"/>
    </row>
    <row r="1486" spans="2:2" x14ac:dyDescent="0.25">
      <c r="B1486" s="1"/>
    </row>
    <row r="1487" spans="2:2" x14ac:dyDescent="0.25">
      <c r="B1487" s="1"/>
    </row>
    <row r="1488" spans="2:2" x14ac:dyDescent="0.25">
      <c r="B1488" s="1"/>
    </row>
    <row r="1489" spans="2:2" x14ac:dyDescent="0.25">
      <c r="B1489" s="1"/>
    </row>
    <row r="1490" spans="2:2" x14ac:dyDescent="0.25">
      <c r="B1490" s="1"/>
    </row>
    <row r="1491" spans="2:2" x14ac:dyDescent="0.25">
      <c r="B1491" s="1"/>
    </row>
    <row r="1492" spans="2:2" x14ac:dyDescent="0.25">
      <c r="B1492" s="1"/>
    </row>
    <row r="1493" spans="2:2" x14ac:dyDescent="0.25">
      <c r="B1493" s="1"/>
    </row>
    <row r="1494" spans="2:2" x14ac:dyDescent="0.25">
      <c r="B1494" s="1"/>
    </row>
    <row r="1495" spans="2:2" x14ac:dyDescent="0.25">
      <c r="B1495" s="1"/>
    </row>
    <row r="1496" spans="2:2" x14ac:dyDescent="0.25">
      <c r="B1496" s="1"/>
    </row>
    <row r="1497" spans="2:2" x14ac:dyDescent="0.25">
      <c r="B1497" s="1"/>
    </row>
    <row r="1498" spans="2:2" x14ac:dyDescent="0.25">
      <c r="B1498" s="1"/>
    </row>
    <row r="1499" spans="2:2" x14ac:dyDescent="0.25">
      <c r="B1499" s="1"/>
    </row>
    <row r="1500" spans="2:2" x14ac:dyDescent="0.25">
      <c r="B1500" s="1"/>
    </row>
    <row r="1501" spans="2:2" x14ac:dyDescent="0.25">
      <c r="B1501" s="1"/>
    </row>
    <row r="1502" spans="2:2" x14ac:dyDescent="0.25">
      <c r="B1502" s="1"/>
    </row>
    <row r="1503" spans="2:2" x14ac:dyDescent="0.25">
      <c r="B1503" s="1"/>
    </row>
    <row r="1504" spans="2:2" x14ac:dyDescent="0.25">
      <c r="B1504" s="1"/>
    </row>
    <row r="1505" spans="2:2" x14ac:dyDescent="0.25">
      <c r="B1505" s="1"/>
    </row>
    <row r="1506" spans="2:2" x14ac:dyDescent="0.25">
      <c r="B1506" s="1"/>
    </row>
    <row r="1507" spans="2:2" x14ac:dyDescent="0.25">
      <c r="B1507" s="1"/>
    </row>
    <row r="1508" spans="2:2" x14ac:dyDescent="0.25">
      <c r="B1508" s="1"/>
    </row>
    <row r="1509" spans="2:2" x14ac:dyDescent="0.25">
      <c r="B1509" s="1"/>
    </row>
    <row r="1510" spans="2:2" x14ac:dyDescent="0.25">
      <c r="B1510" s="1"/>
    </row>
    <row r="1511" spans="2:2" x14ac:dyDescent="0.25">
      <c r="B1511" s="1"/>
    </row>
    <row r="1512" spans="2:2" x14ac:dyDescent="0.25">
      <c r="B1512" s="1"/>
    </row>
    <row r="1513" spans="2:2" x14ac:dyDescent="0.25">
      <c r="B1513" s="1"/>
    </row>
    <row r="1514" spans="2:2" x14ac:dyDescent="0.25">
      <c r="B1514" s="1"/>
    </row>
    <row r="1515" spans="2:2" x14ac:dyDescent="0.25">
      <c r="B1515" s="1"/>
    </row>
    <row r="1516" spans="2:2" x14ac:dyDescent="0.25">
      <c r="B1516" s="1"/>
    </row>
    <row r="1517" spans="2:2" x14ac:dyDescent="0.25">
      <c r="B1517" s="1"/>
    </row>
    <row r="1518" spans="2:2" x14ac:dyDescent="0.25">
      <c r="B1518" s="1"/>
    </row>
    <row r="1519" spans="2:2" x14ac:dyDescent="0.25">
      <c r="B1519" s="1"/>
    </row>
    <row r="1520" spans="2:2" x14ac:dyDescent="0.25">
      <c r="B1520" s="1"/>
    </row>
    <row r="1521" spans="2:2" x14ac:dyDescent="0.25">
      <c r="B1521" s="1"/>
    </row>
    <row r="1522" spans="2:2" x14ac:dyDescent="0.25">
      <c r="B1522" s="1"/>
    </row>
    <row r="1523" spans="2:2" x14ac:dyDescent="0.25">
      <c r="B1523" s="1"/>
    </row>
    <row r="1524" spans="2:2" x14ac:dyDescent="0.25">
      <c r="B1524" s="1"/>
    </row>
    <row r="1525" spans="2:2" x14ac:dyDescent="0.25">
      <c r="B1525" s="1"/>
    </row>
    <row r="1526" spans="2:2" x14ac:dyDescent="0.25">
      <c r="B1526" s="1"/>
    </row>
    <row r="1527" spans="2:2" x14ac:dyDescent="0.25">
      <c r="B1527" s="1"/>
    </row>
    <row r="1528" spans="2:2" x14ac:dyDescent="0.25">
      <c r="B1528" s="1"/>
    </row>
    <row r="1529" spans="2:2" x14ac:dyDescent="0.25">
      <c r="B1529" s="1"/>
    </row>
    <row r="1530" spans="2:2" x14ac:dyDescent="0.25">
      <c r="B1530" s="1"/>
    </row>
    <row r="1531" spans="2:2" x14ac:dyDescent="0.25">
      <c r="B1531" s="1"/>
    </row>
    <row r="1532" spans="2:2" x14ac:dyDescent="0.25">
      <c r="B1532" s="1"/>
    </row>
    <row r="1533" spans="2:2" x14ac:dyDescent="0.25">
      <c r="B1533" s="1"/>
    </row>
    <row r="1534" spans="2:2" x14ac:dyDescent="0.25">
      <c r="B1534" s="1"/>
    </row>
    <row r="1535" spans="2:2" x14ac:dyDescent="0.25">
      <c r="B1535" s="1"/>
    </row>
    <row r="1536" spans="2:2" x14ac:dyDescent="0.25">
      <c r="B1536" s="1"/>
    </row>
    <row r="1537" spans="2:2" x14ac:dyDescent="0.25">
      <c r="B1537" s="1"/>
    </row>
    <row r="1538" spans="2:2" x14ac:dyDescent="0.25">
      <c r="B1538" s="1"/>
    </row>
    <row r="1539" spans="2:2" x14ac:dyDescent="0.25">
      <c r="B1539" s="1"/>
    </row>
    <row r="1540" spans="2:2" x14ac:dyDescent="0.25">
      <c r="B1540" s="1"/>
    </row>
    <row r="1541" spans="2:2" x14ac:dyDescent="0.25">
      <c r="B1541" s="1"/>
    </row>
    <row r="1542" spans="2:2" x14ac:dyDescent="0.25">
      <c r="B1542" s="1"/>
    </row>
    <row r="1543" spans="2:2" x14ac:dyDescent="0.25">
      <c r="B1543" s="1"/>
    </row>
    <row r="1544" spans="2:2" x14ac:dyDescent="0.25">
      <c r="B1544" s="1"/>
    </row>
    <row r="1545" spans="2:2" x14ac:dyDescent="0.25">
      <c r="B1545" s="1"/>
    </row>
    <row r="1546" spans="2:2" x14ac:dyDescent="0.25">
      <c r="B1546" s="1"/>
    </row>
    <row r="1547" spans="2:2" x14ac:dyDescent="0.25">
      <c r="B1547" s="1"/>
    </row>
    <row r="1548" spans="2:2" x14ac:dyDescent="0.25">
      <c r="B1548" s="1"/>
    </row>
    <row r="1549" spans="2:2" x14ac:dyDescent="0.25">
      <c r="B1549" s="1"/>
    </row>
    <row r="1550" spans="2:2" x14ac:dyDescent="0.25">
      <c r="B1550" s="1"/>
    </row>
    <row r="1551" spans="2:2" x14ac:dyDescent="0.25">
      <c r="B1551" s="1"/>
    </row>
    <row r="1552" spans="2:2" x14ac:dyDescent="0.25">
      <c r="B1552" s="1"/>
    </row>
    <row r="1553" spans="2:2" x14ac:dyDescent="0.25">
      <c r="B1553" s="1"/>
    </row>
    <row r="1554" spans="2:2" x14ac:dyDescent="0.25">
      <c r="B1554" s="1"/>
    </row>
    <row r="1555" spans="2:2" x14ac:dyDescent="0.25">
      <c r="B1555" s="1"/>
    </row>
    <row r="1556" spans="2:2" x14ac:dyDescent="0.25">
      <c r="B1556" s="1"/>
    </row>
    <row r="1557" spans="2:2" x14ac:dyDescent="0.25">
      <c r="B1557" s="1"/>
    </row>
    <row r="1558" spans="2:2" x14ac:dyDescent="0.25">
      <c r="B1558" s="1"/>
    </row>
    <row r="1559" spans="2:2" x14ac:dyDescent="0.25">
      <c r="B1559" s="1"/>
    </row>
    <row r="1560" spans="2:2" x14ac:dyDescent="0.25">
      <c r="B1560" s="1"/>
    </row>
    <row r="1561" spans="2:2" x14ac:dyDescent="0.25">
      <c r="B1561" s="1"/>
    </row>
    <row r="1562" spans="2:2" x14ac:dyDescent="0.25">
      <c r="B1562" s="1"/>
    </row>
    <row r="1563" spans="2:2" x14ac:dyDescent="0.25">
      <c r="B1563" s="1"/>
    </row>
    <row r="1564" spans="2:2" x14ac:dyDescent="0.25">
      <c r="B1564" s="1"/>
    </row>
    <row r="1565" spans="2:2" x14ac:dyDescent="0.25">
      <c r="B1565" s="1"/>
    </row>
    <row r="1566" spans="2:2" x14ac:dyDescent="0.25">
      <c r="B1566" s="1"/>
    </row>
    <row r="1567" spans="2:2" x14ac:dyDescent="0.25">
      <c r="B1567" s="1"/>
    </row>
    <row r="1568" spans="2:2" x14ac:dyDescent="0.25">
      <c r="B1568" s="1"/>
    </row>
    <row r="1569" spans="2:2" x14ac:dyDescent="0.25">
      <c r="B1569" s="1"/>
    </row>
    <row r="1570" spans="2:2" x14ac:dyDescent="0.25">
      <c r="B1570" s="1"/>
    </row>
    <row r="1571" spans="2:2" x14ac:dyDescent="0.25">
      <c r="B1571" s="1"/>
    </row>
    <row r="1572" spans="2:2" x14ac:dyDescent="0.25">
      <c r="B1572" s="1"/>
    </row>
    <row r="1573" spans="2:2" x14ac:dyDescent="0.25">
      <c r="B1573" s="1"/>
    </row>
    <row r="1574" spans="2:2" x14ac:dyDescent="0.25">
      <c r="B1574" s="1"/>
    </row>
    <row r="1575" spans="2:2" x14ac:dyDescent="0.25">
      <c r="B1575" s="1"/>
    </row>
    <row r="1576" spans="2:2" x14ac:dyDescent="0.25">
      <c r="B1576" s="1"/>
    </row>
    <row r="1577" spans="2:2" x14ac:dyDescent="0.25">
      <c r="B1577" s="1"/>
    </row>
    <row r="1578" spans="2:2" x14ac:dyDescent="0.25">
      <c r="B1578" s="1"/>
    </row>
    <row r="1579" spans="2:2" x14ac:dyDescent="0.25">
      <c r="B1579" s="1"/>
    </row>
    <row r="1580" spans="2:2" x14ac:dyDescent="0.25">
      <c r="B1580" s="1"/>
    </row>
    <row r="1581" spans="2:2" x14ac:dyDescent="0.25">
      <c r="B1581" s="1"/>
    </row>
    <row r="1582" spans="2:2" x14ac:dyDescent="0.25">
      <c r="B1582" s="1"/>
    </row>
    <row r="1583" spans="2:2" x14ac:dyDescent="0.25">
      <c r="B1583" s="1"/>
    </row>
    <row r="1584" spans="2:2" x14ac:dyDescent="0.25">
      <c r="B1584" s="1"/>
    </row>
    <row r="1585" spans="2:2" x14ac:dyDescent="0.25">
      <c r="B1585" s="1"/>
    </row>
    <row r="1586" spans="2:2" x14ac:dyDescent="0.25">
      <c r="B1586" s="1"/>
    </row>
    <row r="1587" spans="2:2" x14ac:dyDescent="0.25">
      <c r="B1587" s="1"/>
    </row>
    <row r="1588" spans="2:2" x14ac:dyDescent="0.25">
      <c r="B1588" s="1"/>
    </row>
    <row r="1589" spans="2:2" x14ac:dyDescent="0.25">
      <c r="B1589" s="1"/>
    </row>
    <row r="1590" spans="2:2" x14ac:dyDescent="0.25">
      <c r="B1590" s="1"/>
    </row>
    <row r="1591" spans="2:2" x14ac:dyDescent="0.25">
      <c r="B1591" s="1"/>
    </row>
    <row r="1592" spans="2:2" x14ac:dyDescent="0.25">
      <c r="B1592" s="1"/>
    </row>
    <row r="1593" spans="2:2" x14ac:dyDescent="0.25">
      <c r="B1593" s="1"/>
    </row>
    <row r="1594" spans="2:2" x14ac:dyDescent="0.25">
      <c r="B1594" s="1"/>
    </row>
    <row r="1595" spans="2:2" x14ac:dyDescent="0.25">
      <c r="B1595" s="1"/>
    </row>
    <row r="1596" spans="2:2" x14ac:dyDescent="0.25">
      <c r="B1596" s="1"/>
    </row>
    <row r="1597" spans="2:2" x14ac:dyDescent="0.25">
      <c r="B1597" s="1"/>
    </row>
    <row r="1598" spans="2:2" x14ac:dyDescent="0.25">
      <c r="B1598" s="1"/>
    </row>
    <row r="1599" spans="2:2" x14ac:dyDescent="0.25">
      <c r="B1599" s="1"/>
    </row>
    <row r="1600" spans="2:2" x14ac:dyDescent="0.25">
      <c r="B1600" s="1"/>
    </row>
    <row r="1601" spans="2:2" x14ac:dyDescent="0.25">
      <c r="B1601" s="1"/>
    </row>
    <row r="1602" spans="2:2" x14ac:dyDescent="0.25">
      <c r="B1602" s="1"/>
    </row>
    <row r="1603" spans="2:2" x14ac:dyDescent="0.25">
      <c r="B1603" s="1"/>
    </row>
    <row r="1604" spans="2:2" x14ac:dyDescent="0.25">
      <c r="B1604" s="1"/>
    </row>
    <row r="1605" spans="2:2" x14ac:dyDescent="0.25">
      <c r="B1605" s="1"/>
    </row>
    <row r="1606" spans="2:2" x14ac:dyDescent="0.25">
      <c r="B1606" s="1"/>
    </row>
    <row r="1607" spans="2:2" x14ac:dyDescent="0.25">
      <c r="B1607" s="1"/>
    </row>
    <row r="1608" spans="2:2" x14ac:dyDescent="0.25">
      <c r="B1608" s="1"/>
    </row>
    <row r="1609" spans="2:2" x14ac:dyDescent="0.25">
      <c r="B1609" s="1"/>
    </row>
    <row r="1610" spans="2:2" x14ac:dyDescent="0.25">
      <c r="B1610" s="1"/>
    </row>
    <row r="1611" spans="2:2" x14ac:dyDescent="0.25">
      <c r="B1611" s="1"/>
    </row>
    <row r="1612" spans="2:2" x14ac:dyDescent="0.25">
      <c r="B1612" s="1"/>
    </row>
    <row r="1613" spans="2:2" x14ac:dyDescent="0.25">
      <c r="B1613" s="1"/>
    </row>
    <row r="1614" spans="2:2" x14ac:dyDescent="0.25">
      <c r="B1614" s="1"/>
    </row>
    <row r="1615" spans="2:2" x14ac:dyDescent="0.25">
      <c r="B1615" s="1"/>
    </row>
    <row r="1616" spans="2:2" x14ac:dyDescent="0.25">
      <c r="B1616" s="1"/>
    </row>
    <row r="1617" spans="2:2" x14ac:dyDescent="0.25">
      <c r="B1617" s="1"/>
    </row>
    <row r="1618" spans="2:2" x14ac:dyDescent="0.25">
      <c r="B1618" s="1"/>
    </row>
    <row r="1619" spans="2:2" x14ac:dyDescent="0.25">
      <c r="B1619" s="1"/>
    </row>
    <row r="1620" spans="2:2" x14ac:dyDescent="0.25">
      <c r="B1620" s="1"/>
    </row>
    <row r="1621" spans="2:2" x14ac:dyDescent="0.25">
      <c r="B1621" s="1"/>
    </row>
    <row r="1622" spans="2:2" x14ac:dyDescent="0.25">
      <c r="B1622" s="1"/>
    </row>
    <row r="1623" spans="2:2" x14ac:dyDescent="0.25">
      <c r="B1623" s="1"/>
    </row>
    <row r="1624" spans="2:2" x14ac:dyDescent="0.25">
      <c r="B1624" s="1"/>
    </row>
    <row r="1625" spans="2:2" x14ac:dyDescent="0.25">
      <c r="B1625" s="1"/>
    </row>
    <row r="1626" spans="2:2" x14ac:dyDescent="0.25">
      <c r="B1626" s="1"/>
    </row>
    <row r="1627" spans="2:2" x14ac:dyDescent="0.25">
      <c r="B1627" s="1"/>
    </row>
    <row r="1628" spans="2:2" x14ac:dyDescent="0.25">
      <c r="B1628" s="1"/>
    </row>
    <row r="1629" spans="2:2" x14ac:dyDescent="0.25">
      <c r="B1629" s="1"/>
    </row>
    <row r="1630" spans="2:2" x14ac:dyDescent="0.25">
      <c r="B1630" s="1"/>
    </row>
    <row r="1631" spans="2:2" x14ac:dyDescent="0.25">
      <c r="B1631" s="1"/>
    </row>
    <row r="1632" spans="2:2" x14ac:dyDescent="0.25">
      <c r="B1632" s="1"/>
    </row>
    <row r="1633" spans="2:2" x14ac:dyDescent="0.25">
      <c r="B1633" s="1"/>
    </row>
    <row r="1634" spans="2:2" x14ac:dyDescent="0.25">
      <c r="B1634" s="1"/>
    </row>
    <row r="1635" spans="2:2" x14ac:dyDescent="0.25">
      <c r="B1635" s="1"/>
    </row>
    <row r="1636" spans="2:2" x14ac:dyDescent="0.25">
      <c r="B1636" s="1"/>
    </row>
    <row r="1637" spans="2:2" x14ac:dyDescent="0.25">
      <c r="B1637" s="1"/>
    </row>
    <row r="1638" spans="2:2" x14ac:dyDescent="0.25">
      <c r="B1638" s="1"/>
    </row>
    <row r="1639" spans="2:2" x14ac:dyDescent="0.25">
      <c r="B1639" s="1"/>
    </row>
    <row r="1640" spans="2:2" x14ac:dyDescent="0.25">
      <c r="B1640" s="1"/>
    </row>
    <row r="1641" spans="2:2" x14ac:dyDescent="0.25">
      <c r="B1641" s="1"/>
    </row>
    <row r="1642" spans="2:2" x14ac:dyDescent="0.25">
      <c r="B1642" s="1"/>
    </row>
    <row r="1643" spans="2:2" x14ac:dyDescent="0.25">
      <c r="B1643" s="1"/>
    </row>
    <row r="1644" spans="2:2" x14ac:dyDescent="0.25">
      <c r="B1644" s="1"/>
    </row>
    <row r="1645" spans="2:2" x14ac:dyDescent="0.25">
      <c r="B1645" s="1"/>
    </row>
    <row r="1646" spans="2:2" x14ac:dyDescent="0.25">
      <c r="B1646" s="1"/>
    </row>
    <row r="1647" spans="2:2" x14ac:dyDescent="0.25">
      <c r="B1647" s="1"/>
    </row>
    <row r="1648" spans="2:2" x14ac:dyDescent="0.25">
      <c r="B1648" s="1"/>
    </row>
    <row r="1649" spans="2:2" x14ac:dyDescent="0.25">
      <c r="B1649" s="1"/>
    </row>
    <row r="1650" spans="2:2" x14ac:dyDescent="0.25">
      <c r="B1650" s="1"/>
    </row>
    <row r="1651" spans="2:2" x14ac:dyDescent="0.25">
      <c r="B1651" s="1"/>
    </row>
    <row r="1652" spans="2:2" x14ac:dyDescent="0.25">
      <c r="B1652" s="1"/>
    </row>
    <row r="1653" spans="2:2" x14ac:dyDescent="0.25">
      <c r="B1653" s="1"/>
    </row>
    <row r="1654" spans="2:2" x14ac:dyDescent="0.25">
      <c r="B1654" s="1"/>
    </row>
    <row r="1655" spans="2:2" x14ac:dyDescent="0.25">
      <c r="B1655" s="1"/>
    </row>
    <row r="1656" spans="2:2" x14ac:dyDescent="0.25">
      <c r="B1656" s="1"/>
    </row>
    <row r="1657" spans="2:2" x14ac:dyDescent="0.25">
      <c r="B1657" s="1"/>
    </row>
    <row r="1658" spans="2:2" x14ac:dyDescent="0.25">
      <c r="B1658" s="1"/>
    </row>
    <row r="1659" spans="2:2" x14ac:dyDescent="0.25">
      <c r="B1659" s="1"/>
    </row>
    <row r="1660" spans="2:2" x14ac:dyDescent="0.25">
      <c r="B1660" s="1"/>
    </row>
    <row r="1661" spans="2:2" x14ac:dyDescent="0.25">
      <c r="B1661" s="1"/>
    </row>
    <row r="1662" spans="2:2" x14ac:dyDescent="0.25">
      <c r="B1662" s="1"/>
    </row>
    <row r="1663" spans="2:2" x14ac:dyDescent="0.25">
      <c r="B1663" s="1"/>
    </row>
    <row r="1664" spans="2:2" x14ac:dyDescent="0.25">
      <c r="B1664" s="1"/>
    </row>
    <row r="1665" spans="2:2" x14ac:dyDescent="0.25">
      <c r="B1665" s="1"/>
    </row>
    <row r="1666" spans="2:2" x14ac:dyDescent="0.25">
      <c r="B1666" s="1"/>
    </row>
    <row r="1667" spans="2:2" x14ac:dyDescent="0.25">
      <c r="B1667" s="1"/>
    </row>
    <row r="1668" spans="2:2" x14ac:dyDescent="0.25">
      <c r="B1668" s="1"/>
    </row>
    <row r="1669" spans="2:2" x14ac:dyDescent="0.25">
      <c r="B1669" s="1"/>
    </row>
    <row r="1670" spans="2:2" x14ac:dyDescent="0.25">
      <c r="B1670" s="1"/>
    </row>
    <row r="1671" spans="2:2" x14ac:dyDescent="0.25">
      <c r="B1671" s="1"/>
    </row>
    <row r="1672" spans="2:2" x14ac:dyDescent="0.25">
      <c r="B1672" s="1"/>
    </row>
    <row r="1673" spans="2:2" x14ac:dyDescent="0.25">
      <c r="B1673" s="1"/>
    </row>
    <row r="1674" spans="2:2" x14ac:dyDescent="0.25">
      <c r="B1674" s="1"/>
    </row>
    <row r="1675" spans="2:2" x14ac:dyDescent="0.25">
      <c r="B1675" s="1"/>
    </row>
    <row r="1676" spans="2:2" x14ac:dyDescent="0.25">
      <c r="B1676" s="1"/>
    </row>
    <row r="1677" spans="2:2" x14ac:dyDescent="0.25">
      <c r="B1677" s="1"/>
    </row>
    <row r="1678" spans="2:2" x14ac:dyDescent="0.25">
      <c r="B1678" s="1"/>
    </row>
    <row r="1679" spans="2:2" x14ac:dyDescent="0.25">
      <c r="B1679" s="1"/>
    </row>
    <row r="1680" spans="2:2" x14ac:dyDescent="0.25">
      <c r="B1680" s="1"/>
    </row>
    <row r="1681" spans="2:2" x14ac:dyDescent="0.25">
      <c r="B1681" s="1"/>
    </row>
    <row r="1682" spans="2:2" x14ac:dyDescent="0.25">
      <c r="B1682" s="1"/>
    </row>
    <row r="1683" spans="2:2" x14ac:dyDescent="0.25">
      <c r="B1683" s="1"/>
    </row>
    <row r="1684" spans="2:2" x14ac:dyDescent="0.25">
      <c r="B1684" s="1"/>
    </row>
    <row r="1685" spans="2:2" x14ac:dyDescent="0.25">
      <c r="B1685" s="1"/>
    </row>
    <row r="1686" spans="2:2" x14ac:dyDescent="0.25">
      <c r="B1686" s="1"/>
    </row>
    <row r="1687" spans="2:2" x14ac:dyDescent="0.25">
      <c r="B1687" s="1"/>
    </row>
    <row r="1688" spans="2:2" x14ac:dyDescent="0.25">
      <c r="B1688" s="1"/>
    </row>
    <row r="1689" spans="2:2" x14ac:dyDescent="0.25">
      <c r="B1689" s="1"/>
    </row>
    <row r="1690" spans="2:2" x14ac:dyDescent="0.25">
      <c r="B1690" s="1"/>
    </row>
    <row r="1691" spans="2:2" x14ac:dyDescent="0.25">
      <c r="B1691" s="1"/>
    </row>
    <row r="1692" spans="2:2" x14ac:dyDescent="0.25">
      <c r="B1692" s="1"/>
    </row>
    <row r="1693" spans="2:2" x14ac:dyDescent="0.25">
      <c r="B1693" s="1"/>
    </row>
    <row r="1694" spans="2:2" x14ac:dyDescent="0.25">
      <c r="B1694" s="1"/>
    </row>
    <row r="1695" spans="2:2" x14ac:dyDescent="0.25">
      <c r="B1695" s="1"/>
    </row>
    <row r="1696" spans="2:2" x14ac:dyDescent="0.25">
      <c r="B1696" s="1"/>
    </row>
    <row r="1697" spans="2:2" x14ac:dyDescent="0.25">
      <c r="B1697" s="1"/>
    </row>
    <row r="1698" spans="2:2" x14ac:dyDescent="0.25">
      <c r="B1698" s="1"/>
    </row>
    <row r="1699" spans="2:2" x14ac:dyDescent="0.25">
      <c r="B1699" s="1"/>
    </row>
    <row r="1700" spans="2:2" x14ac:dyDescent="0.25">
      <c r="B1700" s="1"/>
    </row>
    <row r="1701" spans="2:2" x14ac:dyDescent="0.25">
      <c r="B1701" s="1"/>
    </row>
    <row r="1702" spans="2:2" x14ac:dyDescent="0.25">
      <c r="B1702" s="1"/>
    </row>
    <row r="1703" spans="2:2" x14ac:dyDescent="0.25">
      <c r="B1703" s="1"/>
    </row>
    <row r="1704" spans="2:2" x14ac:dyDescent="0.25">
      <c r="B1704" s="1"/>
    </row>
    <row r="1705" spans="2:2" x14ac:dyDescent="0.25">
      <c r="B1705" s="1"/>
    </row>
    <row r="1706" spans="2:2" x14ac:dyDescent="0.25">
      <c r="B1706" s="1"/>
    </row>
    <row r="1707" spans="2:2" x14ac:dyDescent="0.25">
      <c r="B1707" s="1"/>
    </row>
    <row r="1708" spans="2:2" x14ac:dyDescent="0.25">
      <c r="B1708" s="1"/>
    </row>
    <row r="1709" spans="2:2" x14ac:dyDescent="0.25">
      <c r="B1709" s="1"/>
    </row>
    <row r="1710" spans="2:2" x14ac:dyDescent="0.25">
      <c r="B1710" s="1"/>
    </row>
    <row r="1711" spans="2:2" x14ac:dyDescent="0.25">
      <c r="B1711" s="1"/>
    </row>
    <row r="1712" spans="2:2" x14ac:dyDescent="0.25">
      <c r="B1712" s="1"/>
    </row>
    <row r="1713" spans="2:2" x14ac:dyDescent="0.25">
      <c r="B1713" s="1"/>
    </row>
    <row r="1714" spans="2:2" x14ac:dyDescent="0.25">
      <c r="B1714" s="1"/>
    </row>
    <row r="1715" spans="2:2" x14ac:dyDescent="0.25">
      <c r="B1715" s="1"/>
    </row>
    <row r="1716" spans="2:2" x14ac:dyDescent="0.25">
      <c r="B1716" s="1"/>
    </row>
    <row r="1717" spans="2:2" x14ac:dyDescent="0.25">
      <c r="B1717" s="1"/>
    </row>
    <row r="1718" spans="2:2" x14ac:dyDescent="0.25">
      <c r="B1718" s="1"/>
    </row>
    <row r="1719" spans="2:2" x14ac:dyDescent="0.25">
      <c r="B1719" s="1"/>
    </row>
    <row r="1720" spans="2:2" x14ac:dyDescent="0.25">
      <c r="B1720" s="1"/>
    </row>
    <row r="1721" spans="2:2" x14ac:dyDescent="0.25">
      <c r="B1721" s="1"/>
    </row>
    <row r="1722" spans="2:2" x14ac:dyDescent="0.25">
      <c r="B1722" s="1"/>
    </row>
    <row r="1723" spans="2:2" x14ac:dyDescent="0.25">
      <c r="B1723" s="1"/>
    </row>
    <row r="1724" spans="2:2" x14ac:dyDescent="0.25">
      <c r="B1724" s="1"/>
    </row>
    <row r="1725" spans="2:2" x14ac:dyDescent="0.25">
      <c r="B1725" s="1"/>
    </row>
    <row r="1726" spans="2:2" x14ac:dyDescent="0.25">
      <c r="B1726" s="1"/>
    </row>
    <row r="1727" spans="2:2" x14ac:dyDescent="0.25">
      <c r="B1727" s="1"/>
    </row>
    <row r="1728" spans="2:2" x14ac:dyDescent="0.25">
      <c r="B1728" s="1"/>
    </row>
    <row r="1729" spans="2:2" x14ac:dyDescent="0.25">
      <c r="B1729" s="1"/>
    </row>
    <row r="1730" spans="2:2" x14ac:dyDescent="0.25">
      <c r="B1730" s="1"/>
    </row>
    <row r="1731" spans="2:2" x14ac:dyDescent="0.25">
      <c r="B1731" s="1"/>
    </row>
    <row r="1732" spans="2:2" x14ac:dyDescent="0.25">
      <c r="B1732" s="1"/>
    </row>
    <row r="1733" spans="2:2" x14ac:dyDescent="0.25">
      <c r="B1733" s="1"/>
    </row>
    <row r="1734" spans="2:2" x14ac:dyDescent="0.25">
      <c r="B1734" s="1"/>
    </row>
    <row r="1735" spans="2:2" x14ac:dyDescent="0.25">
      <c r="B1735" s="1"/>
    </row>
    <row r="1736" spans="2:2" x14ac:dyDescent="0.25">
      <c r="B1736" s="1"/>
    </row>
    <row r="1737" spans="2:2" x14ac:dyDescent="0.25">
      <c r="B1737" s="1"/>
    </row>
    <row r="1738" spans="2:2" x14ac:dyDescent="0.25">
      <c r="B1738" s="1"/>
    </row>
    <row r="1739" spans="2:2" x14ac:dyDescent="0.25">
      <c r="B1739" s="1"/>
    </row>
    <row r="1740" spans="2:2" x14ac:dyDescent="0.25">
      <c r="B1740" s="1"/>
    </row>
    <row r="1741" spans="2:2" x14ac:dyDescent="0.25">
      <c r="B1741" s="1"/>
    </row>
    <row r="1742" spans="2:2" x14ac:dyDescent="0.25">
      <c r="B1742" s="1"/>
    </row>
    <row r="1743" spans="2:2" x14ac:dyDescent="0.25">
      <c r="B1743" s="1"/>
    </row>
    <row r="1744" spans="2:2" x14ac:dyDescent="0.25">
      <c r="B1744" s="1"/>
    </row>
    <row r="1745" spans="2:2" x14ac:dyDescent="0.25">
      <c r="B1745" s="1"/>
    </row>
    <row r="1746" spans="2:2" x14ac:dyDescent="0.25">
      <c r="B1746" s="1"/>
    </row>
    <row r="1747" spans="2:2" x14ac:dyDescent="0.25">
      <c r="B1747" s="1"/>
    </row>
    <row r="1748" spans="2:2" x14ac:dyDescent="0.25">
      <c r="B1748" s="1"/>
    </row>
    <row r="1749" spans="2:2" x14ac:dyDescent="0.25">
      <c r="B1749" s="1"/>
    </row>
    <row r="1750" spans="2:2" x14ac:dyDescent="0.25">
      <c r="B1750" s="1"/>
    </row>
    <row r="1751" spans="2:2" x14ac:dyDescent="0.25">
      <c r="B1751" s="1"/>
    </row>
    <row r="1752" spans="2:2" x14ac:dyDescent="0.25">
      <c r="B1752" s="1"/>
    </row>
    <row r="1753" spans="2:2" x14ac:dyDescent="0.25">
      <c r="B1753" s="1"/>
    </row>
    <row r="1754" spans="2:2" x14ac:dyDescent="0.25">
      <c r="B1754" s="1"/>
    </row>
    <row r="1755" spans="2:2" x14ac:dyDescent="0.25">
      <c r="B1755" s="1"/>
    </row>
    <row r="1756" spans="2:2" x14ac:dyDescent="0.25">
      <c r="B1756" s="1"/>
    </row>
    <row r="1757" spans="2:2" x14ac:dyDescent="0.25">
      <c r="B1757" s="1"/>
    </row>
    <row r="1758" spans="2:2" x14ac:dyDescent="0.25">
      <c r="B1758" s="1"/>
    </row>
    <row r="1759" spans="2:2" x14ac:dyDescent="0.25">
      <c r="B1759" s="1"/>
    </row>
    <row r="1760" spans="2:2" x14ac:dyDescent="0.25">
      <c r="B1760" s="1"/>
    </row>
    <row r="1761" spans="2:2" x14ac:dyDescent="0.25">
      <c r="B1761" s="1"/>
    </row>
    <row r="1762" spans="2:2" x14ac:dyDescent="0.25">
      <c r="B1762" s="1"/>
    </row>
    <row r="1763" spans="2:2" x14ac:dyDescent="0.25">
      <c r="B1763" s="1"/>
    </row>
    <row r="1764" spans="2:2" x14ac:dyDescent="0.25">
      <c r="B1764" s="1"/>
    </row>
    <row r="1765" spans="2:2" x14ac:dyDescent="0.25">
      <c r="B1765" s="1"/>
    </row>
    <row r="1766" spans="2:2" x14ac:dyDescent="0.25">
      <c r="B1766" s="1"/>
    </row>
    <row r="1767" spans="2:2" x14ac:dyDescent="0.25">
      <c r="B1767" s="1"/>
    </row>
    <row r="1768" spans="2:2" x14ac:dyDescent="0.25">
      <c r="B1768" s="1"/>
    </row>
    <row r="1769" spans="2:2" x14ac:dyDescent="0.25">
      <c r="B1769" s="1"/>
    </row>
    <row r="1770" spans="2:2" x14ac:dyDescent="0.25">
      <c r="B1770" s="1"/>
    </row>
    <row r="1771" spans="2:2" x14ac:dyDescent="0.25">
      <c r="B1771" s="1"/>
    </row>
    <row r="1772" spans="2:2" x14ac:dyDescent="0.25">
      <c r="B1772" s="1"/>
    </row>
    <row r="1773" spans="2:2" x14ac:dyDescent="0.25">
      <c r="B1773" s="1"/>
    </row>
    <row r="1774" spans="2:2" x14ac:dyDescent="0.25">
      <c r="B1774" s="1"/>
    </row>
    <row r="1775" spans="2:2" x14ac:dyDescent="0.25">
      <c r="B1775" s="1"/>
    </row>
    <row r="1776" spans="2:2" x14ac:dyDescent="0.25">
      <c r="B1776" s="1"/>
    </row>
    <row r="1777" spans="2:2" x14ac:dyDescent="0.25">
      <c r="B1777" s="1"/>
    </row>
    <row r="1778" spans="2:2" x14ac:dyDescent="0.25">
      <c r="B1778" s="1"/>
    </row>
    <row r="1779" spans="2:2" x14ac:dyDescent="0.25">
      <c r="B1779" s="1"/>
    </row>
    <row r="1780" spans="2:2" x14ac:dyDescent="0.25">
      <c r="B1780" s="1"/>
    </row>
    <row r="1781" spans="2:2" x14ac:dyDescent="0.25">
      <c r="B1781" s="1"/>
    </row>
    <row r="1782" spans="2:2" x14ac:dyDescent="0.25">
      <c r="B1782" s="1"/>
    </row>
    <row r="1783" spans="2:2" x14ac:dyDescent="0.25">
      <c r="B1783" s="1"/>
    </row>
    <row r="1784" spans="2:2" x14ac:dyDescent="0.25">
      <c r="B1784" s="1"/>
    </row>
    <row r="1785" spans="2:2" x14ac:dyDescent="0.25">
      <c r="B1785" s="1"/>
    </row>
    <row r="1786" spans="2:2" x14ac:dyDescent="0.25">
      <c r="B1786" s="1"/>
    </row>
    <row r="1787" spans="2:2" x14ac:dyDescent="0.25">
      <c r="B1787" s="1"/>
    </row>
    <row r="1788" spans="2:2" x14ac:dyDescent="0.25">
      <c r="B1788" s="1"/>
    </row>
    <row r="1789" spans="2:2" x14ac:dyDescent="0.25">
      <c r="B1789" s="1"/>
    </row>
    <row r="1790" spans="2:2" x14ac:dyDescent="0.25">
      <c r="B1790" s="1"/>
    </row>
    <row r="1791" spans="2:2" x14ac:dyDescent="0.25">
      <c r="B1791" s="1"/>
    </row>
    <row r="1792" spans="2:2" x14ac:dyDescent="0.25">
      <c r="B1792" s="1"/>
    </row>
    <row r="1793" spans="2:2" x14ac:dyDescent="0.25">
      <c r="B1793" s="1"/>
    </row>
    <row r="1794" spans="2:2" x14ac:dyDescent="0.25">
      <c r="B1794" s="1"/>
    </row>
    <row r="1795" spans="2:2" x14ac:dyDescent="0.25">
      <c r="B1795" s="1"/>
    </row>
    <row r="1796" spans="2:2" x14ac:dyDescent="0.25">
      <c r="B1796" s="1"/>
    </row>
    <row r="1797" spans="2:2" x14ac:dyDescent="0.25">
      <c r="B1797" s="1"/>
    </row>
    <row r="1798" spans="2:2" x14ac:dyDescent="0.25">
      <c r="B1798" s="1"/>
    </row>
    <row r="1799" spans="2:2" x14ac:dyDescent="0.25">
      <c r="B1799" s="1"/>
    </row>
    <row r="1800" spans="2:2" x14ac:dyDescent="0.25">
      <c r="B1800" s="1"/>
    </row>
    <row r="1801" spans="2:2" x14ac:dyDescent="0.25">
      <c r="B1801" s="1"/>
    </row>
    <row r="1802" spans="2:2" x14ac:dyDescent="0.25">
      <c r="B1802" s="1"/>
    </row>
    <row r="1803" spans="2:2" x14ac:dyDescent="0.25">
      <c r="B1803" s="1"/>
    </row>
    <row r="1804" spans="2:2" x14ac:dyDescent="0.25">
      <c r="B1804" s="1"/>
    </row>
    <row r="1805" spans="2:2" x14ac:dyDescent="0.25">
      <c r="B1805" s="1"/>
    </row>
    <row r="1806" spans="2:2" x14ac:dyDescent="0.25">
      <c r="B1806" s="1"/>
    </row>
    <row r="1807" spans="2:2" x14ac:dyDescent="0.25">
      <c r="B1807" s="1"/>
    </row>
    <row r="1808" spans="2:2" x14ac:dyDescent="0.25">
      <c r="B1808" s="1"/>
    </row>
    <row r="1809" spans="2:2" x14ac:dyDescent="0.25">
      <c r="B1809" s="1"/>
    </row>
    <row r="1810" spans="2:2" x14ac:dyDescent="0.25">
      <c r="B1810" s="1"/>
    </row>
    <row r="1811" spans="2:2" x14ac:dyDescent="0.25">
      <c r="B1811" s="1"/>
    </row>
    <row r="1812" spans="2:2" x14ac:dyDescent="0.25">
      <c r="B1812" s="1"/>
    </row>
    <row r="1813" spans="2:2" x14ac:dyDescent="0.25">
      <c r="B1813" s="1"/>
    </row>
    <row r="1814" spans="2:2" x14ac:dyDescent="0.25">
      <c r="B1814" s="1"/>
    </row>
    <row r="1815" spans="2:2" x14ac:dyDescent="0.25">
      <c r="B1815" s="1"/>
    </row>
    <row r="1816" spans="2:2" x14ac:dyDescent="0.25">
      <c r="B1816" s="1"/>
    </row>
    <row r="1817" spans="2:2" x14ac:dyDescent="0.25">
      <c r="B1817" s="1"/>
    </row>
    <row r="1818" spans="2:2" x14ac:dyDescent="0.25">
      <c r="B1818" s="1"/>
    </row>
    <row r="1819" spans="2:2" x14ac:dyDescent="0.25">
      <c r="B1819" s="1"/>
    </row>
    <row r="1820" spans="2:2" x14ac:dyDescent="0.25">
      <c r="B1820" s="1"/>
    </row>
    <row r="1821" spans="2:2" x14ac:dyDescent="0.25">
      <c r="B1821" s="1"/>
    </row>
    <row r="1822" spans="2:2" x14ac:dyDescent="0.25">
      <c r="B1822" s="1"/>
    </row>
    <row r="1823" spans="2:2" x14ac:dyDescent="0.25">
      <c r="B1823" s="1"/>
    </row>
    <row r="1824" spans="2:2" x14ac:dyDescent="0.25">
      <c r="B1824" s="1"/>
    </row>
    <row r="1825" spans="2:2" x14ac:dyDescent="0.25">
      <c r="B1825" s="1"/>
    </row>
    <row r="1826" spans="2:2" x14ac:dyDescent="0.25">
      <c r="B1826" s="1"/>
    </row>
    <row r="1827" spans="2:2" x14ac:dyDescent="0.25">
      <c r="B1827" s="1"/>
    </row>
    <row r="1828" spans="2:2" x14ac:dyDescent="0.25">
      <c r="B1828" s="1"/>
    </row>
    <row r="1829" spans="2:2" x14ac:dyDescent="0.25">
      <c r="B1829" s="1"/>
    </row>
    <row r="1830" spans="2:2" x14ac:dyDescent="0.25">
      <c r="B1830" s="1"/>
    </row>
    <row r="1831" spans="2:2" x14ac:dyDescent="0.25">
      <c r="B1831" s="1"/>
    </row>
    <row r="1832" spans="2:2" x14ac:dyDescent="0.25">
      <c r="B1832" s="1"/>
    </row>
    <row r="1833" spans="2:2" x14ac:dyDescent="0.25">
      <c r="B1833" s="1"/>
    </row>
    <row r="1834" spans="2:2" x14ac:dyDescent="0.25">
      <c r="B1834" s="1"/>
    </row>
    <row r="1835" spans="2:2" x14ac:dyDescent="0.25">
      <c r="B1835" s="1"/>
    </row>
    <row r="1836" spans="2:2" x14ac:dyDescent="0.25">
      <c r="B1836" s="1"/>
    </row>
    <row r="1837" spans="2:2" x14ac:dyDescent="0.25">
      <c r="B1837" s="1"/>
    </row>
    <row r="1838" spans="2:2" x14ac:dyDescent="0.25">
      <c r="B1838" s="1"/>
    </row>
    <row r="1839" spans="2:2" x14ac:dyDescent="0.25">
      <c r="B1839" s="1"/>
    </row>
    <row r="1840" spans="2:2" x14ac:dyDescent="0.25">
      <c r="B1840" s="1"/>
    </row>
    <row r="1841" spans="2:2" x14ac:dyDescent="0.25">
      <c r="B1841" s="1"/>
    </row>
    <row r="1842" spans="2:2" x14ac:dyDescent="0.25">
      <c r="B1842" s="1"/>
    </row>
    <row r="1843" spans="2:2" x14ac:dyDescent="0.25">
      <c r="B1843" s="1"/>
    </row>
    <row r="1844" spans="2:2" x14ac:dyDescent="0.25">
      <c r="B1844" s="1"/>
    </row>
    <row r="1845" spans="2:2" x14ac:dyDescent="0.25">
      <c r="B1845" s="1"/>
    </row>
    <row r="1846" spans="2:2" x14ac:dyDescent="0.25">
      <c r="B1846" s="1"/>
    </row>
    <row r="1847" spans="2:2" x14ac:dyDescent="0.25">
      <c r="B1847" s="1"/>
    </row>
    <row r="1848" spans="2:2" x14ac:dyDescent="0.25">
      <c r="B1848" s="1"/>
    </row>
    <row r="1849" spans="2:2" x14ac:dyDescent="0.25">
      <c r="B1849" s="1"/>
    </row>
    <row r="1850" spans="2:2" x14ac:dyDescent="0.25">
      <c r="B1850" s="1"/>
    </row>
    <row r="1851" spans="2:2" x14ac:dyDescent="0.25">
      <c r="B1851" s="1"/>
    </row>
    <row r="1852" spans="2:2" x14ac:dyDescent="0.25">
      <c r="B1852" s="1"/>
    </row>
    <row r="1853" spans="2:2" x14ac:dyDescent="0.25">
      <c r="B1853" s="1"/>
    </row>
    <row r="1854" spans="2:2" x14ac:dyDescent="0.25">
      <c r="B1854" s="1"/>
    </row>
    <row r="1855" spans="2:2" x14ac:dyDescent="0.25">
      <c r="B1855" s="1"/>
    </row>
    <row r="1856" spans="2:2" x14ac:dyDescent="0.25">
      <c r="B1856" s="1"/>
    </row>
    <row r="1857" spans="2:2" x14ac:dyDescent="0.25">
      <c r="B1857" s="1"/>
    </row>
    <row r="1858" spans="2:2" x14ac:dyDescent="0.25">
      <c r="B1858" s="1"/>
    </row>
    <row r="1859" spans="2:2" x14ac:dyDescent="0.25">
      <c r="B1859" s="1"/>
    </row>
    <row r="1860" spans="2:2" x14ac:dyDescent="0.25">
      <c r="B1860" s="1"/>
    </row>
    <row r="1861" spans="2:2" x14ac:dyDescent="0.25">
      <c r="B1861" s="1"/>
    </row>
    <row r="1862" spans="2:2" x14ac:dyDescent="0.25">
      <c r="B1862" s="1"/>
    </row>
    <row r="1863" spans="2:2" x14ac:dyDescent="0.25">
      <c r="B1863" s="1"/>
    </row>
    <row r="1864" spans="2:2" x14ac:dyDescent="0.25">
      <c r="B1864" s="1"/>
    </row>
    <row r="1865" spans="2:2" x14ac:dyDescent="0.25">
      <c r="B1865" s="1"/>
    </row>
    <row r="1866" spans="2:2" x14ac:dyDescent="0.25">
      <c r="B1866" s="1"/>
    </row>
    <row r="1867" spans="2:2" x14ac:dyDescent="0.25">
      <c r="B1867" s="1"/>
    </row>
    <row r="1868" spans="2:2" x14ac:dyDescent="0.25">
      <c r="B1868" s="1"/>
    </row>
    <row r="1869" spans="2:2" x14ac:dyDescent="0.25">
      <c r="B1869" s="1"/>
    </row>
    <row r="1870" spans="2:2" x14ac:dyDescent="0.25">
      <c r="B1870" s="1"/>
    </row>
    <row r="1871" spans="2:2" x14ac:dyDescent="0.25">
      <c r="B1871" s="1"/>
    </row>
    <row r="1872" spans="2:2" x14ac:dyDescent="0.25">
      <c r="B1872" s="1"/>
    </row>
    <row r="1873" spans="2:2" x14ac:dyDescent="0.25">
      <c r="B1873" s="1"/>
    </row>
    <row r="1874" spans="2:2" x14ac:dyDescent="0.25">
      <c r="B1874" s="1"/>
    </row>
    <row r="1875" spans="2:2" x14ac:dyDescent="0.25">
      <c r="B1875" s="1"/>
    </row>
    <row r="1876" spans="2:2" x14ac:dyDescent="0.25">
      <c r="B1876" s="1"/>
    </row>
    <row r="1877" spans="2:2" x14ac:dyDescent="0.25">
      <c r="B1877" s="1"/>
    </row>
    <row r="1878" spans="2:2" x14ac:dyDescent="0.25">
      <c r="B1878" s="1"/>
    </row>
    <row r="1879" spans="2:2" x14ac:dyDescent="0.25">
      <c r="B1879" s="1"/>
    </row>
    <row r="1880" spans="2:2" x14ac:dyDescent="0.25">
      <c r="B1880" s="1"/>
    </row>
    <row r="1881" spans="2:2" x14ac:dyDescent="0.25">
      <c r="B1881" s="1"/>
    </row>
    <row r="1882" spans="2:2" x14ac:dyDescent="0.25">
      <c r="B1882" s="1"/>
    </row>
    <row r="1883" spans="2:2" x14ac:dyDescent="0.25">
      <c r="B1883" s="1"/>
    </row>
    <row r="1884" spans="2:2" x14ac:dyDescent="0.25">
      <c r="B1884" s="1"/>
    </row>
    <row r="1885" spans="2:2" x14ac:dyDescent="0.25">
      <c r="B1885" s="1"/>
    </row>
    <row r="1886" spans="2:2" x14ac:dyDescent="0.25">
      <c r="B1886" s="1"/>
    </row>
    <row r="1887" spans="2:2" x14ac:dyDescent="0.25">
      <c r="B1887" s="1"/>
    </row>
    <row r="1888" spans="2:2" x14ac:dyDescent="0.25">
      <c r="B1888" s="1"/>
    </row>
    <row r="1889" spans="2:2" x14ac:dyDescent="0.25">
      <c r="B1889" s="1"/>
    </row>
    <row r="1890" spans="2:2" x14ac:dyDescent="0.25">
      <c r="B1890" s="1"/>
    </row>
    <row r="1891" spans="2:2" x14ac:dyDescent="0.25">
      <c r="B1891" s="1"/>
    </row>
    <row r="1892" spans="2:2" x14ac:dyDescent="0.25">
      <c r="B1892" s="1"/>
    </row>
    <row r="1893" spans="2:2" x14ac:dyDescent="0.25">
      <c r="B1893" s="1"/>
    </row>
    <row r="1894" spans="2:2" x14ac:dyDescent="0.25">
      <c r="B1894" s="1"/>
    </row>
    <row r="1895" spans="2:2" x14ac:dyDescent="0.25">
      <c r="B1895" s="1"/>
    </row>
    <row r="1896" spans="2:2" x14ac:dyDescent="0.25">
      <c r="B1896" s="1"/>
    </row>
    <row r="1897" spans="2:2" x14ac:dyDescent="0.25">
      <c r="B1897" s="1"/>
    </row>
    <row r="1898" spans="2:2" x14ac:dyDescent="0.25">
      <c r="B1898" s="1"/>
    </row>
    <row r="1899" spans="2:2" x14ac:dyDescent="0.25">
      <c r="B1899" s="1"/>
    </row>
    <row r="1900" spans="2:2" x14ac:dyDescent="0.25">
      <c r="B1900" s="1"/>
    </row>
    <row r="1901" spans="2:2" x14ac:dyDescent="0.25">
      <c r="B1901" s="1"/>
    </row>
    <row r="1902" spans="2:2" x14ac:dyDescent="0.25">
      <c r="B1902" s="1"/>
    </row>
    <row r="1903" spans="2:2" x14ac:dyDescent="0.25">
      <c r="B1903" s="1"/>
    </row>
    <row r="1904" spans="2:2" x14ac:dyDescent="0.25">
      <c r="B1904" s="1"/>
    </row>
    <row r="1905" spans="2:2" x14ac:dyDescent="0.25">
      <c r="B1905" s="1"/>
    </row>
    <row r="1906" spans="2:2" x14ac:dyDescent="0.25">
      <c r="B1906" s="1"/>
    </row>
    <row r="1907" spans="2:2" x14ac:dyDescent="0.25">
      <c r="B1907" s="1"/>
    </row>
    <row r="1908" spans="2:2" x14ac:dyDescent="0.25">
      <c r="B1908" s="1"/>
    </row>
    <row r="1909" spans="2:2" x14ac:dyDescent="0.25">
      <c r="B1909" s="1"/>
    </row>
    <row r="1910" spans="2:2" x14ac:dyDescent="0.25">
      <c r="B1910" s="1"/>
    </row>
    <row r="1911" spans="2:2" x14ac:dyDescent="0.25">
      <c r="B1911" s="1"/>
    </row>
    <row r="1912" spans="2:2" x14ac:dyDescent="0.25">
      <c r="B1912" s="1"/>
    </row>
    <row r="1913" spans="2:2" x14ac:dyDescent="0.25">
      <c r="B1913" s="1"/>
    </row>
    <row r="1914" spans="2:2" x14ac:dyDescent="0.25">
      <c r="B1914" s="1"/>
    </row>
    <row r="1915" spans="2:2" x14ac:dyDescent="0.25">
      <c r="B1915" s="1"/>
    </row>
    <row r="1916" spans="2:2" x14ac:dyDescent="0.25">
      <c r="B1916" s="1"/>
    </row>
    <row r="1917" spans="2:2" x14ac:dyDescent="0.25">
      <c r="B1917" s="1"/>
    </row>
    <row r="1918" spans="2:2" x14ac:dyDescent="0.25">
      <c r="B1918" s="1"/>
    </row>
    <row r="1919" spans="2:2" x14ac:dyDescent="0.25">
      <c r="B1919" s="1"/>
    </row>
    <row r="1920" spans="2:2" x14ac:dyDescent="0.25">
      <c r="B1920" s="1"/>
    </row>
    <row r="1921" spans="2:2" x14ac:dyDescent="0.25">
      <c r="B1921" s="1"/>
    </row>
    <row r="1922" spans="2:2" x14ac:dyDescent="0.25">
      <c r="B1922" s="1"/>
    </row>
    <row r="1923" spans="2:2" x14ac:dyDescent="0.25">
      <c r="B1923" s="1"/>
    </row>
    <row r="1924" spans="2:2" x14ac:dyDescent="0.25">
      <c r="B1924" s="1"/>
    </row>
    <row r="1925" spans="2:2" x14ac:dyDescent="0.25">
      <c r="B1925" s="1"/>
    </row>
    <row r="1926" spans="2:2" x14ac:dyDescent="0.25">
      <c r="B1926" s="1"/>
    </row>
    <row r="1927" spans="2:2" x14ac:dyDescent="0.25">
      <c r="B1927" s="1"/>
    </row>
    <row r="1928" spans="2:2" x14ac:dyDescent="0.25">
      <c r="B1928" s="1"/>
    </row>
    <row r="1929" spans="2:2" x14ac:dyDescent="0.25">
      <c r="B1929" s="1"/>
    </row>
    <row r="1930" spans="2:2" x14ac:dyDescent="0.25">
      <c r="B1930" s="1"/>
    </row>
    <row r="1931" spans="2:2" x14ac:dyDescent="0.25">
      <c r="B1931" s="1"/>
    </row>
    <row r="1932" spans="2:2" x14ac:dyDescent="0.25">
      <c r="B1932" s="1"/>
    </row>
    <row r="1933" spans="2:2" x14ac:dyDescent="0.25">
      <c r="B1933" s="1"/>
    </row>
    <row r="1934" spans="2:2" x14ac:dyDescent="0.25">
      <c r="B1934" s="1"/>
    </row>
    <row r="1935" spans="2:2" x14ac:dyDescent="0.25">
      <c r="B1935" s="1"/>
    </row>
    <row r="1936" spans="2:2" x14ac:dyDescent="0.25">
      <c r="B1936" s="1"/>
    </row>
    <row r="1937" spans="2:2" x14ac:dyDescent="0.25">
      <c r="B1937" s="1"/>
    </row>
    <row r="1938" spans="2:2" x14ac:dyDescent="0.25">
      <c r="B1938" s="1"/>
    </row>
    <row r="1939" spans="2:2" x14ac:dyDescent="0.25">
      <c r="B1939" s="1"/>
    </row>
    <row r="1940" spans="2:2" x14ac:dyDescent="0.25">
      <c r="B1940" s="1"/>
    </row>
    <row r="1941" spans="2:2" x14ac:dyDescent="0.25">
      <c r="B1941" s="1"/>
    </row>
    <row r="1942" spans="2:2" x14ac:dyDescent="0.25">
      <c r="B1942" s="1"/>
    </row>
    <row r="1943" spans="2:2" x14ac:dyDescent="0.25">
      <c r="B1943" s="1"/>
    </row>
    <row r="1944" spans="2:2" x14ac:dyDescent="0.25">
      <c r="B1944" s="1"/>
    </row>
    <row r="1945" spans="2:2" x14ac:dyDescent="0.25">
      <c r="B1945" s="1"/>
    </row>
    <row r="1946" spans="2:2" x14ac:dyDescent="0.25">
      <c r="B1946" s="1"/>
    </row>
    <row r="1947" spans="2:2" x14ac:dyDescent="0.25">
      <c r="B1947" s="1"/>
    </row>
    <row r="1948" spans="2:2" x14ac:dyDescent="0.25">
      <c r="B1948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Carlos Gaitan</dc:creator>
  <cp:lastModifiedBy>Luis Carlos Gaitan</cp:lastModifiedBy>
  <dcterms:created xsi:type="dcterms:W3CDTF">2026-07-28T17:10:41Z</dcterms:created>
  <dcterms:modified xsi:type="dcterms:W3CDTF">2026-09-11T18:13:56Z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MSIP_Label_defa4170-0d19-0005-0004-bc88714345d2_Enabled">
    <vt:lpwstr>true</vt:lpwstr>
  </property>
  <property fmtid="{D5CDD505-2E9C-101B-9397-08002B2CF9AE}" pid="4" name="MSIP_Label_defa4170-0d19-0005-0004-bc88714345d2_SetDate">
    <vt:lpwstr>2026-07-28T17:19:06Z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iteId">
    <vt:lpwstr>ec302311-a76e-4d47-bdb2-f537e3ae027e</vt:lpwstr>
  </property>
  <property fmtid="{D5CDD505-2E9C-101B-9397-08002B2CF9AE}" pid="8" name="MSIP_Label_defa4170-0d19-0005-0004-bc88714345d2_ActionId">
    <vt:lpwstr>c0fffecb-827b-406a-900b-f0a6c368fc8d</vt:lpwstr>
  </property>
  <property fmtid="{D5CDD505-2E9C-101B-9397-08002B2CF9AE}" pid="9" name="MSIP_Label_defa4170-0d19-0005-0004-bc88714345d2_ContentBits">
    <vt:lpwstr>0</vt:lpwstr>
  </property>
  <property fmtid="{D5CDD505-2E9C-101B-9397-08002B2CF9AE}" pid="10" name="MSIP_Label_defa4170-0d19-0005-0004-bc88714345d2_Tag">
    <vt:lpwstr>10, 3, 0, 1</vt:lpwstr>
  </property>
</Properties>
</file>