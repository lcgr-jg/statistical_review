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jainglobalcom-my.sharepoint.com/personal/luiscarlos_gaitan_jainglobal_com/Documents/Coding/trading_indicators/cta/"/>
    </mc:Choice>
  </mc:AlternateContent>
  <xr:revisionPtr revIDLastSave="118" documentId="11_706F4EB063B3C1A478544425B64F936B796AB233" xr6:coauthVersionLast="47" xr6:coauthVersionMax="47" xr10:uidLastSave="{AFCB9185-0E6B-47C2-8DCF-C3F9991833DB}"/>
  <bookViews>
    <workbookView xWindow="7455" yWindow="6330" windowWidth="19410" windowHeight="9930" tabRatio="500" firstSheet="4" activeTab="7" xr2:uid="{00000000-000D-0000-FFFF-FFFF00000000}"/>
  </bookViews>
  <sheets>
    <sheet name="README" sheetId="1" r:id="rId1"/>
    <sheet name="Inputs" sheetId="2" r:id="rId2"/>
    <sheet name="Prices" sheetId="3" r:id="rId3"/>
    <sheet name="Rules" sheetId="4" r:id="rId4"/>
    <sheet name="Combine" sheetId="5" r:id="rId5"/>
    <sheet name="Position" sheetId="6" r:id="rId6"/>
    <sheet name="Portfolio" sheetId="7" r:id="rId7"/>
    <sheet name="Discretionary" sheetId="8" r:id="rId8"/>
    <sheet name="Glossary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5" i="4" l="1"/>
  <c r="B26" i="8"/>
  <c r="B16" i="8"/>
  <c r="B14" i="8"/>
  <c r="B15" i="8" s="1"/>
  <c r="I17" i="7"/>
  <c r="I14" i="7"/>
  <c r="J14" i="7" s="1"/>
  <c r="K14" i="7" s="1"/>
  <c r="L14" i="7" s="1"/>
  <c r="I13" i="7"/>
  <c r="J13" i="7" s="1"/>
  <c r="K13" i="7" s="1"/>
  <c r="L13" i="7" s="1"/>
  <c r="I12" i="7"/>
  <c r="J12" i="7" s="1"/>
  <c r="K12" i="7" s="1"/>
  <c r="L12" i="7" s="1"/>
  <c r="I11" i="7"/>
  <c r="J11" i="7" s="1"/>
  <c r="K11" i="7" s="1"/>
  <c r="L11" i="7" s="1"/>
  <c r="I10" i="7"/>
  <c r="J10" i="7" s="1"/>
  <c r="K10" i="7" s="1"/>
  <c r="L10" i="7" s="1"/>
  <c r="J9" i="7"/>
  <c r="K9" i="7" s="1"/>
  <c r="L9" i="7" s="1"/>
  <c r="I9" i="7"/>
  <c r="B6" i="7"/>
  <c r="H183" i="6"/>
  <c r="F183" i="6"/>
  <c r="C183" i="6"/>
  <c r="B183" i="6"/>
  <c r="A183" i="6"/>
  <c r="H182" i="6"/>
  <c r="C182" i="6"/>
  <c r="B182" i="6"/>
  <c r="A182" i="6"/>
  <c r="H181" i="6"/>
  <c r="C181" i="6"/>
  <c r="F181" i="6" s="1"/>
  <c r="B181" i="6"/>
  <c r="A181" i="6"/>
  <c r="H180" i="6"/>
  <c r="C180" i="6"/>
  <c r="B180" i="6"/>
  <c r="A180" i="6"/>
  <c r="H179" i="6"/>
  <c r="C179" i="6"/>
  <c r="F179" i="6" s="1"/>
  <c r="B179" i="6"/>
  <c r="A179" i="6"/>
  <c r="H178" i="6"/>
  <c r="C178" i="6"/>
  <c r="B178" i="6"/>
  <c r="A178" i="6"/>
  <c r="H177" i="6"/>
  <c r="F177" i="6"/>
  <c r="C177" i="6"/>
  <c r="B177" i="6"/>
  <c r="A177" i="6"/>
  <c r="H176" i="6"/>
  <c r="C176" i="6"/>
  <c r="B176" i="6"/>
  <c r="A176" i="6"/>
  <c r="H175" i="6"/>
  <c r="C175" i="6"/>
  <c r="B175" i="6"/>
  <c r="A175" i="6"/>
  <c r="H174" i="6"/>
  <c r="C174" i="6"/>
  <c r="B174" i="6"/>
  <c r="A174" i="6"/>
  <c r="H173" i="6"/>
  <c r="F173" i="6"/>
  <c r="C173" i="6"/>
  <c r="B173" i="6"/>
  <c r="A173" i="6"/>
  <c r="H172" i="6"/>
  <c r="C172" i="6"/>
  <c r="B172" i="6"/>
  <c r="A172" i="6"/>
  <c r="H171" i="6"/>
  <c r="C171" i="6"/>
  <c r="B171" i="6"/>
  <c r="A171" i="6"/>
  <c r="H170" i="6"/>
  <c r="F170" i="6"/>
  <c r="C170" i="6"/>
  <c r="B170" i="6"/>
  <c r="A170" i="6"/>
  <c r="H169" i="6"/>
  <c r="F169" i="6"/>
  <c r="C169" i="6"/>
  <c r="B169" i="6"/>
  <c r="A169" i="6"/>
  <c r="H168" i="6"/>
  <c r="C168" i="6"/>
  <c r="B168" i="6"/>
  <c r="A168" i="6"/>
  <c r="H167" i="6"/>
  <c r="C167" i="6"/>
  <c r="B167" i="6"/>
  <c r="A167" i="6"/>
  <c r="H166" i="6"/>
  <c r="C166" i="6"/>
  <c r="B166" i="6"/>
  <c r="A166" i="6"/>
  <c r="H165" i="6"/>
  <c r="F165" i="6"/>
  <c r="C165" i="6"/>
  <c r="B165" i="6"/>
  <c r="A165" i="6"/>
  <c r="H164" i="6"/>
  <c r="C164" i="6"/>
  <c r="B164" i="6"/>
  <c r="A164" i="6"/>
  <c r="H163" i="6"/>
  <c r="C163" i="6"/>
  <c r="B163" i="6"/>
  <c r="A163" i="6"/>
  <c r="H162" i="6"/>
  <c r="C162" i="6"/>
  <c r="F162" i="6" s="1"/>
  <c r="B162" i="6"/>
  <c r="A162" i="6"/>
  <c r="H161" i="6"/>
  <c r="C161" i="6"/>
  <c r="F161" i="6" s="1"/>
  <c r="B161" i="6"/>
  <c r="A161" i="6"/>
  <c r="H160" i="6"/>
  <c r="C160" i="6"/>
  <c r="B160" i="6"/>
  <c r="A160" i="6"/>
  <c r="H159" i="6"/>
  <c r="C159" i="6"/>
  <c r="B159" i="6"/>
  <c r="A159" i="6"/>
  <c r="H158" i="6"/>
  <c r="F158" i="6"/>
  <c r="C158" i="6"/>
  <c r="B158" i="6"/>
  <c r="A158" i="6"/>
  <c r="H157" i="6"/>
  <c r="C157" i="6"/>
  <c r="B157" i="6"/>
  <c r="A157" i="6"/>
  <c r="H156" i="6"/>
  <c r="F156" i="6"/>
  <c r="C156" i="6"/>
  <c r="B156" i="6"/>
  <c r="A156" i="6"/>
  <c r="H155" i="6"/>
  <c r="F155" i="6"/>
  <c r="C155" i="6"/>
  <c r="B155" i="6"/>
  <c r="A155" i="6"/>
  <c r="H154" i="6"/>
  <c r="C154" i="6"/>
  <c r="B154" i="6"/>
  <c r="A154" i="6"/>
  <c r="H153" i="6"/>
  <c r="C153" i="6"/>
  <c r="B153" i="6"/>
  <c r="A153" i="6"/>
  <c r="H152" i="6"/>
  <c r="F152" i="6"/>
  <c r="C152" i="6"/>
  <c r="B152" i="6"/>
  <c r="A152" i="6"/>
  <c r="H151" i="6"/>
  <c r="F151" i="6"/>
  <c r="C151" i="6"/>
  <c r="B151" i="6"/>
  <c r="A151" i="6"/>
  <c r="H150" i="6"/>
  <c r="C150" i="6"/>
  <c r="F150" i="6" s="1"/>
  <c r="B150" i="6"/>
  <c r="A150" i="6"/>
  <c r="H149" i="6"/>
  <c r="C149" i="6"/>
  <c r="F149" i="6" s="1"/>
  <c r="B149" i="6"/>
  <c r="A149" i="6"/>
  <c r="H148" i="6"/>
  <c r="C148" i="6"/>
  <c r="B148" i="6"/>
  <c r="A148" i="6"/>
  <c r="H147" i="6"/>
  <c r="C147" i="6"/>
  <c r="B147" i="6"/>
  <c r="A147" i="6"/>
  <c r="H146" i="6"/>
  <c r="C146" i="6"/>
  <c r="B146" i="6"/>
  <c r="A146" i="6"/>
  <c r="H145" i="6"/>
  <c r="C145" i="6"/>
  <c r="B145" i="6"/>
  <c r="A145" i="6"/>
  <c r="H144" i="6"/>
  <c r="F144" i="6"/>
  <c r="C144" i="6"/>
  <c r="B144" i="6"/>
  <c r="A144" i="6"/>
  <c r="H143" i="6"/>
  <c r="C143" i="6"/>
  <c r="B143" i="6"/>
  <c r="A143" i="6"/>
  <c r="H142" i="6"/>
  <c r="C142" i="6"/>
  <c r="B142" i="6"/>
  <c r="A142" i="6"/>
  <c r="H141" i="6"/>
  <c r="C141" i="6"/>
  <c r="B141" i="6"/>
  <c r="A141" i="6"/>
  <c r="H140" i="6"/>
  <c r="C140" i="6"/>
  <c r="B140" i="6"/>
  <c r="A140" i="6"/>
  <c r="H139" i="6"/>
  <c r="C139" i="6"/>
  <c r="F139" i="6" s="1"/>
  <c r="B139" i="6"/>
  <c r="A139" i="6"/>
  <c r="H138" i="6"/>
  <c r="C138" i="6"/>
  <c r="B138" i="6"/>
  <c r="A138" i="6"/>
  <c r="H137" i="6"/>
  <c r="F137" i="6"/>
  <c r="C137" i="6"/>
  <c r="B137" i="6"/>
  <c r="A137" i="6"/>
  <c r="H136" i="6"/>
  <c r="F136" i="6"/>
  <c r="C136" i="6"/>
  <c r="B136" i="6"/>
  <c r="A136" i="6"/>
  <c r="H135" i="6"/>
  <c r="C135" i="6"/>
  <c r="B135" i="6"/>
  <c r="A135" i="6"/>
  <c r="H134" i="6"/>
  <c r="C134" i="6"/>
  <c r="B134" i="6"/>
  <c r="A134" i="6"/>
  <c r="H133" i="6"/>
  <c r="C133" i="6"/>
  <c r="B133" i="6"/>
  <c r="A133" i="6"/>
  <c r="H132" i="6"/>
  <c r="C132" i="6"/>
  <c r="B132" i="6"/>
  <c r="A132" i="6"/>
  <c r="H131" i="6"/>
  <c r="C131" i="6"/>
  <c r="B131" i="6"/>
  <c r="A131" i="6"/>
  <c r="H130" i="6"/>
  <c r="C130" i="6"/>
  <c r="B130" i="6"/>
  <c r="A130" i="6"/>
  <c r="H129" i="6"/>
  <c r="C129" i="6"/>
  <c r="B129" i="6"/>
  <c r="A129" i="6"/>
  <c r="H128" i="6"/>
  <c r="C128" i="6"/>
  <c r="B128" i="6"/>
  <c r="A128" i="6"/>
  <c r="H127" i="6"/>
  <c r="F127" i="6"/>
  <c r="C127" i="6"/>
  <c r="B127" i="6"/>
  <c r="A127" i="6"/>
  <c r="H126" i="6"/>
  <c r="F126" i="6"/>
  <c r="C126" i="6"/>
  <c r="B126" i="6"/>
  <c r="A126" i="6"/>
  <c r="H125" i="6"/>
  <c r="C125" i="6"/>
  <c r="B125" i="6"/>
  <c r="A125" i="6"/>
  <c r="H124" i="6"/>
  <c r="C124" i="6"/>
  <c r="B124" i="6"/>
  <c r="A124" i="6"/>
  <c r="H123" i="6"/>
  <c r="F123" i="6"/>
  <c r="C123" i="6"/>
  <c r="B123" i="6"/>
  <c r="A123" i="6"/>
  <c r="H122" i="6"/>
  <c r="C122" i="6"/>
  <c r="B122" i="6"/>
  <c r="A122" i="6"/>
  <c r="H121" i="6"/>
  <c r="C121" i="6"/>
  <c r="F121" i="6" s="1"/>
  <c r="B121" i="6"/>
  <c r="A121" i="6"/>
  <c r="H120" i="6"/>
  <c r="F120" i="6"/>
  <c r="C120" i="6"/>
  <c r="B120" i="6"/>
  <c r="A120" i="6"/>
  <c r="H119" i="6"/>
  <c r="F119" i="6"/>
  <c r="C119" i="6"/>
  <c r="B119" i="6"/>
  <c r="A119" i="6"/>
  <c r="H118" i="6"/>
  <c r="F118" i="6"/>
  <c r="C118" i="6"/>
  <c r="B118" i="6"/>
  <c r="A118" i="6"/>
  <c r="H117" i="6"/>
  <c r="F117" i="6"/>
  <c r="C117" i="6"/>
  <c r="B117" i="6"/>
  <c r="A117" i="6"/>
  <c r="H116" i="6"/>
  <c r="C116" i="6"/>
  <c r="B116" i="6"/>
  <c r="A116" i="6"/>
  <c r="H115" i="6"/>
  <c r="F115" i="6"/>
  <c r="C115" i="6"/>
  <c r="B115" i="6"/>
  <c r="A115" i="6"/>
  <c r="H114" i="6"/>
  <c r="C114" i="6"/>
  <c r="F114" i="6" s="1"/>
  <c r="B114" i="6"/>
  <c r="A114" i="6"/>
  <c r="H113" i="6"/>
  <c r="C113" i="6"/>
  <c r="B113" i="6"/>
  <c r="A113" i="6"/>
  <c r="H112" i="6"/>
  <c r="C112" i="6"/>
  <c r="B112" i="6"/>
  <c r="A112" i="6"/>
  <c r="H111" i="6"/>
  <c r="C111" i="6"/>
  <c r="B111" i="6"/>
  <c r="A111" i="6"/>
  <c r="H110" i="6"/>
  <c r="C110" i="6"/>
  <c r="B110" i="6"/>
  <c r="A110" i="6"/>
  <c r="H109" i="6"/>
  <c r="C109" i="6"/>
  <c r="B109" i="6"/>
  <c r="A109" i="6"/>
  <c r="H108" i="6"/>
  <c r="C108" i="6"/>
  <c r="B108" i="6"/>
  <c r="A108" i="6"/>
  <c r="H107" i="6"/>
  <c r="F107" i="6"/>
  <c r="C107" i="6"/>
  <c r="B107" i="6"/>
  <c r="A107" i="6"/>
  <c r="H106" i="6"/>
  <c r="C106" i="6"/>
  <c r="B106" i="6"/>
  <c r="A106" i="6"/>
  <c r="H105" i="6"/>
  <c r="F105" i="6"/>
  <c r="C105" i="6"/>
  <c r="B105" i="6"/>
  <c r="A105" i="6"/>
  <c r="H104" i="6"/>
  <c r="C104" i="6"/>
  <c r="B104" i="6"/>
  <c r="A104" i="6"/>
  <c r="H103" i="6"/>
  <c r="C103" i="6"/>
  <c r="F103" i="6" s="1"/>
  <c r="B103" i="6"/>
  <c r="A103" i="6"/>
  <c r="H102" i="6"/>
  <c r="C102" i="6"/>
  <c r="B102" i="6"/>
  <c r="A102" i="6"/>
  <c r="H101" i="6"/>
  <c r="C101" i="6"/>
  <c r="B101" i="6"/>
  <c r="A101" i="6"/>
  <c r="H100" i="6"/>
  <c r="F100" i="6"/>
  <c r="C100" i="6"/>
  <c r="B100" i="6"/>
  <c r="A100" i="6"/>
  <c r="H99" i="6"/>
  <c r="F99" i="6"/>
  <c r="C99" i="6"/>
  <c r="B99" i="6"/>
  <c r="A99" i="6"/>
  <c r="H98" i="6"/>
  <c r="F98" i="6"/>
  <c r="C98" i="6"/>
  <c r="B98" i="6"/>
  <c r="A98" i="6"/>
  <c r="H97" i="6"/>
  <c r="C97" i="6"/>
  <c r="B97" i="6"/>
  <c r="A97" i="6"/>
  <c r="H96" i="6"/>
  <c r="C96" i="6"/>
  <c r="B96" i="6"/>
  <c r="A96" i="6"/>
  <c r="H95" i="6"/>
  <c r="F95" i="6"/>
  <c r="C95" i="6"/>
  <c r="B95" i="6"/>
  <c r="A95" i="6"/>
  <c r="H94" i="6"/>
  <c r="F94" i="6"/>
  <c r="C94" i="6"/>
  <c r="B94" i="6"/>
  <c r="A94" i="6"/>
  <c r="H93" i="6"/>
  <c r="C93" i="6"/>
  <c r="B93" i="6"/>
  <c r="A93" i="6"/>
  <c r="H92" i="6"/>
  <c r="F92" i="6"/>
  <c r="C92" i="6"/>
  <c r="B92" i="6"/>
  <c r="A92" i="6"/>
  <c r="H91" i="6"/>
  <c r="F91" i="6"/>
  <c r="C91" i="6"/>
  <c r="B91" i="6"/>
  <c r="A91" i="6"/>
  <c r="H90" i="6"/>
  <c r="C90" i="6"/>
  <c r="B90" i="6"/>
  <c r="A90" i="6"/>
  <c r="H89" i="6"/>
  <c r="F89" i="6"/>
  <c r="C89" i="6"/>
  <c r="B89" i="6"/>
  <c r="A89" i="6"/>
  <c r="H88" i="6"/>
  <c r="F88" i="6"/>
  <c r="C88" i="6"/>
  <c r="B88" i="6"/>
  <c r="A88" i="6"/>
  <c r="H87" i="6"/>
  <c r="C87" i="6"/>
  <c r="B87" i="6"/>
  <c r="A87" i="6"/>
  <c r="H86" i="6"/>
  <c r="F86" i="6"/>
  <c r="C86" i="6"/>
  <c r="B86" i="6"/>
  <c r="A86" i="6"/>
  <c r="H85" i="6"/>
  <c r="F85" i="6"/>
  <c r="C85" i="6"/>
  <c r="B85" i="6"/>
  <c r="A85" i="6"/>
  <c r="H84" i="6"/>
  <c r="C84" i="6"/>
  <c r="B84" i="6"/>
  <c r="A84" i="6"/>
  <c r="H83" i="6"/>
  <c r="F83" i="6"/>
  <c r="C83" i="6"/>
  <c r="B83" i="6"/>
  <c r="A83" i="6"/>
  <c r="H82" i="6"/>
  <c r="C82" i="6"/>
  <c r="F82" i="6" s="1"/>
  <c r="B82" i="6"/>
  <c r="A82" i="6"/>
  <c r="H81" i="6"/>
  <c r="C81" i="6"/>
  <c r="F81" i="6" s="1"/>
  <c r="B81" i="6"/>
  <c r="A81" i="6"/>
  <c r="H80" i="6"/>
  <c r="C80" i="6"/>
  <c r="F80" i="6" s="1"/>
  <c r="B80" i="6"/>
  <c r="A80" i="6"/>
  <c r="H79" i="6"/>
  <c r="C79" i="6"/>
  <c r="B79" i="6"/>
  <c r="A79" i="6"/>
  <c r="H78" i="6"/>
  <c r="F78" i="6"/>
  <c r="C78" i="6"/>
  <c r="B78" i="6"/>
  <c r="A78" i="6"/>
  <c r="H77" i="6"/>
  <c r="C77" i="6"/>
  <c r="B77" i="6"/>
  <c r="A77" i="6"/>
  <c r="H76" i="6"/>
  <c r="C76" i="6"/>
  <c r="B76" i="6"/>
  <c r="A76" i="6"/>
  <c r="H75" i="6"/>
  <c r="F75" i="6"/>
  <c r="C75" i="6"/>
  <c r="B75" i="6"/>
  <c r="A75" i="6"/>
  <c r="H74" i="6"/>
  <c r="C74" i="6"/>
  <c r="B74" i="6"/>
  <c r="A74" i="6"/>
  <c r="H73" i="6"/>
  <c r="C73" i="6"/>
  <c r="B73" i="6"/>
  <c r="A73" i="6"/>
  <c r="H72" i="6"/>
  <c r="C72" i="6"/>
  <c r="B72" i="6"/>
  <c r="A72" i="6"/>
  <c r="H71" i="6"/>
  <c r="C71" i="6"/>
  <c r="F71" i="6" s="1"/>
  <c r="B71" i="6"/>
  <c r="A71" i="6"/>
  <c r="H70" i="6"/>
  <c r="C70" i="6"/>
  <c r="B70" i="6"/>
  <c r="A70" i="6"/>
  <c r="H69" i="6"/>
  <c r="F69" i="6"/>
  <c r="C69" i="6"/>
  <c r="B69" i="6"/>
  <c r="A69" i="6"/>
  <c r="H68" i="6"/>
  <c r="C68" i="6"/>
  <c r="B68" i="6"/>
  <c r="A68" i="6"/>
  <c r="H67" i="6"/>
  <c r="F67" i="6"/>
  <c r="C67" i="6"/>
  <c r="B67" i="6"/>
  <c r="A67" i="6"/>
  <c r="H66" i="6"/>
  <c r="F66" i="6"/>
  <c r="C66" i="6"/>
  <c r="B66" i="6"/>
  <c r="A66" i="6"/>
  <c r="H65" i="6"/>
  <c r="C65" i="6"/>
  <c r="B65" i="6"/>
  <c r="A65" i="6"/>
  <c r="H64" i="6"/>
  <c r="C64" i="6"/>
  <c r="B64" i="6"/>
  <c r="A64" i="6"/>
  <c r="H63" i="6"/>
  <c r="C63" i="6"/>
  <c r="F63" i="6" s="1"/>
  <c r="B63" i="6"/>
  <c r="A63" i="6"/>
  <c r="H62" i="6"/>
  <c r="F62" i="6"/>
  <c r="C62" i="6"/>
  <c r="B62" i="6"/>
  <c r="A62" i="6"/>
  <c r="H61" i="6"/>
  <c r="C61" i="6"/>
  <c r="B61" i="6"/>
  <c r="A61" i="6"/>
  <c r="H60" i="6"/>
  <c r="F60" i="6"/>
  <c r="C60" i="6"/>
  <c r="B60" i="6"/>
  <c r="A60" i="6"/>
  <c r="H59" i="6"/>
  <c r="F59" i="6"/>
  <c r="C59" i="6"/>
  <c r="B59" i="6"/>
  <c r="A59" i="6"/>
  <c r="H58" i="6"/>
  <c r="C58" i="6"/>
  <c r="B58" i="6"/>
  <c r="A58" i="6"/>
  <c r="H57" i="6"/>
  <c r="F57" i="6"/>
  <c r="C57" i="6"/>
  <c r="B57" i="6"/>
  <c r="A57" i="6"/>
  <c r="H56" i="6"/>
  <c r="F56" i="6"/>
  <c r="C56" i="6"/>
  <c r="B56" i="6"/>
  <c r="A56" i="6"/>
  <c r="H55" i="6"/>
  <c r="C55" i="6"/>
  <c r="B55" i="6"/>
  <c r="A55" i="6"/>
  <c r="H54" i="6"/>
  <c r="C54" i="6"/>
  <c r="B54" i="6"/>
  <c r="A54" i="6"/>
  <c r="H53" i="6"/>
  <c r="F53" i="6"/>
  <c r="C53" i="6"/>
  <c r="B53" i="6"/>
  <c r="A53" i="6"/>
  <c r="H52" i="6"/>
  <c r="C52" i="6"/>
  <c r="B52" i="6"/>
  <c r="A52" i="6"/>
  <c r="H51" i="6"/>
  <c r="F51" i="6"/>
  <c r="C51" i="6"/>
  <c r="B51" i="6"/>
  <c r="A51" i="6"/>
  <c r="H50" i="6"/>
  <c r="C50" i="6"/>
  <c r="F50" i="6" s="1"/>
  <c r="B50" i="6"/>
  <c r="A50" i="6"/>
  <c r="H49" i="6"/>
  <c r="C49" i="6"/>
  <c r="F49" i="6" s="1"/>
  <c r="B49" i="6"/>
  <c r="A49" i="6"/>
  <c r="E48" i="6"/>
  <c r="C48" i="6"/>
  <c r="B48" i="6"/>
  <c r="A48" i="6"/>
  <c r="E47" i="6"/>
  <c r="C47" i="6"/>
  <c r="B47" i="6"/>
  <c r="A47" i="6"/>
  <c r="E46" i="6"/>
  <c r="C46" i="6"/>
  <c r="B46" i="6"/>
  <c r="A46" i="6"/>
  <c r="E45" i="6"/>
  <c r="C45" i="6"/>
  <c r="B45" i="6"/>
  <c r="A45" i="6"/>
  <c r="E44" i="6"/>
  <c r="C44" i="6"/>
  <c r="B44" i="6"/>
  <c r="A44" i="6"/>
  <c r="E43" i="6"/>
  <c r="C43" i="6"/>
  <c r="B43" i="6"/>
  <c r="A43" i="6"/>
  <c r="E42" i="6"/>
  <c r="C42" i="6"/>
  <c r="B42" i="6"/>
  <c r="A42" i="6"/>
  <c r="E41" i="6"/>
  <c r="C41" i="6"/>
  <c r="B41" i="6"/>
  <c r="A41" i="6"/>
  <c r="E40" i="6"/>
  <c r="C40" i="6"/>
  <c r="B40" i="6"/>
  <c r="A40" i="6"/>
  <c r="E39" i="6"/>
  <c r="C39" i="6"/>
  <c r="B39" i="6"/>
  <c r="A39" i="6"/>
  <c r="E38" i="6"/>
  <c r="C38" i="6"/>
  <c r="B38" i="6"/>
  <c r="A38" i="6"/>
  <c r="E37" i="6"/>
  <c r="C37" i="6"/>
  <c r="B37" i="6"/>
  <c r="A37" i="6"/>
  <c r="E36" i="6"/>
  <c r="C36" i="6"/>
  <c r="B36" i="6"/>
  <c r="A36" i="6"/>
  <c r="E35" i="6"/>
  <c r="C35" i="6"/>
  <c r="B35" i="6"/>
  <c r="A35" i="6"/>
  <c r="E34" i="6"/>
  <c r="C34" i="6"/>
  <c r="B34" i="6"/>
  <c r="A34" i="6"/>
  <c r="E33" i="6"/>
  <c r="C33" i="6"/>
  <c r="B33" i="6"/>
  <c r="A33" i="6"/>
  <c r="E32" i="6"/>
  <c r="C32" i="6"/>
  <c r="B32" i="6"/>
  <c r="A32" i="6"/>
  <c r="E31" i="6"/>
  <c r="C31" i="6"/>
  <c r="B31" i="6"/>
  <c r="A31" i="6"/>
  <c r="E30" i="6"/>
  <c r="C30" i="6"/>
  <c r="B30" i="6"/>
  <c r="A30" i="6"/>
  <c r="E29" i="6"/>
  <c r="C29" i="6"/>
  <c r="B29" i="6"/>
  <c r="A29" i="6"/>
  <c r="E28" i="6"/>
  <c r="C28" i="6"/>
  <c r="B28" i="6"/>
  <c r="A28" i="6"/>
  <c r="E27" i="6"/>
  <c r="C27" i="6"/>
  <c r="B27" i="6"/>
  <c r="A27" i="6"/>
  <c r="E26" i="6"/>
  <c r="C26" i="6"/>
  <c r="B26" i="6"/>
  <c r="A26" i="6"/>
  <c r="E25" i="6"/>
  <c r="C25" i="6"/>
  <c r="B25" i="6"/>
  <c r="A25" i="6"/>
  <c r="E24" i="6"/>
  <c r="C24" i="6"/>
  <c r="B24" i="6"/>
  <c r="A24" i="6"/>
  <c r="E23" i="6"/>
  <c r="C23" i="6"/>
  <c r="B23" i="6"/>
  <c r="A23" i="6"/>
  <c r="E22" i="6"/>
  <c r="C22" i="6"/>
  <c r="B22" i="6"/>
  <c r="A22" i="6"/>
  <c r="E21" i="6"/>
  <c r="C21" i="6"/>
  <c r="B21" i="6"/>
  <c r="A21" i="6"/>
  <c r="E20" i="6"/>
  <c r="C20" i="6"/>
  <c r="B20" i="6"/>
  <c r="A20" i="6"/>
  <c r="E19" i="6"/>
  <c r="C19" i="6"/>
  <c r="B19" i="6"/>
  <c r="A19" i="6"/>
  <c r="E18" i="6"/>
  <c r="C18" i="6"/>
  <c r="B18" i="6"/>
  <c r="A18" i="6"/>
  <c r="E17" i="6"/>
  <c r="C17" i="6"/>
  <c r="B17" i="6"/>
  <c r="A17" i="6"/>
  <c r="E16" i="6"/>
  <c r="C16" i="6"/>
  <c r="B16" i="6"/>
  <c r="A16" i="6"/>
  <c r="E15" i="6"/>
  <c r="C15" i="6"/>
  <c r="B15" i="6"/>
  <c r="A15" i="6"/>
  <c r="E14" i="6"/>
  <c r="C14" i="6"/>
  <c r="B14" i="6"/>
  <c r="A14" i="6"/>
  <c r="E13" i="6"/>
  <c r="D13" i="6"/>
  <c r="C13" i="6"/>
  <c r="B13" i="6"/>
  <c r="A13" i="6"/>
  <c r="E12" i="6"/>
  <c r="D12" i="6"/>
  <c r="C12" i="6"/>
  <c r="B12" i="6"/>
  <c r="A12" i="6"/>
  <c r="E11" i="6"/>
  <c r="D11" i="6"/>
  <c r="C11" i="6"/>
  <c r="B11" i="6"/>
  <c r="A11" i="6"/>
  <c r="E10" i="6"/>
  <c r="D10" i="6"/>
  <c r="C10" i="6"/>
  <c r="B10" i="6"/>
  <c r="A10" i="6"/>
  <c r="E9" i="6"/>
  <c r="D9" i="6"/>
  <c r="C9" i="6"/>
  <c r="B9" i="6"/>
  <c r="A9" i="6"/>
  <c r="E8" i="6"/>
  <c r="D8" i="6"/>
  <c r="C8" i="6"/>
  <c r="B8" i="6"/>
  <c r="A8" i="6"/>
  <c r="E7" i="6"/>
  <c r="D7" i="6"/>
  <c r="C7" i="6"/>
  <c r="B7" i="6"/>
  <c r="A7" i="6"/>
  <c r="E6" i="6"/>
  <c r="D6" i="6"/>
  <c r="C6" i="6"/>
  <c r="B6" i="6"/>
  <c r="A6" i="6"/>
  <c r="E5" i="6"/>
  <c r="D5" i="6"/>
  <c r="C5" i="6"/>
  <c r="B5" i="6"/>
  <c r="A5" i="6"/>
  <c r="E4" i="6"/>
  <c r="D4" i="6"/>
  <c r="C4" i="6"/>
  <c r="B4" i="6"/>
  <c r="A4" i="6"/>
  <c r="B180" i="5"/>
  <c r="A180" i="5"/>
  <c r="B177" i="5"/>
  <c r="A177" i="5"/>
  <c r="A176" i="5"/>
  <c r="B174" i="5"/>
  <c r="A174" i="5"/>
  <c r="B173" i="5"/>
  <c r="A173" i="5"/>
  <c r="A172" i="5"/>
  <c r="A170" i="5"/>
  <c r="A162" i="5"/>
  <c r="B158" i="5"/>
  <c r="A155" i="5"/>
  <c r="B153" i="5"/>
  <c r="B151" i="5"/>
  <c r="A151" i="5"/>
  <c r="A147" i="5"/>
  <c r="A146" i="5"/>
  <c r="A131" i="5"/>
  <c r="B123" i="5"/>
  <c r="B117" i="5"/>
  <c r="B110" i="5"/>
  <c r="A110" i="5"/>
  <c r="B102" i="5"/>
  <c r="A102" i="5"/>
  <c r="B91" i="5"/>
  <c r="A91" i="5"/>
  <c r="A78" i="5"/>
  <c r="A62" i="5"/>
  <c r="B61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A23" i="5"/>
  <c r="F22" i="5"/>
  <c r="F21" i="5"/>
  <c r="F20" i="5"/>
  <c r="F19" i="5"/>
  <c r="F18" i="5"/>
  <c r="F17" i="5"/>
  <c r="F16" i="5"/>
  <c r="F15" i="5"/>
  <c r="F14" i="5"/>
  <c r="F13" i="5"/>
  <c r="E13" i="5"/>
  <c r="D13" i="5"/>
  <c r="C13" i="5"/>
  <c r="B13" i="5"/>
  <c r="A13" i="5"/>
  <c r="F12" i="5"/>
  <c r="E12" i="5"/>
  <c r="D12" i="5"/>
  <c r="C12" i="5"/>
  <c r="F11" i="5"/>
  <c r="E11" i="5"/>
  <c r="D11" i="5"/>
  <c r="C11" i="5"/>
  <c r="F10" i="5"/>
  <c r="E10" i="5"/>
  <c r="D10" i="5"/>
  <c r="C10" i="5"/>
  <c r="F9" i="5"/>
  <c r="E9" i="5"/>
  <c r="D9" i="5"/>
  <c r="C9" i="5"/>
  <c r="F8" i="5"/>
  <c r="E8" i="5"/>
  <c r="D8" i="5"/>
  <c r="C8" i="5"/>
  <c r="F7" i="5"/>
  <c r="E7" i="5"/>
  <c r="D7" i="5"/>
  <c r="C7" i="5"/>
  <c r="F6" i="5"/>
  <c r="E6" i="5"/>
  <c r="D6" i="5"/>
  <c r="C6" i="5"/>
  <c r="A6" i="5"/>
  <c r="F5" i="5"/>
  <c r="E5" i="5"/>
  <c r="D5" i="5"/>
  <c r="C5" i="5"/>
  <c r="F4" i="5"/>
  <c r="E4" i="5"/>
  <c r="D4" i="5"/>
  <c r="C4" i="5"/>
  <c r="C183" i="4"/>
  <c r="R183" i="4" s="1"/>
  <c r="F183" i="5" s="1"/>
  <c r="B183" i="4"/>
  <c r="B183" i="5" s="1"/>
  <c r="A183" i="4"/>
  <c r="A183" i="5" s="1"/>
  <c r="R182" i="4"/>
  <c r="F182" i="5" s="1"/>
  <c r="C182" i="4"/>
  <c r="B182" i="4"/>
  <c r="B182" i="5" s="1"/>
  <c r="A182" i="4"/>
  <c r="A182" i="5" s="1"/>
  <c r="C181" i="4"/>
  <c r="B181" i="4"/>
  <c r="B181" i="5" s="1"/>
  <c r="A181" i="4"/>
  <c r="A181" i="5" s="1"/>
  <c r="R180" i="4"/>
  <c r="F180" i="5" s="1"/>
  <c r="C180" i="4"/>
  <c r="B180" i="4"/>
  <c r="A180" i="4"/>
  <c r="R179" i="4"/>
  <c r="F179" i="5" s="1"/>
  <c r="C179" i="4"/>
  <c r="B179" i="4"/>
  <c r="B179" i="5" s="1"/>
  <c r="A179" i="4"/>
  <c r="A179" i="5" s="1"/>
  <c r="R178" i="4"/>
  <c r="F178" i="5" s="1"/>
  <c r="C178" i="4"/>
  <c r="B178" i="4"/>
  <c r="B178" i="5" s="1"/>
  <c r="A178" i="4"/>
  <c r="A178" i="5" s="1"/>
  <c r="C177" i="4"/>
  <c r="R177" i="4" s="1"/>
  <c r="F177" i="5" s="1"/>
  <c r="B177" i="4"/>
  <c r="A177" i="4"/>
  <c r="R176" i="4"/>
  <c r="F176" i="5" s="1"/>
  <c r="C176" i="4"/>
  <c r="B176" i="4"/>
  <c r="B176" i="5" s="1"/>
  <c r="A176" i="4"/>
  <c r="R175" i="4"/>
  <c r="F175" i="5" s="1"/>
  <c r="C175" i="4"/>
  <c r="B175" i="4"/>
  <c r="B175" i="5" s="1"/>
  <c r="A175" i="4"/>
  <c r="A175" i="5" s="1"/>
  <c r="C174" i="4"/>
  <c r="B174" i="4"/>
  <c r="A174" i="4"/>
  <c r="R173" i="4"/>
  <c r="F173" i="5" s="1"/>
  <c r="C173" i="4"/>
  <c r="B173" i="4"/>
  <c r="A173" i="4"/>
  <c r="R172" i="4"/>
  <c r="F172" i="5" s="1"/>
  <c r="C172" i="4"/>
  <c r="B172" i="4"/>
  <c r="B172" i="5" s="1"/>
  <c r="A172" i="4"/>
  <c r="C171" i="4"/>
  <c r="R171" i="4" s="1"/>
  <c r="F171" i="5" s="1"/>
  <c r="B171" i="4"/>
  <c r="B171" i="5" s="1"/>
  <c r="A171" i="4"/>
  <c r="A171" i="5" s="1"/>
  <c r="C170" i="4"/>
  <c r="B170" i="4"/>
  <c r="B170" i="5" s="1"/>
  <c r="A170" i="4"/>
  <c r="R169" i="4"/>
  <c r="F169" i="5" s="1"/>
  <c r="C169" i="4"/>
  <c r="B169" i="4"/>
  <c r="B169" i="5" s="1"/>
  <c r="A169" i="4"/>
  <c r="A169" i="5" s="1"/>
  <c r="R168" i="4"/>
  <c r="F168" i="5" s="1"/>
  <c r="C168" i="4"/>
  <c r="B168" i="4"/>
  <c r="B168" i="5" s="1"/>
  <c r="A168" i="4"/>
  <c r="A168" i="5" s="1"/>
  <c r="C167" i="4"/>
  <c r="B167" i="4"/>
  <c r="B167" i="5" s="1"/>
  <c r="A167" i="4"/>
  <c r="A167" i="5" s="1"/>
  <c r="R166" i="4"/>
  <c r="F166" i="5" s="1"/>
  <c r="C166" i="4"/>
  <c r="B166" i="4"/>
  <c r="B166" i="5" s="1"/>
  <c r="A166" i="4"/>
  <c r="A166" i="5" s="1"/>
  <c r="C165" i="4"/>
  <c r="R165" i="4" s="1"/>
  <c r="F165" i="5" s="1"/>
  <c r="B165" i="4"/>
  <c r="B165" i="5" s="1"/>
  <c r="A165" i="4"/>
  <c r="A165" i="5" s="1"/>
  <c r="C164" i="4"/>
  <c r="B164" i="4"/>
  <c r="B164" i="5" s="1"/>
  <c r="A164" i="4"/>
  <c r="A164" i="5" s="1"/>
  <c r="C163" i="4"/>
  <c r="B163" i="4"/>
  <c r="B163" i="5" s="1"/>
  <c r="A163" i="4"/>
  <c r="A163" i="5" s="1"/>
  <c r="R162" i="4"/>
  <c r="F162" i="5" s="1"/>
  <c r="C162" i="4"/>
  <c r="B162" i="4"/>
  <c r="B162" i="5" s="1"/>
  <c r="A162" i="4"/>
  <c r="C161" i="4"/>
  <c r="B161" i="4"/>
  <c r="B161" i="5" s="1"/>
  <c r="A161" i="4"/>
  <c r="A161" i="5" s="1"/>
  <c r="C160" i="4"/>
  <c r="B160" i="4"/>
  <c r="B160" i="5" s="1"/>
  <c r="A160" i="4"/>
  <c r="A160" i="5" s="1"/>
  <c r="C159" i="4"/>
  <c r="B159" i="4"/>
  <c r="B159" i="5" s="1"/>
  <c r="A159" i="4"/>
  <c r="A159" i="5" s="1"/>
  <c r="R158" i="4"/>
  <c r="F158" i="5" s="1"/>
  <c r="C158" i="4"/>
  <c r="B158" i="4"/>
  <c r="A158" i="4"/>
  <c r="A158" i="5" s="1"/>
  <c r="R157" i="4"/>
  <c r="F157" i="5" s="1"/>
  <c r="C157" i="4"/>
  <c r="B157" i="4"/>
  <c r="B157" i="5" s="1"/>
  <c r="A157" i="4"/>
  <c r="A157" i="5" s="1"/>
  <c r="R156" i="4"/>
  <c r="F156" i="5" s="1"/>
  <c r="C156" i="4"/>
  <c r="B156" i="4"/>
  <c r="B156" i="5" s="1"/>
  <c r="A156" i="4"/>
  <c r="A156" i="5" s="1"/>
  <c r="R155" i="4"/>
  <c r="F155" i="5" s="1"/>
  <c r="C155" i="4"/>
  <c r="B155" i="4"/>
  <c r="B155" i="5" s="1"/>
  <c r="A155" i="4"/>
  <c r="C154" i="4"/>
  <c r="B154" i="4"/>
  <c r="B154" i="5" s="1"/>
  <c r="A154" i="4"/>
  <c r="A154" i="5" s="1"/>
  <c r="R153" i="4"/>
  <c r="F153" i="5" s="1"/>
  <c r="C153" i="4"/>
  <c r="B153" i="4"/>
  <c r="A153" i="4"/>
  <c r="A153" i="5" s="1"/>
  <c r="C152" i="4"/>
  <c r="B152" i="4"/>
  <c r="B152" i="5" s="1"/>
  <c r="A152" i="4"/>
  <c r="A152" i="5" s="1"/>
  <c r="R151" i="4"/>
  <c r="F151" i="5" s="1"/>
  <c r="C151" i="4"/>
  <c r="B151" i="4"/>
  <c r="A151" i="4"/>
  <c r="C150" i="4"/>
  <c r="B150" i="4"/>
  <c r="B150" i="5" s="1"/>
  <c r="A150" i="4"/>
  <c r="A150" i="5" s="1"/>
  <c r="R149" i="4"/>
  <c r="F149" i="5" s="1"/>
  <c r="C149" i="4"/>
  <c r="B149" i="4"/>
  <c r="B149" i="5" s="1"/>
  <c r="A149" i="4"/>
  <c r="A149" i="5" s="1"/>
  <c r="C148" i="4"/>
  <c r="B148" i="4"/>
  <c r="B148" i="5" s="1"/>
  <c r="A148" i="4"/>
  <c r="A148" i="5" s="1"/>
  <c r="C147" i="4"/>
  <c r="B147" i="4"/>
  <c r="B147" i="5" s="1"/>
  <c r="A147" i="4"/>
  <c r="C146" i="4"/>
  <c r="B146" i="4"/>
  <c r="B146" i="5" s="1"/>
  <c r="A146" i="4"/>
  <c r="C145" i="4"/>
  <c r="B145" i="4"/>
  <c r="B145" i="5" s="1"/>
  <c r="A145" i="4"/>
  <c r="A145" i="5" s="1"/>
  <c r="C144" i="4"/>
  <c r="B144" i="4"/>
  <c r="B144" i="5" s="1"/>
  <c r="A144" i="4"/>
  <c r="A144" i="5" s="1"/>
  <c r="R143" i="4"/>
  <c r="F143" i="5" s="1"/>
  <c r="C143" i="4"/>
  <c r="B143" i="4"/>
  <c r="B143" i="5" s="1"/>
  <c r="A143" i="4"/>
  <c r="A143" i="5" s="1"/>
  <c r="C142" i="4"/>
  <c r="R142" i="4" s="1"/>
  <c r="F142" i="5" s="1"/>
  <c r="B142" i="4"/>
  <c r="B142" i="5" s="1"/>
  <c r="A142" i="4"/>
  <c r="A142" i="5" s="1"/>
  <c r="R141" i="4"/>
  <c r="F141" i="5" s="1"/>
  <c r="C141" i="4"/>
  <c r="B141" i="4"/>
  <c r="B141" i="5" s="1"/>
  <c r="A141" i="4"/>
  <c r="A141" i="5" s="1"/>
  <c r="C140" i="4"/>
  <c r="B140" i="4"/>
  <c r="B140" i="5" s="1"/>
  <c r="A140" i="4"/>
  <c r="A140" i="5" s="1"/>
  <c r="C139" i="4"/>
  <c r="B139" i="4"/>
  <c r="B139" i="5" s="1"/>
  <c r="A139" i="4"/>
  <c r="A139" i="5" s="1"/>
  <c r="R138" i="4"/>
  <c r="F138" i="5" s="1"/>
  <c r="C138" i="4"/>
  <c r="B138" i="4"/>
  <c r="B138" i="5" s="1"/>
  <c r="A138" i="4"/>
  <c r="A138" i="5" s="1"/>
  <c r="R137" i="4"/>
  <c r="F137" i="5" s="1"/>
  <c r="C137" i="4"/>
  <c r="B137" i="4"/>
  <c r="B137" i="5" s="1"/>
  <c r="A137" i="4"/>
  <c r="A137" i="5" s="1"/>
  <c r="R136" i="4"/>
  <c r="F136" i="5" s="1"/>
  <c r="C136" i="4"/>
  <c r="B136" i="4"/>
  <c r="B136" i="5" s="1"/>
  <c r="A136" i="4"/>
  <c r="A136" i="5" s="1"/>
  <c r="C135" i="4"/>
  <c r="R135" i="4" s="1"/>
  <c r="F135" i="5" s="1"/>
  <c r="B135" i="4"/>
  <c r="B135" i="5" s="1"/>
  <c r="A135" i="4"/>
  <c r="A135" i="5" s="1"/>
  <c r="C134" i="4"/>
  <c r="B134" i="4"/>
  <c r="B134" i="5" s="1"/>
  <c r="A134" i="4"/>
  <c r="A134" i="5" s="1"/>
  <c r="C133" i="4"/>
  <c r="B133" i="4"/>
  <c r="B133" i="5" s="1"/>
  <c r="A133" i="4"/>
  <c r="A133" i="5" s="1"/>
  <c r="R132" i="4"/>
  <c r="F132" i="5" s="1"/>
  <c r="C132" i="4"/>
  <c r="B132" i="4"/>
  <c r="B132" i="5" s="1"/>
  <c r="A132" i="4"/>
  <c r="A132" i="5" s="1"/>
  <c r="C131" i="4"/>
  <c r="B131" i="4"/>
  <c r="B131" i="5" s="1"/>
  <c r="A131" i="4"/>
  <c r="C130" i="4"/>
  <c r="B130" i="4"/>
  <c r="B130" i="5" s="1"/>
  <c r="A130" i="4"/>
  <c r="A130" i="5" s="1"/>
  <c r="R129" i="4"/>
  <c r="F129" i="5" s="1"/>
  <c r="C129" i="4"/>
  <c r="B129" i="4"/>
  <c r="B129" i="5" s="1"/>
  <c r="A129" i="4"/>
  <c r="A129" i="5" s="1"/>
  <c r="C128" i="4"/>
  <c r="B128" i="4"/>
  <c r="B128" i="5" s="1"/>
  <c r="A128" i="4"/>
  <c r="A128" i="5" s="1"/>
  <c r="R127" i="4"/>
  <c r="F127" i="5" s="1"/>
  <c r="C127" i="4"/>
  <c r="B127" i="4"/>
  <c r="B127" i="5" s="1"/>
  <c r="A127" i="4"/>
  <c r="A127" i="5" s="1"/>
  <c r="C126" i="4"/>
  <c r="B126" i="4"/>
  <c r="B126" i="5" s="1"/>
  <c r="A126" i="4"/>
  <c r="A126" i="5" s="1"/>
  <c r="R125" i="4"/>
  <c r="F125" i="5" s="1"/>
  <c r="C125" i="4"/>
  <c r="B125" i="4"/>
  <c r="B125" i="5" s="1"/>
  <c r="A125" i="4"/>
  <c r="A125" i="5" s="1"/>
  <c r="R124" i="4"/>
  <c r="F124" i="5" s="1"/>
  <c r="C124" i="4"/>
  <c r="B124" i="4"/>
  <c r="B124" i="5" s="1"/>
  <c r="A124" i="4"/>
  <c r="A124" i="5" s="1"/>
  <c r="R123" i="4"/>
  <c r="F123" i="5" s="1"/>
  <c r="C123" i="4"/>
  <c r="B123" i="4"/>
  <c r="A123" i="4"/>
  <c r="A123" i="5" s="1"/>
  <c r="C122" i="4"/>
  <c r="B122" i="4"/>
  <c r="B122" i="5" s="1"/>
  <c r="A122" i="4"/>
  <c r="A122" i="5" s="1"/>
  <c r="C121" i="4"/>
  <c r="B121" i="4"/>
  <c r="B121" i="5" s="1"/>
  <c r="A121" i="4"/>
  <c r="A121" i="5" s="1"/>
  <c r="R120" i="4"/>
  <c r="F120" i="5" s="1"/>
  <c r="C120" i="4"/>
  <c r="B120" i="4"/>
  <c r="B120" i="5" s="1"/>
  <c r="A120" i="4"/>
  <c r="A120" i="5" s="1"/>
  <c r="R119" i="4"/>
  <c r="F119" i="5" s="1"/>
  <c r="C119" i="4"/>
  <c r="B119" i="4"/>
  <c r="B119" i="5" s="1"/>
  <c r="A119" i="4"/>
  <c r="A119" i="5" s="1"/>
  <c r="C118" i="4"/>
  <c r="B118" i="4"/>
  <c r="B118" i="5" s="1"/>
  <c r="A118" i="4"/>
  <c r="A118" i="5" s="1"/>
  <c r="R117" i="4"/>
  <c r="F117" i="5" s="1"/>
  <c r="C117" i="4"/>
  <c r="B117" i="4"/>
  <c r="A117" i="4"/>
  <c r="A117" i="5" s="1"/>
  <c r="R116" i="4"/>
  <c r="F116" i="5" s="1"/>
  <c r="C116" i="4"/>
  <c r="B116" i="4"/>
  <c r="B116" i="5" s="1"/>
  <c r="A116" i="4"/>
  <c r="A116" i="5" s="1"/>
  <c r="C115" i="4"/>
  <c r="B115" i="4"/>
  <c r="B115" i="5" s="1"/>
  <c r="A115" i="4"/>
  <c r="A115" i="5" s="1"/>
  <c r="C114" i="4"/>
  <c r="B114" i="4"/>
  <c r="B114" i="5" s="1"/>
  <c r="A114" i="4"/>
  <c r="A114" i="5" s="1"/>
  <c r="C113" i="4"/>
  <c r="B113" i="4"/>
  <c r="B113" i="5" s="1"/>
  <c r="A113" i="4"/>
  <c r="A113" i="5" s="1"/>
  <c r="R112" i="4"/>
  <c r="F112" i="5" s="1"/>
  <c r="C112" i="4"/>
  <c r="B112" i="4"/>
  <c r="B112" i="5" s="1"/>
  <c r="A112" i="4"/>
  <c r="A112" i="5" s="1"/>
  <c r="R111" i="4"/>
  <c r="F111" i="5" s="1"/>
  <c r="C111" i="4"/>
  <c r="B111" i="4"/>
  <c r="B111" i="5" s="1"/>
  <c r="A111" i="4"/>
  <c r="A111" i="5" s="1"/>
  <c r="R110" i="4"/>
  <c r="F110" i="5" s="1"/>
  <c r="C110" i="4"/>
  <c r="B110" i="4"/>
  <c r="A110" i="4"/>
  <c r="C109" i="4"/>
  <c r="B109" i="4"/>
  <c r="B109" i="5" s="1"/>
  <c r="A109" i="4"/>
  <c r="A109" i="5" s="1"/>
  <c r="R108" i="4"/>
  <c r="F108" i="5" s="1"/>
  <c r="C108" i="4"/>
  <c r="B108" i="4"/>
  <c r="B108" i="5" s="1"/>
  <c r="A108" i="4"/>
  <c r="A108" i="5" s="1"/>
  <c r="R107" i="4"/>
  <c r="F107" i="5" s="1"/>
  <c r="C107" i="4"/>
  <c r="B107" i="4"/>
  <c r="B107" i="5" s="1"/>
  <c r="A107" i="4"/>
  <c r="A107" i="5" s="1"/>
  <c r="C106" i="4"/>
  <c r="B106" i="4"/>
  <c r="B106" i="5" s="1"/>
  <c r="A106" i="4"/>
  <c r="A106" i="5" s="1"/>
  <c r="C105" i="4"/>
  <c r="B105" i="4"/>
  <c r="B105" i="5" s="1"/>
  <c r="A105" i="4"/>
  <c r="A105" i="5" s="1"/>
  <c r="C104" i="4"/>
  <c r="R104" i="4" s="1"/>
  <c r="F104" i="5" s="1"/>
  <c r="B104" i="4"/>
  <c r="B104" i="5" s="1"/>
  <c r="A104" i="4"/>
  <c r="A104" i="5" s="1"/>
  <c r="C103" i="4"/>
  <c r="B103" i="4"/>
  <c r="B103" i="5" s="1"/>
  <c r="A103" i="4"/>
  <c r="A103" i="5" s="1"/>
  <c r="R102" i="4"/>
  <c r="F102" i="5" s="1"/>
  <c r="C102" i="4"/>
  <c r="B102" i="4"/>
  <c r="A102" i="4"/>
  <c r="R101" i="4"/>
  <c r="F101" i="5" s="1"/>
  <c r="C101" i="4"/>
  <c r="B101" i="4"/>
  <c r="B101" i="5" s="1"/>
  <c r="A101" i="4"/>
  <c r="A101" i="5" s="1"/>
  <c r="R100" i="4"/>
  <c r="F100" i="5" s="1"/>
  <c r="C100" i="4"/>
  <c r="B100" i="4"/>
  <c r="B100" i="5" s="1"/>
  <c r="A100" i="4"/>
  <c r="A100" i="5" s="1"/>
  <c r="R99" i="4"/>
  <c r="F99" i="5" s="1"/>
  <c r="C99" i="4"/>
  <c r="B99" i="4"/>
  <c r="B99" i="5" s="1"/>
  <c r="A99" i="4"/>
  <c r="A99" i="5" s="1"/>
  <c r="C98" i="4"/>
  <c r="B98" i="4"/>
  <c r="B98" i="5" s="1"/>
  <c r="A98" i="4"/>
  <c r="A98" i="5" s="1"/>
  <c r="R97" i="4"/>
  <c r="F97" i="5" s="1"/>
  <c r="C97" i="4"/>
  <c r="B97" i="4"/>
  <c r="B97" i="5" s="1"/>
  <c r="A97" i="4"/>
  <c r="A97" i="5" s="1"/>
  <c r="C96" i="4"/>
  <c r="B96" i="4"/>
  <c r="B96" i="5" s="1"/>
  <c r="A96" i="4"/>
  <c r="A96" i="5" s="1"/>
  <c r="R95" i="4"/>
  <c r="F95" i="5" s="1"/>
  <c r="C95" i="4"/>
  <c r="B95" i="4"/>
  <c r="B95" i="5" s="1"/>
  <c r="A95" i="4"/>
  <c r="A95" i="5" s="1"/>
  <c r="C94" i="4"/>
  <c r="B94" i="4"/>
  <c r="B94" i="5" s="1"/>
  <c r="A94" i="4"/>
  <c r="A94" i="5" s="1"/>
  <c r="C93" i="4"/>
  <c r="R93" i="4" s="1"/>
  <c r="F93" i="5" s="1"/>
  <c r="B93" i="4"/>
  <c r="B93" i="5" s="1"/>
  <c r="A93" i="4"/>
  <c r="A93" i="5" s="1"/>
  <c r="R92" i="4"/>
  <c r="F92" i="5" s="1"/>
  <c r="C92" i="4"/>
  <c r="B92" i="4"/>
  <c r="B92" i="5" s="1"/>
  <c r="A92" i="4"/>
  <c r="A92" i="5" s="1"/>
  <c r="C91" i="4"/>
  <c r="B91" i="4"/>
  <c r="A91" i="4"/>
  <c r="R90" i="4"/>
  <c r="F90" i="5" s="1"/>
  <c r="C90" i="4"/>
  <c r="B90" i="4"/>
  <c r="B90" i="5" s="1"/>
  <c r="A90" i="4"/>
  <c r="A90" i="5" s="1"/>
  <c r="C89" i="4"/>
  <c r="B89" i="4"/>
  <c r="B89" i="5" s="1"/>
  <c r="A89" i="4"/>
  <c r="A89" i="5" s="1"/>
  <c r="R88" i="4"/>
  <c r="F88" i="5" s="1"/>
  <c r="C88" i="4"/>
  <c r="B88" i="4"/>
  <c r="B88" i="5" s="1"/>
  <c r="A88" i="4"/>
  <c r="A88" i="5" s="1"/>
  <c r="C87" i="4"/>
  <c r="B87" i="4"/>
  <c r="B87" i="5" s="1"/>
  <c r="A87" i="4"/>
  <c r="A87" i="5" s="1"/>
  <c r="C86" i="4"/>
  <c r="R86" i="4" s="1"/>
  <c r="F86" i="5" s="1"/>
  <c r="B86" i="4"/>
  <c r="B86" i="5" s="1"/>
  <c r="A86" i="4"/>
  <c r="A86" i="5" s="1"/>
  <c r="R85" i="4"/>
  <c r="F85" i="5" s="1"/>
  <c r="C85" i="4"/>
  <c r="B85" i="4"/>
  <c r="B85" i="5" s="1"/>
  <c r="A85" i="4"/>
  <c r="A85" i="5" s="1"/>
  <c r="C84" i="4"/>
  <c r="B84" i="4"/>
  <c r="B84" i="5" s="1"/>
  <c r="A84" i="4"/>
  <c r="A84" i="5" s="1"/>
  <c r="R83" i="4"/>
  <c r="F83" i="5" s="1"/>
  <c r="C83" i="4"/>
  <c r="B83" i="4"/>
  <c r="B83" i="5" s="1"/>
  <c r="A83" i="4"/>
  <c r="A83" i="5" s="1"/>
  <c r="R82" i="4"/>
  <c r="F82" i="5" s="1"/>
  <c r="C82" i="4"/>
  <c r="B82" i="4"/>
  <c r="B82" i="5" s="1"/>
  <c r="A82" i="4"/>
  <c r="A82" i="5" s="1"/>
  <c r="C81" i="4"/>
  <c r="B81" i="4"/>
  <c r="B81" i="5" s="1"/>
  <c r="A81" i="4"/>
  <c r="A81" i="5" s="1"/>
  <c r="C80" i="4"/>
  <c r="B80" i="4"/>
  <c r="B80" i="5" s="1"/>
  <c r="A80" i="4"/>
  <c r="A80" i="5" s="1"/>
  <c r="C79" i="4"/>
  <c r="B79" i="4"/>
  <c r="B79" i="5" s="1"/>
  <c r="A79" i="4"/>
  <c r="A79" i="5" s="1"/>
  <c r="R78" i="4"/>
  <c r="F78" i="5" s="1"/>
  <c r="C78" i="4"/>
  <c r="B78" i="4"/>
  <c r="B78" i="5" s="1"/>
  <c r="A78" i="4"/>
  <c r="C77" i="4"/>
  <c r="B77" i="4"/>
  <c r="B77" i="5" s="1"/>
  <c r="A77" i="4"/>
  <c r="A77" i="5" s="1"/>
  <c r="R76" i="4"/>
  <c r="F76" i="5" s="1"/>
  <c r="C76" i="4"/>
  <c r="B76" i="4"/>
  <c r="B76" i="5" s="1"/>
  <c r="A76" i="4"/>
  <c r="A76" i="5" s="1"/>
  <c r="C75" i="4"/>
  <c r="B75" i="4"/>
  <c r="B75" i="5" s="1"/>
  <c r="A75" i="4"/>
  <c r="A75" i="5" s="1"/>
  <c r="R74" i="4"/>
  <c r="F74" i="5" s="1"/>
  <c r="C74" i="4"/>
  <c r="B74" i="4"/>
  <c r="B74" i="5" s="1"/>
  <c r="A74" i="4"/>
  <c r="A74" i="5" s="1"/>
  <c r="C73" i="4"/>
  <c r="B73" i="4"/>
  <c r="B73" i="5" s="1"/>
  <c r="A73" i="4"/>
  <c r="A73" i="5" s="1"/>
  <c r="R72" i="4"/>
  <c r="F72" i="5" s="1"/>
  <c r="C72" i="4"/>
  <c r="B72" i="4"/>
  <c r="B72" i="5" s="1"/>
  <c r="A72" i="4"/>
  <c r="A72" i="5" s="1"/>
  <c r="C71" i="4"/>
  <c r="B71" i="4"/>
  <c r="B71" i="5" s="1"/>
  <c r="A71" i="4"/>
  <c r="A71" i="5" s="1"/>
  <c r="C70" i="4"/>
  <c r="B70" i="4"/>
  <c r="B70" i="5" s="1"/>
  <c r="A70" i="4"/>
  <c r="A70" i="5" s="1"/>
  <c r="R69" i="4"/>
  <c r="F69" i="5" s="1"/>
  <c r="C69" i="4"/>
  <c r="B69" i="4"/>
  <c r="B69" i="5" s="1"/>
  <c r="A69" i="4"/>
  <c r="A69" i="5" s="1"/>
  <c r="C68" i="4"/>
  <c r="B68" i="4"/>
  <c r="B68" i="5" s="1"/>
  <c r="A68" i="4"/>
  <c r="A68" i="5" s="1"/>
  <c r="R67" i="4"/>
  <c r="F67" i="5" s="1"/>
  <c r="C67" i="4"/>
  <c r="B67" i="4"/>
  <c r="B67" i="5" s="1"/>
  <c r="A67" i="4"/>
  <c r="A67" i="5" s="1"/>
  <c r="C66" i="4"/>
  <c r="B66" i="4"/>
  <c r="B66" i="5" s="1"/>
  <c r="A66" i="4"/>
  <c r="A66" i="5" s="1"/>
  <c r="R65" i="4"/>
  <c r="F65" i="5" s="1"/>
  <c r="C65" i="4"/>
  <c r="B65" i="4"/>
  <c r="B65" i="5" s="1"/>
  <c r="A65" i="4"/>
  <c r="A65" i="5" s="1"/>
  <c r="R64" i="4"/>
  <c r="F64" i="5" s="1"/>
  <c r="C64" i="4"/>
  <c r="B64" i="4"/>
  <c r="B64" i="5" s="1"/>
  <c r="A64" i="4"/>
  <c r="A64" i="5" s="1"/>
  <c r="R63" i="4"/>
  <c r="F63" i="5" s="1"/>
  <c r="C63" i="4"/>
  <c r="B63" i="4"/>
  <c r="B63" i="5" s="1"/>
  <c r="A63" i="4"/>
  <c r="A63" i="5" s="1"/>
  <c r="R62" i="4"/>
  <c r="F62" i="5" s="1"/>
  <c r="C62" i="4"/>
  <c r="B62" i="4"/>
  <c r="B62" i="5" s="1"/>
  <c r="A62" i="4"/>
  <c r="R61" i="4"/>
  <c r="F61" i="5" s="1"/>
  <c r="C61" i="4"/>
  <c r="B61" i="4"/>
  <c r="A61" i="4"/>
  <c r="A61" i="5" s="1"/>
  <c r="C60" i="4"/>
  <c r="B60" i="4"/>
  <c r="B60" i="5" s="1"/>
  <c r="A60" i="4"/>
  <c r="A60" i="5" s="1"/>
  <c r="R59" i="4"/>
  <c r="F59" i="5" s="1"/>
  <c r="C59" i="4"/>
  <c r="B59" i="4"/>
  <c r="B59" i="5" s="1"/>
  <c r="A59" i="4"/>
  <c r="A59" i="5" s="1"/>
  <c r="C58" i="4"/>
  <c r="B58" i="4"/>
  <c r="B58" i="5" s="1"/>
  <c r="A58" i="4"/>
  <c r="A58" i="5" s="1"/>
  <c r="C57" i="4"/>
  <c r="B57" i="4"/>
  <c r="B57" i="5" s="1"/>
  <c r="A57" i="4"/>
  <c r="A57" i="5" s="1"/>
  <c r="C56" i="4"/>
  <c r="B56" i="4"/>
  <c r="B56" i="5" s="1"/>
  <c r="A56" i="4"/>
  <c r="A56" i="5" s="1"/>
  <c r="C55" i="4"/>
  <c r="B55" i="4"/>
  <c r="B55" i="5" s="1"/>
  <c r="A55" i="4"/>
  <c r="A55" i="5" s="1"/>
  <c r="C54" i="4"/>
  <c r="B54" i="4"/>
  <c r="B54" i="5" s="1"/>
  <c r="A54" i="4"/>
  <c r="A54" i="5" s="1"/>
  <c r="C53" i="4"/>
  <c r="B53" i="4"/>
  <c r="B53" i="5" s="1"/>
  <c r="A53" i="4"/>
  <c r="A53" i="5" s="1"/>
  <c r="C52" i="4"/>
  <c r="B52" i="4"/>
  <c r="B52" i="5" s="1"/>
  <c r="A52" i="4"/>
  <c r="A52" i="5" s="1"/>
  <c r="R51" i="4"/>
  <c r="F51" i="5" s="1"/>
  <c r="C51" i="4"/>
  <c r="B51" i="4"/>
  <c r="B51" i="5" s="1"/>
  <c r="A51" i="4"/>
  <c r="A51" i="5" s="1"/>
  <c r="C50" i="4"/>
  <c r="B50" i="4"/>
  <c r="B50" i="5" s="1"/>
  <c r="A50" i="4"/>
  <c r="A50" i="5" s="1"/>
  <c r="C49" i="4"/>
  <c r="B49" i="4"/>
  <c r="B49" i="5" s="1"/>
  <c r="A49" i="4"/>
  <c r="A49" i="5" s="1"/>
  <c r="C48" i="4"/>
  <c r="B48" i="4"/>
  <c r="B48" i="5" s="1"/>
  <c r="A48" i="4"/>
  <c r="A48" i="5" s="1"/>
  <c r="C47" i="4"/>
  <c r="B47" i="4"/>
  <c r="B47" i="5" s="1"/>
  <c r="A47" i="4"/>
  <c r="A47" i="5" s="1"/>
  <c r="C46" i="4"/>
  <c r="B46" i="4"/>
  <c r="B46" i="5" s="1"/>
  <c r="A46" i="4"/>
  <c r="A46" i="5" s="1"/>
  <c r="C45" i="4"/>
  <c r="B45" i="4"/>
  <c r="B45" i="5" s="1"/>
  <c r="A45" i="4"/>
  <c r="A45" i="5" s="1"/>
  <c r="C44" i="4"/>
  <c r="B44" i="4"/>
  <c r="B44" i="5" s="1"/>
  <c r="A44" i="4"/>
  <c r="A44" i="5" s="1"/>
  <c r="C43" i="4"/>
  <c r="B43" i="4"/>
  <c r="B43" i="5" s="1"/>
  <c r="A43" i="4"/>
  <c r="A43" i="5" s="1"/>
  <c r="C42" i="4"/>
  <c r="B42" i="4"/>
  <c r="B42" i="5" s="1"/>
  <c r="A42" i="4"/>
  <c r="A42" i="5" s="1"/>
  <c r="C41" i="4"/>
  <c r="B41" i="4"/>
  <c r="B41" i="5" s="1"/>
  <c r="A41" i="4"/>
  <c r="A41" i="5" s="1"/>
  <c r="C40" i="4"/>
  <c r="B40" i="4"/>
  <c r="B40" i="5" s="1"/>
  <c r="A40" i="4"/>
  <c r="A40" i="5" s="1"/>
  <c r="C39" i="4"/>
  <c r="B39" i="4"/>
  <c r="B39" i="5" s="1"/>
  <c r="A39" i="4"/>
  <c r="A39" i="5" s="1"/>
  <c r="C38" i="4"/>
  <c r="B38" i="4"/>
  <c r="B38" i="5" s="1"/>
  <c r="A38" i="4"/>
  <c r="A38" i="5" s="1"/>
  <c r="C37" i="4"/>
  <c r="B37" i="4"/>
  <c r="B37" i="5" s="1"/>
  <c r="A37" i="4"/>
  <c r="A37" i="5" s="1"/>
  <c r="C36" i="4"/>
  <c r="B36" i="4"/>
  <c r="B36" i="5" s="1"/>
  <c r="A36" i="4"/>
  <c r="A36" i="5" s="1"/>
  <c r="C35" i="4"/>
  <c r="B35" i="4"/>
  <c r="B35" i="5" s="1"/>
  <c r="A35" i="4"/>
  <c r="A35" i="5" s="1"/>
  <c r="C34" i="4"/>
  <c r="B34" i="4"/>
  <c r="B34" i="5" s="1"/>
  <c r="A34" i="4"/>
  <c r="A34" i="5" s="1"/>
  <c r="C33" i="4"/>
  <c r="B33" i="4"/>
  <c r="B33" i="5" s="1"/>
  <c r="A33" i="4"/>
  <c r="A33" i="5" s="1"/>
  <c r="C32" i="4"/>
  <c r="B32" i="4"/>
  <c r="B32" i="5" s="1"/>
  <c r="A32" i="4"/>
  <c r="A32" i="5" s="1"/>
  <c r="C31" i="4"/>
  <c r="B31" i="4"/>
  <c r="B31" i="5" s="1"/>
  <c r="A31" i="4"/>
  <c r="A31" i="5" s="1"/>
  <c r="C30" i="4"/>
  <c r="B30" i="4"/>
  <c r="B30" i="5" s="1"/>
  <c r="A30" i="4"/>
  <c r="A30" i="5" s="1"/>
  <c r="C29" i="4"/>
  <c r="B29" i="4"/>
  <c r="B29" i="5" s="1"/>
  <c r="A29" i="4"/>
  <c r="A29" i="5" s="1"/>
  <c r="C28" i="4"/>
  <c r="B28" i="4"/>
  <c r="B28" i="5" s="1"/>
  <c r="A28" i="4"/>
  <c r="A28" i="5" s="1"/>
  <c r="C27" i="4"/>
  <c r="B27" i="4"/>
  <c r="B27" i="5" s="1"/>
  <c r="A27" i="4"/>
  <c r="A27" i="5" s="1"/>
  <c r="C26" i="4"/>
  <c r="B26" i="4"/>
  <c r="B26" i="5" s="1"/>
  <c r="A26" i="4"/>
  <c r="A26" i="5" s="1"/>
  <c r="C25" i="4"/>
  <c r="B25" i="4"/>
  <c r="B25" i="5" s="1"/>
  <c r="A25" i="4"/>
  <c r="A25" i="5" s="1"/>
  <c r="C24" i="4"/>
  <c r="B24" i="4"/>
  <c r="B24" i="5" s="1"/>
  <c r="A24" i="4"/>
  <c r="A24" i="5" s="1"/>
  <c r="C23" i="4"/>
  <c r="B23" i="4"/>
  <c r="B23" i="5" s="1"/>
  <c r="A23" i="4"/>
  <c r="C22" i="4"/>
  <c r="B22" i="4"/>
  <c r="B22" i="5" s="1"/>
  <c r="A22" i="4"/>
  <c r="A22" i="5" s="1"/>
  <c r="C21" i="4"/>
  <c r="B21" i="4"/>
  <c r="B21" i="5" s="1"/>
  <c r="A21" i="4"/>
  <c r="A21" i="5" s="1"/>
  <c r="C20" i="4"/>
  <c r="B20" i="4"/>
  <c r="B20" i="5" s="1"/>
  <c r="A20" i="4"/>
  <c r="A20" i="5" s="1"/>
  <c r="C19" i="4"/>
  <c r="B19" i="4"/>
  <c r="B19" i="5" s="1"/>
  <c r="A19" i="4"/>
  <c r="A19" i="5" s="1"/>
  <c r="C18" i="4"/>
  <c r="B18" i="4"/>
  <c r="B18" i="5" s="1"/>
  <c r="A18" i="4"/>
  <c r="A18" i="5" s="1"/>
  <c r="C17" i="4"/>
  <c r="B17" i="4"/>
  <c r="B17" i="5" s="1"/>
  <c r="A17" i="4"/>
  <c r="A17" i="5" s="1"/>
  <c r="C16" i="4"/>
  <c r="B16" i="4"/>
  <c r="B16" i="5" s="1"/>
  <c r="A16" i="4"/>
  <c r="A16" i="5" s="1"/>
  <c r="C15" i="4"/>
  <c r="B15" i="4"/>
  <c r="B15" i="5" s="1"/>
  <c r="A15" i="4"/>
  <c r="A15" i="5" s="1"/>
  <c r="C14" i="4"/>
  <c r="B14" i="4"/>
  <c r="B14" i="5" s="1"/>
  <c r="A14" i="4"/>
  <c r="A14" i="5" s="1"/>
  <c r="C13" i="4"/>
  <c r="B13" i="4"/>
  <c r="A13" i="4"/>
  <c r="C12" i="4"/>
  <c r="B12" i="4"/>
  <c r="B12" i="5" s="1"/>
  <c r="A12" i="4"/>
  <c r="A12" i="5" s="1"/>
  <c r="C11" i="4"/>
  <c r="B11" i="4"/>
  <c r="B11" i="5" s="1"/>
  <c r="A11" i="4"/>
  <c r="A11" i="5" s="1"/>
  <c r="C10" i="4"/>
  <c r="B10" i="4"/>
  <c r="B10" i="5" s="1"/>
  <c r="A10" i="4"/>
  <c r="A10" i="5" s="1"/>
  <c r="C9" i="4"/>
  <c r="B9" i="4"/>
  <c r="B9" i="5" s="1"/>
  <c r="A9" i="4"/>
  <c r="A9" i="5" s="1"/>
  <c r="C8" i="4"/>
  <c r="B8" i="4"/>
  <c r="B8" i="5" s="1"/>
  <c r="A8" i="4"/>
  <c r="A8" i="5" s="1"/>
  <c r="C7" i="4"/>
  <c r="B7" i="4"/>
  <c r="B7" i="5" s="1"/>
  <c r="A7" i="4"/>
  <c r="A7" i="5" s="1"/>
  <c r="O6" i="4"/>
  <c r="O7" i="4" s="1"/>
  <c r="O8" i="4" s="1"/>
  <c r="O9" i="4" s="1"/>
  <c r="O10" i="4" s="1"/>
  <c r="O11" i="4" s="1"/>
  <c r="O12" i="4" s="1"/>
  <c r="O13" i="4" s="1"/>
  <c r="O14" i="4" s="1"/>
  <c r="C6" i="4"/>
  <c r="B6" i="4"/>
  <c r="B6" i="5" s="1"/>
  <c r="A6" i="4"/>
  <c r="C5" i="4"/>
  <c r="B5" i="4"/>
  <c r="B5" i="5" s="1"/>
  <c r="A5" i="4"/>
  <c r="A5" i="5" s="1"/>
  <c r="O4" i="4"/>
  <c r="O5" i="4" s="1"/>
  <c r="C4" i="4"/>
  <c r="D4" i="4" s="1"/>
  <c r="B4" i="4"/>
  <c r="B4" i="5" s="1"/>
  <c r="A4" i="4"/>
  <c r="A4" i="5" s="1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E175" i="3" s="1"/>
  <c r="D148" i="3"/>
  <c r="D147" i="3"/>
  <c r="D146" i="3"/>
  <c r="D145" i="3"/>
  <c r="D144" i="3"/>
  <c r="D143" i="3"/>
  <c r="D142" i="3"/>
  <c r="D141" i="3"/>
  <c r="D140" i="3"/>
  <c r="D139" i="3"/>
  <c r="E166" i="3" s="1"/>
  <c r="D138" i="3"/>
  <c r="E137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E135" i="3" s="1"/>
  <c r="D100" i="3"/>
  <c r="E134" i="3" s="1"/>
  <c r="D99" i="3"/>
  <c r="E127" i="3" s="1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E100" i="3" s="1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E76" i="3" s="1"/>
  <c r="D53" i="3"/>
  <c r="D52" i="3"/>
  <c r="D51" i="3"/>
  <c r="D50" i="3"/>
  <c r="F49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E63" i="3" s="1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E40" i="3" s="1"/>
  <c r="D14" i="3"/>
  <c r="D13" i="3"/>
  <c r="D12" i="3"/>
  <c r="D11" i="3"/>
  <c r="D10" i="3"/>
  <c r="D9" i="3"/>
  <c r="F23" i="3" s="1"/>
  <c r="D8" i="3"/>
  <c r="D7" i="3"/>
  <c r="D6" i="3"/>
  <c r="F14" i="3" s="1"/>
  <c r="D5" i="3"/>
  <c r="B39" i="2"/>
  <c r="O15" i="4" l="1"/>
  <c r="G166" i="3"/>
  <c r="D166" i="6" s="1"/>
  <c r="G166" i="6" s="1"/>
  <c r="I166" i="6" s="1"/>
  <c r="E160" i="3"/>
  <c r="E156" i="3"/>
  <c r="E157" i="3"/>
  <c r="E153" i="3"/>
  <c r="E51" i="3"/>
  <c r="F28" i="3"/>
  <c r="E49" i="3"/>
  <c r="G49" i="3" s="1"/>
  <c r="D49" i="6" s="1"/>
  <c r="G49" i="6" s="1"/>
  <c r="I49" i="6" s="1"/>
  <c r="E171" i="3"/>
  <c r="E165" i="3"/>
  <c r="E72" i="3"/>
  <c r="G72" i="3" s="1"/>
  <c r="D72" i="6" s="1"/>
  <c r="G72" i="6" s="1"/>
  <c r="I72" i="6" s="1"/>
  <c r="E50" i="3"/>
  <c r="G50" i="3" s="1"/>
  <c r="D50" i="6" s="1"/>
  <c r="G50" i="6" s="1"/>
  <c r="I50" i="6" s="1"/>
  <c r="E126" i="3"/>
  <c r="G126" i="3" s="1"/>
  <c r="D126" i="6" s="1"/>
  <c r="G126" i="6" s="1"/>
  <c r="I126" i="6" s="1"/>
  <c r="R91" i="4"/>
  <c r="F91" i="5" s="1"/>
  <c r="E109" i="3"/>
  <c r="E108" i="3"/>
  <c r="E102" i="3"/>
  <c r="F74" i="3"/>
  <c r="E73" i="3"/>
  <c r="E67" i="3"/>
  <c r="E66" i="3"/>
  <c r="G66" i="3" s="1"/>
  <c r="D66" i="6" s="1"/>
  <c r="G66" i="6" s="1"/>
  <c r="I66" i="6" s="1"/>
  <c r="E174" i="3"/>
  <c r="R52" i="4"/>
  <c r="F52" i="5" s="1"/>
  <c r="F182" i="3"/>
  <c r="F80" i="3"/>
  <c r="F102" i="3"/>
  <c r="F44" i="3"/>
  <c r="E42" i="3"/>
  <c r="G42" i="3" s="1"/>
  <c r="D42" i="6" s="1"/>
  <c r="E31" i="3"/>
  <c r="F166" i="3"/>
  <c r="E48" i="3"/>
  <c r="E32" i="3"/>
  <c r="F55" i="3"/>
  <c r="F32" i="3"/>
  <c r="F117" i="3"/>
  <c r="E20" i="3"/>
  <c r="F154" i="3"/>
  <c r="E47" i="3"/>
  <c r="E46" i="3"/>
  <c r="F56" i="3"/>
  <c r="E45" i="3"/>
  <c r="F156" i="3"/>
  <c r="F20" i="3"/>
  <c r="F31" i="3"/>
  <c r="F128" i="3"/>
  <c r="F90" i="3"/>
  <c r="E21" i="3"/>
  <c r="G21" i="3" s="1"/>
  <c r="D21" i="6" s="1"/>
  <c r="F180" i="3"/>
  <c r="F66" i="3"/>
  <c r="F165" i="3"/>
  <c r="F153" i="3"/>
  <c r="F89" i="3"/>
  <c r="F40" i="3"/>
  <c r="G40" i="3" s="1"/>
  <c r="D40" i="6" s="1"/>
  <c r="F29" i="3"/>
  <c r="F162" i="3"/>
  <c r="F122" i="3"/>
  <c r="F98" i="3"/>
  <c r="F84" i="3"/>
  <c r="F73" i="3"/>
  <c r="F38" i="3"/>
  <c r="F101" i="3"/>
  <c r="F126" i="3"/>
  <c r="R68" i="4"/>
  <c r="F68" i="5" s="1"/>
  <c r="E53" i="3"/>
  <c r="E162" i="3"/>
  <c r="E154" i="3"/>
  <c r="G154" i="3" s="1"/>
  <c r="D154" i="6" s="1"/>
  <c r="G154" i="6" s="1"/>
  <c r="I154" i="6" s="1"/>
  <c r="F64" i="3"/>
  <c r="F110" i="3"/>
  <c r="F30" i="3"/>
  <c r="E88" i="3"/>
  <c r="E77" i="3"/>
  <c r="G77" i="3" s="1"/>
  <c r="D77" i="6" s="1"/>
  <c r="G77" i="6" s="1"/>
  <c r="I77" i="6" s="1"/>
  <c r="F54" i="3"/>
  <c r="E75" i="3"/>
  <c r="F100" i="3"/>
  <c r="G100" i="3" s="1"/>
  <c r="D100" i="6" s="1"/>
  <c r="G100" i="6" s="1"/>
  <c r="I100" i="6" s="1"/>
  <c r="F127" i="3"/>
  <c r="G127" i="3" s="1"/>
  <c r="D127" i="6" s="1"/>
  <c r="G127" i="6" s="1"/>
  <c r="I127" i="6" s="1"/>
  <c r="F63" i="3"/>
  <c r="G63" i="3" s="1"/>
  <c r="D63" i="6" s="1"/>
  <c r="G63" i="6" s="1"/>
  <c r="I63" i="6" s="1"/>
  <c r="E64" i="3"/>
  <c r="G64" i="3" s="1"/>
  <c r="D64" i="6" s="1"/>
  <c r="G64" i="6" s="1"/>
  <c r="I64" i="6" s="1"/>
  <c r="E29" i="3"/>
  <c r="G29" i="3" s="1"/>
  <c r="D29" i="6" s="1"/>
  <c r="E182" i="3"/>
  <c r="G182" i="3" s="1"/>
  <c r="D182" i="6" s="1"/>
  <c r="G182" i="6" s="1"/>
  <c r="I182" i="6" s="1"/>
  <c r="E183" i="3"/>
  <c r="G183" i="3" s="1"/>
  <c r="D183" i="6" s="1"/>
  <c r="G183" i="6" s="1"/>
  <c r="I183" i="6" s="1"/>
  <c r="F175" i="3"/>
  <c r="G175" i="3" s="1"/>
  <c r="D175" i="6" s="1"/>
  <c r="G175" i="6" s="1"/>
  <c r="I175" i="6" s="1"/>
  <c r="E41" i="3"/>
  <c r="E57" i="3"/>
  <c r="F65" i="3"/>
  <c r="E144" i="3"/>
  <c r="E145" i="3"/>
  <c r="F137" i="3"/>
  <c r="G137" i="3" s="1"/>
  <c r="D137" i="6" s="1"/>
  <c r="G137" i="6" s="1"/>
  <c r="I137" i="6" s="1"/>
  <c r="E173" i="3"/>
  <c r="E172" i="3"/>
  <c r="E15" i="3"/>
  <c r="F15" i="3"/>
  <c r="F19" i="3"/>
  <c r="E117" i="3"/>
  <c r="G117" i="3" s="1"/>
  <c r="D117" i="6" s="1"/>
  <c r="G117" i="6" s="1"/>
  <c r="I117" i="6" s="1"/>
  <c r="E119" i="3"/>
  <c r="E118" i="3"/>
  <c r="G118" i="3" s="1"/>
  <c r="D118" i="6" s="1"/>
  <c r="G118" i="6" s="1"/>
  <c r="I118" i="6" s="1"/>
  <c r="E110" i="3"/>
  <c r="G110" i="3" s="1"/>
  <c r="D110" i="6" s="1"/>
  <c r="G110" i="6" s="1"/>
  <c r="I110" i="6" s="1"/>
  <c r="E124" i="3"/>
  <c r="G124" i="3" s="1"/>
  <c r="D124" i="6" s="1"/>
  <c r="G124" i="6" s="1"/>
  <c r="I124" i="6" s="1"/>
  <c r="E122" i="3"/>
  <c r="E111" i="3"/>
  <c r="E39" i="3"/>
  <c r="E101" i="3"/>
  <c r="G101" i="3" s="1"/>
  <c r="D101" i="6" s="1"/>
  <c r="G101" i="6" s="1"/>
  <c r="I101" i="6" s="1"/>
  <c r="F111" i="3"/>
  <c r="E136" i="3"/>
  <c r="G136" i="3" s="1"/>
  <c r="D136" i="6" s="1"/>
  <c r="G136" i="6" s="1"/>
  <c r="I136" i="6" s="1"/>
  <c r="R170" i="4"/>
  <c r="F170" i="5" s="1"/>
  <c r="E74" i="3"/>
  <c r="E97" i="3"/>
  <c r="E95" i="3"/>
  <c r="E94" i="3"/>
  <c r="E98" i="3"/>
  <c r="E91" i="3"/>
  <c r="E93" i="3"/>
  <c r="E92" i="3"/>
  <c r="E65" i="3"/>
  <c r="G65" i="3" s="1"/>
  <c r="D65" i="6" s="1"/>
  <c r="G65" i="6" s="1"/>
  <c r="I65" i="6" s="1"/>
  <c r="E180" i="3"/>
  <c r="E90" i="3"/>
  <c r="E62" i="3"/>
  <c r="E60" i="3"/>
  <c r="E58" i="3"/>
  <c r="G58" i="3" s="1"/>
  <c r="D58" i="6" s="1"/>
  <c r="G58" i="6" s="1"/>
  <c r="I58" i="6" s="1"/>
  <c r="E56" i="3"/>
  <c r="G56" i="3" s="1"/>
  <c r="D56" i="6" s="1"/>
  <c r="G56" i="6" s="1"/>
  <c r="I56" i="6" s="1"/>
  <c r="E55" i="3"/>
  <c r="G55" i="3" s="1"/>
  <c r="D55" i="6" s="1"/>
  <c r="G55" i="6" s="1"/>
  <c r="I55" i="6" s="1"/>
  <c r="F136" i="3"/>
  <c r="E132" i="3"/>
  <c r="E133" i="3"/>
  <c r="G133" i="3" s="1"/>
  <c r="D133" i="6" s="1"/>
  <c r="G133" i="6" s="1"/>
  <c r="I133" i="6" s="1"/>
  <c r="E128" i="3"/>
  <c r="G128" i="3" s="1"/>
  <c r="D128" i="6" s="1"/>
  <c r="G128" i="6" s="1"/>
  <c r="I128" i="6" s="1"/>
  <c r="E130" i="3"/>
  <c r="G130" i="3" s="1"/>
  <c r="D130" i="6" s="1"/>
  <c r="G130" i="6" s="1"/>
  <c r="I130" i="6" s="1"/>
  <c r="E129" i="3"/>
  <c r="G129" i="3" s="1"/>
  <c r="D129" i="6" s="1"/>
  <c r="G129" i="6" s="1"/>
  <c r="I129" i="6" s="1"/>
  <c r="E159" i="3"/>
  <c r="G159" i="3" s="1"/>
  <c r="D159" i="6" s="1"/>
  <c r="G159" i="6" s="1"/>
  <c r="I159" i="6" s="1"/>
  <c r="F39" i="3"/>
  <c r="E120" i="3"/>
  <c r="G120" i="3" s="1"/>
  <c r="D120" i="6" s="1"/>
  <c r="G120" i="6" s="1"/>
  <c r="I120" i="6" s="1"/>
  <c r="E27" i="3"/>
  <c r="G27" i="3" s="1"/>
  <c r="D27" i="6" s="1"/>
  <c r="E28" i="3"/>
  <c r="G28" i="3" s="1"/>
  <c r="D28" i="6" s="1"/>
  <c r="E83" i="3"/>
  <c r="E146" i="3"/>
  <c r="E61" i="3"/>
  <c r="E96" i="3"/>
  <c r="E170" i="3"/>
  <c r="R60" i="4"/>
  <c r="F60" i="5" s="1"/>
  <c r="E52" i="3"/>
  <c r="G52" i="3" s="1"/>
  <c r="D52" i="6" s="1"/>
  <c r="G52" i="6" s="1"/>
  <c r="I52" i="6" s="1"/>
  <c r="E87" i="3"/>
  <c r="G87" i="3" s="1"/>
  <c r="D87" i="6" s="1"/>
  <c r="G87" i="6" s="1"/>
  <c r="I87" i="6" s="1"/>
  <c r="E86" i="3"/>
  <c r="E85" i="3"/>
  <c r="G85" i="3" s="1"/>
  <c r="D85" i="6" s="1"/>
  <c r="G85" i="6" s="1"/>
  <c r="I85" i="6" s="1"/>
  <c r="R77" i="4"/>
  <c r="F77" i="5" s="1"/>
  <c r="E99" i="3"/>
  <c r="G99" i="3" s="1"/>
  <c r="D99" i="6" s="1"/>
  <c r="G99" i="6" s="1"/>
  <c r="I99" i="6" s="1"/>
  <c r="F113" i="3"/>
  <c r="E161" i="3"/>
  <c r="R73" i="4"/>
  <c r="F73" i="5" s="1"/>
  <c r="E54" i="3"/>
  <c r="E78" i="3"/>
  <c r="G78" i="3" s="1"/>
  <c r="D78" i="6" s="1"/>
  <c r="G78" i="6" s="1"/>
  <c r="I78" i="6" s="1"/>
  <c r="R98" i="4"/>
  <c r="F98" i="5" s="1"/>
  <c r="R57" i="4"/>
  <c r="F57" i="5" s="1"/>
  <c r="E178" i="3"/>
  <c r="G178" i="3" s="1"/>
  <c r="D178" i="6" s="1"/>
  <c r="G178" i="6" s="1"/>
  <c r="I178" i="6" s="1"/>
  <c r="F170" i="3"/>
  <c r="F68" i="3"/>
  <c r="E81" i="3"/>
  <c r="F106" i="3"/>
  <c r="F118" i="3"/>
  <c r="F21" i="3"/>
  <c r="F144" i="3"/>
  <c r="F179" i="3"/>
  <c r="F171" i="3"/>
  <c r="F163" i="3"/>
  <c r="F155" i="3"/>
  <c r="F147" i="3"/>
  <c r="F139" i="3"/>
  <c r="F131" i="3"/>
  <c r="F123" i="3"/>
  <c r="F115" i="3"/>
  <c r="F107" i="3"/>
  <c r="F99" i="3"/>
  <c r="F91" i="3"/>
  <c r="F83" i="3"/>
  <c r="F75" i="3"/>
  <c r="F67" i="3"/>
  <c r="F59" i="3"/>
  <c r="F51" i="3"/>
  <c r="F43" i="3"/>
  <c r="F181" i="3"/>
  <c r="F164" i="3"/>
  <c r="F138" i="3"/>
  <c r="F121" i="3"/>
  <c r="F104" i="3"/>
  <c r="F79" i="3"/>
  <c r="F46" i="3"/>
  <c r="E38" i="3"/>
  <c r="E30" i="3"/>
  <c r="E22" i="3"/>
  <c r="E14" i="3"/>
  <c r="G14" i="3" s="1"/>
  <c r="D14" i="6" s="1"/>
  <c r="F87" i="3"/>
  <c r="F172" i="3"/>
  <c r="F146" i="3"/>
  <c r="F129" i="3"/>
  <c r="F112" i="3"/>
  <c r="F95" i="3"/>
  <c r="F62" i="3"/>
  <c r="F152" i="3"/>
  <c r="F143" i="3"/>
  <c r="F134" i="3"/>
  <c r="G134" i="3" s="1"/>
  <c r="D134" i="6" s="1"/>
  <c r="G134" i="6" s="1"/>
  <c r="I134" i="6" s="1"/>
  <c r="F125" i="3"/>
  <c r="F116" i="3"/>
  <c r="F71" i="3"/>
  <c r="F53" i="3"/>
  <c r="E36" i="3"/>
  <c r="E19" i="3"/>
  <c r="G19" i="3" s="1"/>
  <c r="D19" i="6" s="1"/>
  <c r="F27" i="3"/>
  <c r="F178" i="3"/>
  <c r="F169" i="3"/>
  <c r="F160" i="3"/>
  <c r="F88" i="3"/>
  <c r="F61" i="3"/>
  <c r="F35" i="3"/>
  <c r="F18" i="3"/>
  <c r="E34" i="3"/>
  <c r="E17" i="3"/>
  <c r="F77" i="3"/>
  <c r="F42" i="3"/>
  <c r="F151" i="3"/>
  <c r="F142" i="3"/>
  <c r="F133" i="3"/>
  <c r="F124" i="3"/>
  <c r="F52" i="3"/>
  <c r="E35" i="3"/>
  <c r="E18" i="3"/>
  <c r="F78" i="3"/>
  <c r="F26" i="3"/>
  <c r="F177" i="3"/>
  <c r="F159" i="3"/>
  <c r="F60" i="3"/>
  <c r="F34" i="3"/>
  <c r="F17" i="3"/>
  <c r="F150" i="3"/>
  <c r="F141" i="3"/>
  <c r="F132" i="3"/>
  <c r="F114" i="3"/>
  <c r="F105" i="3"/>
  <c r="F96" i="3"/>
  <c r="F69" i="3"/>
  <c r="E26" i="3"/>
  <c r="G26" i="3" s="1"/>
  <c r="D26" i="6" s="1"/>
  <c r="F25" i="3"/>
  <c r="F168" i="3"/>
  <c r="F86" i="3"/>
  <c r="F176" i="3"/>
  <c r="F167" i="3"/>
  <c r="F158" i="3"/>
  <c r="F50" i="3"/>
  <c r="F33" i="3"/>
  <c r="F16" i="3"/>
  <c r="F76" i="3"/>
  <c r="G76" i="3" s="1"/>
  <c r="D76" i="6" s="1"/>
  <c r="G76" i="6" s="1"/>
  <c r="I76" i="6" s="1"/>
  <c r="F41" i="3"/>
  <c r="F24" i="3"/>
  <c r="F149" i="3"/>
  <c r="F140" i="3"/>
  <c r="F103" i="3"/>
  <c r="F94" i="3"/>
  <c r="F85" i="3"/>
  <c r="E33" i="3"/>
  <c r="G33" i="3" s="1"/>
  <c r="D33" i="6" s="1"/>
  <c r="E16" i="3"/>
  <c r="G16" i="3" s="1"/>
  <c r="D16" i="6" s="1"/>
  <c r="F22" i="3"/>
  <c r="F81" i="3"/>
  <c r="F130" i="3"/>
  <c r="E179" i="3"/>
  <c r="G179" i="3" s="1"/>
  <c r="D179" i="6" s="1"/>
  <c r="G179" i="6" s="1"/>
  <c r="I179" i="6" s="1"/>
  <c r="F157" i="3"/>
  <c r="E125" i="3"/>
  <c r="G125" i="3" s="1"/>
  <c r="D125" i="6" s="1"/>
  <c r="G125" i="6" s="1"/>
  <c r="I125" i="6" s="1"/>
  <c r="E152" i="3"/>
  <c r="G152" i="3" s="1"/>
  <c r="D152" i="6" s="1"/>
  <c r="G152" i="6" s="1"/>
  <c r="I152" i="6" s="1"/>
  <c r="F92" i="3"/>
  <c r="E68" i="3"/>
  <c r="G68" i="3" s="1"/>
  <c r="D68" i="6" s="1"/>
  <c r="G68" i="6" s="1"/>
  <c r="I68" i="6" s="1"/>
  <c r="F183" i="3"/>
  <c r="R58" i="4"/>
  <c r="F58" i="5" s="1"/>
  <c r="E150" i="3"/>
  <c r="R113" i="4"/>
  <c r="F113" i="5" s="1"/>
  <c r="F70" i="3"/>
  <c r="E116" i="3"/>
  <c r="F93" i="3"/>
  <c r="E142" i="3"/>
  <c r="E141" i="3"/>
  <c r="E140" i="3"/>
  <c r="G140" i="3" s="1"/>
  <c r="D140" i="6" s="1"/>
  <c r="G140" i="6" s="1"/>
  <c r="I140" i="6" s="1"/>
  <c r="F145" i="3"/>
  <c r="F45" i="3"/>
  <c r="E115" i="3"/>
  <c r="G115" i="3" s="1"/>
  <c r="D115" i="6" s="1"/>
  <c r="G115" i="6" s="1"/>
  <c r="I115" i="6" s="1"/>
  <c r="E113" i="3"/>
  <c r="G113" i="3" s="1"/>
  <c r="D113" i="6" s="1"/>
  <c r="G113" i="6" s="1"/>
  <c r="I113" i="6" s="1"/>
  <c r="E112" i="3"/>
  <c r="G112" i="3" s="1"/>
  <c r="D112" i="6" s="1"/>
  <c r="G112" i="6" s="1"/>
  <c r="I112" i="6" s="1"/>
  <c r="F57" i="3"/>
  <c r="E23" i="3"/>
  <c r="G23" i="3" s="1"/>
  <c r="D23" i="6" s="1"/>
  <c r="E80" i="3"/>
  <c r="E82" i="3"/>
  <c r="F119" i="3"/>
  <c r="E177" i="3"/>
  <c r="G177" i="3" s="1"/>
  <c r="D177" i="6" s="1"/>
  <c r="G177" i="6" s="1"/>
  <c r="I177" i="6" s="1"/>
  <c r="F108" i="3"/>
  <c r="R79" i="4"/>
  <c r="F79" i="5" s="1"/>
  <c r="R133" i="4"/>
  <c r="F133" i="5" s="1"/>
  <c r="R154" i="4"/>
  <c r="F154" i="5" s="1"/>
  <c r="E89" i="3"/>
  <c r="R53" i="4"/>
  <c r="F53" i="5" s="1"/>
  <c r="E151" i="3"/>
  <c r="G151" i="3" s="1"/>
  <c r="D151" i="6" s="1"/>
  <c r="G151" i="6" s="1"/>
  <c r="I151" i="6" s="1"/>
  <c r="E168" i="3"/>
  <c r="R55" i="4"/>
  <c r="F55" i="5" s="1"/>
  <c r="E163" i="3"/>
  <c r="G163" i="3" s="1"/>
  <c r="D163" i="6" s="1"/>
  <c r="G163" i="6" s="1"/>
  <c r="I163" i="6" s="1"/>
  <c r="F36" i="3"/>
  <c r="F47" i="3"/>
  <c r="F58" i="3"/>
  <c r="E106" i="3"/>
  <c r="G106" i="3" s="1"/>
  <c r="D106" i="6" s="1"/>
  <c r="G106" i="6" s="1"/>
  <c r="I106" i="6" s="1"/>
  <c r="E105" i="3"/>
  <c r="G105" i="3" s="1"/>
  <c r="D105" i="6" s="1"/>
  <c r="G105" i="6" s="1"/>
  <c r="I105" i="6" s="1"/>
  <c r="E103" i="3"/>
  <c r="G103" i="3" s="1"/>
  <c r="D103" i="6" s="1"/>
  <c r="G103" i="6" s="1"/>
  <c r="I103" i="6" s="1"/>
  <c r="E143" i="3"/>
  <c r="G143" i="3" s="1"/>
  <c r="D143" i="6" s="1"/>
  <c r="G143" i="6" s="1"/>
  <c r="I143" i="6" s="1"/>
  <c r="F173" i="3"/>
  <c r="R105" i="4"/>
  <c r="F105" i="5" s="1"/>
  <c r="R121" i="4"/>
  <c r="F121" i="5" s="1"/>
  <c r="R147" i="4"/>
  <c r="F147" i="5" s="1"/>
  <c r="E114" i="3"/>
  <c r="E70" i="3"/>
  <c r="G70" i="3" s="1"/>
  <c r="D70" i="6" s="1"/>
  <c r="G70" i="6" s="1"/>
  <c r="I70" i="6" s="1"/>
  <c r="E44" i="3"/>
  <c r="J4" i="4"/>
  <c r="J5" i="4" s="1"/>
  <c r="J6" i="4" s="1"/>
  <c r="J7" i="4" s="1"/>
  <c r="J8" i="4" s="1"/>
  <c r="J9" i="4" s="1"/>
  <c r="J10" i="4" s="1"/>
  <c r="J11" i="4" s="1"/>
  <c r="J12" i="4" s="1"/>
  <c r="J13" i="4" s="1"/>
  <c r="J14" i="4" s="1"/>
  <c r="E4" i="4"/>
  <c r="E5" i="4" s="1"/>
  <c r="E6" i="4" s="1"/>
  <c r="E7" i="4" s="1"/>
  <c r="E8" i="4" s="1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E34" i="4" s="1"/>
  <c r="E35" i="4" s="1"/>
  <c r="E36" i="4" s="1"/>
  <c r="E37" i="4" s="1"/>
  <c r="E38" i="4" s="1"/>
  <c r="E39" i="4" s="1"/>
  <c r="E40" i="4" s="1"/>
  <c r="E41" i="4" s="1"/>
  <c r="E42" i="4" s="1"/>
  <c r="E43" i="4" s="1"/>
  <c r="E44" i="4" s="1"/>
  <c r="E45" i="4" s="1"/>
  <c r="E46" i="4" s="1"/>
  <c r="E47" i="4" s="1"/>
  <c r="E48" i="4" s="1"/>
  <c r="E49" i="4" s="1"/>
  <c r="E50" i="4" s="1"/>
  <c r="E51" i="4" s="1"/>
  <c r="E52" i="4" s="1"/>
  <c r="E53" i="4" s="1"/>
  <c r="E54" i="4" s="1"/>
  <c r="E55" i="4" s="1"/>
  <c r="E56" i="4" s="1"/>
  <c r="E57" i="4" s="1"/>
  <c r="E58" i="4" s="1"/>
  <c r="E59" i="4" s="1"/>
  <c r="E60" i="4" s="1"/>
  <c r="E61" i="4" s="1"/>
  <c r="E62" i="4" s="1"/>
  <c r="E63" i="4" s="1"/>
  <c r="E64" i="4" s="1"/>
  <c r="E65" i="4" s="1"/>
  <c r="E66" i="4" s="1"/>
  <c r="E67" i="4" s="1"/>
  <c r="E68" i="4" s="1"/>
  <c r="E69" i="4" s="1"/>
  <c r="E70" i="4" s="1"/>
  <c r="E71" i="4" s="1"/>
  <c r="E72" i="4" s="1"/>
  <c r="E73" i="4" s="1"/>
  <c r="E74" i="4" s="1"/>
  <c r="E75" i="4" s="1"/>
  <c r="E76" i="4" s="1"/>
  <c r="E77" i="4" s="1"/>
  <c r="E78" i="4" s="1"/>
  <c r="E79" i="4" s="1"/>
  <c r="E80" i="4" s="1"/>
  <c r="E81" i="4" s="1"/>
  <c r="E82" i="4" s="1"/>
  <c r="E83" i="4" s="1"/>
  <c r="E84" i="4" s="1"/>
  <c r="E85" i="4" s="1"/>
  <c r="E86" i="4" s="1"/>
  <c r="E87" i="4" s="1"/>
  <c r="E88" i="4" s="1"/>
  <c r="E89" i="4" s="1"/>
  <c r="E90" i="4" s="1"/>
  <c r="E91" i="4" s="1"/>
  <c r="E92" i="4" s="1"/>
  <c r="E93" i="4" s="1"/>
  <c r="E94" i="4" s="1"/>
  <c r="E95" i="4" s="1"/>
  <c r="E96" i="4" s="1"/>
  <c r="E97" i="4" s="1"/>
  <c r="E98" i="4" s="1"/>
  <c r="E99" i="4" s="1"/>
  <c r="E100" i="4" s="1"/>
  <c r="E101" i="4" s="1"/>
  <c r="E102" i="4" s="1"/>
  <c r="E103" i="4" s="1"/>
  <c r="E104" i="4" s="1"/>
  <c r="E105" i="4" s="1"/>
  <c r="E106" i="4" s="1"/>
  <c r="E107" i="4" s="1"/>
  <c r="E108" i="4" s="1"/>
  <c r="E109" i="4" s="1"/>
  <c r="E110" i="4" s="1"/>
  <c r="E111" i="4" s="1"/>
  <c r="E112" i="4" s="1"/>
  <c r="E113" i="4" s="1"/>
  <c r="E114" i="4" s="1"/>
  <c r="E115" i="4" s="1"/>
  <c r="E116" i="4" s="1"/>
  <c r="E117" i="4" s="1"/>
  <c r="E118" i="4" s="1"/>
  <c r="E119" i="4" s="1"/>
  <c r="E120" i="4" s="1"/>
  <c r="E121" i="4" s="1"/>
  <c r="E122" i="4" s="1"/>
  <c r="E123" i="4" s="1"/>
  <c r="E124" i="4" s="1"/>
  <c r="E125" i="4" s="1"/>
  <c r="E126" i="4" s="1"/>
  <c r="E127" i="4" s="1"/>
  <c r="E128" i="4" s="1"/>
  <c r="E129" i="4" s="1"/>
  <c r="E130" i="4" s="1"/>
  <c r="E131" i="4" s="1"/>
  <c r="E132" i="4" s="1"/>
  <c r="E133" i="4" s="1"/>
  <c r="E134" i="4" s="1"/>
  <c r="E135" i="4" s="1"/>
  <c r="E136" i="4" s="1"/>
  <c r="E137" i="4" s="1"/>
  <c r="E138" i="4" s="1"/>
  <c r="E139" i="4" s="1"/>
  <c r="E140" i="4" s="1"/>
  <c r="E141" i="4" s="1"/>
  <c r="E142" i="4" s="1"/>
  <c r="E143" i="4" s="1"/>
  <c r="E144" i="4" s="1"/>
  <c r="E145" i="4" s="1"/>
  <c r="E146" i="4" s="1"/>
  <c r="E147" i="4" s="1"/>
  <c r="E148" i="4" s="1"/>
  <c r="E149" i="4" s="1"/>
  <c r="E150" i="4" s="1"/>
  <c r="E151" i="4" s="1"/>
  <c r="E152" i="4" s="1"/>
  <c r="E153" i="4" s="1"/>
  <c r="E154" i="4" s="1"/>
  <c r="E155" i="4" s="1"/>
  <c r="E156" i="4" s="1"/>
  <c r="E157" i="4" s="1"/>
  <c r="E158" i="4" s="1"/>
  <c r="E159" i="4" s="1"/>
  <c r="E160" i="4" s="1"/>
  <c r="E161" i="4" s="1"/>
  <c r="E162" i="4" s="1"/>
  <c r="E163" i="4" s="1"/>
  <c r="E164" i="4" s="1"/>
  <c r="E165" i="4" s="1"/>
  <c r="E166" i="4" s="1"/>
  <c r="E167" i="4" s="1"/>
  <c r="E168" i="4" s="1"/>
  <c r="E169" i="4" s="1"/>
  <c r="E170" i="4" s="1"/>
  <c r="E171" i="4" s="1"/>
  <c r="E172" i="4" s="1"/>
  <c r="E173" i="4" s="1"/>
  <c r="E174" i="4" s="1"/>
  <c r="E175" i="4" s="1"/>
  <c r="E176" i="4" s="1"/>
  <c r="E177" i="4" s="1"/>
  <c r="E178" i="4" s="1"/>
  <c r="E179" i="4" s="1"/>
  <c r="E180" i="4" s="1"/>
  <c r="E181" i="4" s="1"/>
  <c r="E182" i="4" s="1"/>
  <c r="E183" i="4" s="1"/>
  <c r="E24" i="3"/>
  <c r="G24" i="3" s="1"/>
  <c r="D24" i="6" s="1"/>
  <c r="E71" i="3"/>
  <c r="G71" i="3" s="1"/>
  <c r="D71" i="6" s="1"/>
  <c r="G71" i="6" s="1"/>
  <c r="I71" i="6" s="1"/>
  <c r="F72" i="3"/>
  <c r="F120" i="3"/>
  <c r="E169" i="3"/>
  <c r="F161" i="3"/>
  <c r="K4" i="4"/>
  <c r="K5" i="4" s="1"/>
  <c r="K6" i="4" s="1"/>
  <c r="K7" i="4" s="1"/>
  <c r="K8" i="4" s="1"/>
  <c r="K9" i="4" s="1"/>
  <c r="K10" i="4" s="1"/>
  <c r="K11" i="4" s="1"/>
  <c r="K12" i="4" s="1"/>
  <c r="K13" i="4" s="1"/>
  <c r="K14" i="4" s="1"/>
  <c r="K15" i="4" s="1"/>
  <c r="K16" i="4" s="1"/>
  <c r="K17" i="4" s="1"/>
  <c r="K18" i="4" s="1"/>
  <c r="K19" i="4" s="1"/>
  <c r="K20" i="4" s="1"/>
  <c r="K21" i="4" s="1"/>
  <c r="K22" i="4" s="1"/>
  <c r="K23" i="4" s="1"/>
  <c r="K24" i="4" s="1"/>
  <c r="K25" i="4" s="1"/>
  <c r="K26" i="4" s="1"/>
  <c r="K27" i="4" s="1"/>
  <c r="K28" i="4" s="1"/>
  <c r="K29" i="4" s="1"/>
  <c r="K30" i="4" s="1"/>
  <c r="K31" i="4" s="1"/>
  <c r="K32" i="4" s="1"/>
  <c r="K33" i="4" s="1"/>
  <c r="K34" i="4" s="1"/>
  <c r="K35" i="4" s="1"/>
  <c r="K36" i="4" s="1"/>
  <c r="K37" i="4" s="1"/>
  <c r="K38" i="4" s="1"/>
  <c r="K39" i="4" s="1"/>
  <c r="K40" i="4" s="1"/>
  <c r="K41" i="4" s="1"/>
  <c r="K42" i="4" s="1"/>
  <c r="K43" i="4" s="1"/>
  <c r="K44" i="4" s="1"/>
  <c r="K45" i="4" s="1"/>
  <c r="K46" i="4" s="1"/>
  <c r="K47" i="4" s="1"/>
  <c r="K48" i="4" s="1"/>
  <c r="K49" i="4" s="1"/>
  <c r="K50" i="4" s="1"/>
  <c r="K51" i="4" s="1"/>
  <c r="K52" i="4" s="1"/>
  <c r="K53" i="4" s="1"/>
  <c r="K54" i="4" s="1"/>
  <c r="K55" i="4" s="1"/>
  <c r="K56" i="4" s="1"/>
  <c r="K57" i="4" s="1"/>
  <c r="K58" i="4" s="1"/>
  <c r="K59" i="4" s="1"/>
  <c r="K60" i="4" s="1"/>
  <c r="K61" i="4" s="1"/>
  <c r="K62" i="4" s="1"/>
  <c r="K63" i="4" s="1"/>
  <c r="K64" i="4" s="1"/>
  <c r="K65" i="4" s="1"/>
  <c r="K66" i="4" s="1"/>
  <c r="K67" i="4" s="1"/>
  <c r="K68" i="4" s="1"/>
  <c r="K69" i="4" s="1"/>
  <c r="K70" i="4" s="1"/>
  <c r="K71" i="4" s="1"/>
  <c r="K72" i="4" s="1"/>
  <c r="K73" i="4" s="1"/>
  <c r="K74" i="4" s="1"/>
  <c r="K75" i="4" s="1"/>
  <c r="K76" i="4" s="1"/>
  <c r="K77" i="4" s="1"/>
  <c r="K78" i="4" s="1"/>
  <c r="K79" i="4" s="1"/>
  <c r="K80" i="4" s="1"/>
  <c r="K81" i="4" s="1"/>
  <c r="K82" i="4" s="1"/>
  <c r="K83" i="4" s="1"/>
  <c r="K84" i="4" s="1"/>
  <c r="K85" i="4" s="1"/>
  <c r="K86" i="4" s="1"/>
  <c r="K87" i="4" s="1"/>
  <c r="K88" i="4" s="1"/>
  <c r="K89" i="4" s="1"/>
  <c r="K90" i="4" s="1"/>
  <c r="K91" i="4" s="1"/>
  <c r="K92" i="4" s="1"/>
  <c r="K93" i="4" s="1"/>
  <c r="K94" i="4" s="1"/>
  <c r="K95" i="4" s="1"/>
  <c r="K96" i="4" s="1"/>
  <c r="K97" i="4" s="1"/>
  <c r="K98" i="4" s="1"/>
  <c r="K99" i="4" s="1"/>
  <c r="K100" i="4" s="1"/>
  <c r="K101" i="4" s="1"/>
  <c r="K102" i="4" s="1"/>
  <c r="K103" i="4" s="1"/>
  <c r="K104" i="4" s="1"/>
  <c r="K105" i="4" s="1"/>
  <c r="K106" i="4" s="1"/>
  <c r="K107" i="4" s="1"/>
  <c r="K108" i="4" s="1"/>
  <c r="K109" i="4" s="1"/>
  <c r="K110" i="4" s="1"/>
  <c r="K111" i="4" s="1"/>
  <c r="K112" i="4" s="1"/>
  <c r="K113" i="4" s="1"/>
  <c r="K114" i="4" s="1"/>
  <c r="K115" i="4" s="1"/>
  <c r="K116" i="4" s="1"/>
  <c r="K117" i="4" s="1"/>
  <c r="K118" i="4" s="1"/>
  <c r="K119" i="4" s="1"/>
  <c r="K120" i="4" s="1"/>
  <c r="K121" i="4" s="1"/>
  <c r="K122" i="4" s="1"/>
  <c r="K123" i="4" s="1"/>
  <c r="K124" i="4" s="1"/>
  <c r="K125" i="4" s="1"/>
  <c r="K126" i="4" s="1"/>
  <c r="K127" i="4" s="1"/>
  <c r="K128" i="4" s="1"/>
  <c r="K129" i="4" s="1"/>
  <c r="K130" i="4" s="1"/>
  <c r="K131" i="4" s="1"/>
  <c r="K132" i="4" s="1"/>
  <c r="K133" i="4" s="1"/>
  <c r="K134" i="4" s="1"/>
  <c r="K135" i="4" s="1"/>
  <c r="K136" i="4" s="1"/>
  <c r="K137" i="4" s="1"/>
  <c r="K138" i="4" s="1"/>
  <c r="K139" i="4" s="1"/>
  <c r="K140" i="4" s="1"/>
  <c r="K141" i="4" s="1"/>
  <c r="K142" i="4" s="1"/>
  <c r="K143" i="4" s="1"/>
  <c r="K144" i="4" s="1"/>
  <c r="K145" i="4" s="1"/>
  <c r="K146" i="4" s="1"/>
  <c r="K147" i="4" s="1"/>
  <c r="K148" i="4" s="1"/>
  <c r="K149" i="4" s="1"/>
  <c r="K150" i="4" s="1"/>
  <c r="K151" i="4" s="1"/>
  <c r="K152" i="4" s="1"/>
  <c r="K153" i="4" s="1"/>
  <c r="K154" i="4" s="1"/>
  <c r="K155" i="4" s="1"/>
  <c r="K156" i="4" s="1"/>
  <c r="K157" i="4" s="1"/>
  <c r="K158" i="4" s="1"/>
  <c r="K159" i="4" s="1"/>
  <c r="K160" i="4" s="1"/>
  <c r="K161" i="4" s="1"/>
  <c r="K162" i="4" s="1"/>
  <c r="K163" i="4" s="1"/>
  <c r="K164" i="4" s="1"/>
  <c r="K165" i="4" s="1"/>
  <c r="K166" i="4" s="1"/>
  <c r="K167" i="4" s="1"/>
  <c r="K168" i="4" s="1"/>
  <c r="K169" i="4" s="1"/>
  <c r="K170" i="4" s="1"/>
  <c r="K171" i="4" s="1"/>
  <c r="K172" i="4" s="1"/>
  <c r="K173" i="4" s="1"/>
  <c r="K174" i="4" s="1"/>
  <c r="K175" i="4" s="1"/>
  <c r="K176" i="4" s="1"/>
  <c r="K177" i="4" s="1"/>
  <c r="K178" i="4" s="1"/>
  <c r="K179" i="4" s="1"/>
  <c r="K180" i="4" s="1"/>
  <c r="K181" i="4" s="1"/>
  <c r="K182" i="4" s="1"/>
  <c r="K183" i="4" s="1"/>
  <c r="R70" i="4"/>
  <c r="F70" i="5" s="1"/>
  <c r="E59" i="3"/>
  <c r="F97" i="3"/>
  <c r="F109" i="3"/>
  <c r="E181" i="3"/>
  <c r="E25" i="3"/>
  <c r="F37" i="3"/>
  <c r="F48" i="3"/>
  <c r="E107" i="3"/>
  <c r="F135" i="3"/>
  <c r="G135" i="3" s="1"/>
  <c r="D135" i="6" s="1"/>
  <c r="G135" i="6" s="1"/>
  <c r="I135" i="6" s="1"/>
  <c r="E148" i="3"/>
  <c r="E43" i="3"/>
  <c r="F82" i="3"/>
  <c r="E37" i="3"/>
  <c r="G37" i="3" s="1"/>
  <c r="D37" i="6" s="1"/>
  <c r="E84" i="3"/>
  <c r="F148" i="3"/>
  <c r="F174" i="3"/>
  <c r="F145" i="6"/>
  <c r="R89" i="4"/>
  <c r="F89" i="5" s="1"/>
  <c r="R106" i="4"/>
  <c r="F106" i="5" s="1"/>
  <c r="F182" i="6"/>
  <c r="R71" i="4"/>
  <c r="F71" i="5" s="1"/>
  <c r="R80" i="4"/>
  <c r="F80" i="5" s="1"/>
  <c r="E149" i="3"/>
  <c r="G149" i="3" s="1"/>
  <c r="D149" i="6" s="1"/>
  <c r="G149" i="6" s="1"/>
  <c r="I149" i="6" s="1"/>
  <c r="R130" i="4"/>
  <c r="F130" i="5" s="1"/>
  <c r="R150" i="4"/>
  <c r="F150" i="5" s="1"/>
  <c r="E164" i="3"/>
  <c r="E158" i="3"/>
  <c r="G158" i="3" s="1"/>
  <c r="D158" i="6" s="1"/>
  <c r="G158" i="6" s="1"/>
  <c r="I158" i="6" s="1"/>
  <c r="E167" i="3"/>
  <c r="E176" i="3"/>
  <c r="R114" i="4"/>
  <c r="F114" i="5" s="1"/>
  <c r="R50" i="4"/>
  <c r="F50" i="5" s="1"/>
  <c r="R56" i="4"/>
  <c r="F56" i="5" s="1"/>
  <c r="R66" i="4"/>
  <c r="F66" i="5" s="1"/>
  <c r="R84" i="4"/>
  <c r="F84" i="5" s="1"/>
  <c r="R122" i="4"/>
  <c r="F122" i="5" s="1"/>
  <c r="E139" i="3"/>
  <c r="E138" i="3"/>
  <c r="G138" i="3" s="1"/>
  <c r="D138" i="6" s="1"/>
  <c r="G138" i="6" s="1"/>
  <c r="I138" i="6" s="1"/>
  <c r="R96" i="4"/>
  <c r="F96" i="5" s="1"/>
  <c r="R115" i="4"/>
  <c r="F115" i="5" s="1"/>
  <c r="R103" i="4"/>
  <c r="F103" i="5" s="1"/>
  <c r="E121" i="3"/>
  <c r="G121" i="3" s="1"/>
  <c r="D121" i="6" s="1"/>
  <c r="G121" i="6" s="1"/>
  <c r="I121" i="6" s="1"/>
  <c r="R87" i="4"/>
  <c r="F87" i="5" s="1"/>
  <c r="E69" i="3"/>
  <c r="E104" i="3"/>
  <c r="G104" i="3" s="1"/>
  <c r="D104" i="6" s="1"/>
  <c r="G104" i="6" s="1"/>
  <c r="I104" i="6" s="1"/>
  <c r="E131" i="3"/>
  <c r="R75" i="4"/>
  <c r="F75" i="5" s="1"/>
  <c r="R139" i="4"/>
  <c r="F139" i="5" s="1"/>
  <c r="F84" i="6"/>
  <c r="F77" i="6"/>
  <c r="R54" i="4"/>
  <c r="F54" i="5" s="1"/>
  <c r="E123" i="3"/>
  <c r="E79" i="3"/>
  <c r="G79" i="3" s="1"/>
  <c r="D79" i="6" s="1"/>
  <c r="G79" i="6" s="1"/>
  <c r="I79" i="6" s="1"/>
  <c r="R49" i="4"/>
  <c r="F49" i="5" s="1"/>
  <c r="R81" i="4"/>
  <c r="F81" i="5" s="1"/>
  <c r="R118" i="4"/>
  <c r="F118" i="5" s="1"/>
  <c r="F167" i="6"/>
  <c r="F58" i="6"/>
  <c r="F65" i="6"/>
  <c r="R128" i="4"/>
  <c r="F128" i="5" s="1"/>
  <c r="R167" i="4"/>
  <c r="F167" i="5" s="1"/>
  <c r="F52" i="6"/>
  <c r="R94" i="4"/>
  <c r="F94" i="5" s="1"/>
  <c r="R109" i="4"/>
  <c r="F109" i="5" s="1"/>
  <c r="F141" i="6"/>
  <c r="R140" i="4"/>
  <c r="F140" i="5" s="1"/>
  <c r="R181" i="4"/>
  <c r="F181" i="5" s="1"/>
  <c r="R163" i="4"/>
  <c r="F163" i="5" s="1"/>
  <c r="R134" i="4"/>
  <c r="F134" i="5" s="1"/>
  <c r="R159" i="4"/>
  <c r="F159" i="5" s="1"/>
  <c r="R144" i="4"/>
  <c r="F144" i="5" s="1"/>
  <c r="R148" i="4"/>
  <c r="F148" i="5" s="1"/>
  <c r="R152" i="4"/>
  <c r="F152" i="5" s="1"/>
  <c r="E155" i="3"/>
  <c r="G155" i="3" s="1"/>
  <c r="D155" i="6" s="1"/>
  <c r="G155" i="6" s="1"/>
  <c r="I155" i="6" s="1"/>
  <c r="R126" i="4"/>
  <c r="F126" i="5" s="1"/>
  <c r="R131" i="4"/>
  <c r="F131" i="5" s="1"/>
  <c r="R160" i="4"/>
  <c r="F160" i="5" s="1"/>
  <c r="R145" i="4"/>
  <c r="F145" i="5" s="1"/>
  <c r="E147" i="3"/>
  <c r="F101" i="6"/>
  <c r="F116" i="6"/>
  <c r="F104" i="6"/>
  <c r="F125" i="6"/>
  <c r="F109" i="6"/>
  <c r="F93" i="6"/>
  <c r="F129" i="6"/>
  <c r="R161" i="4"/>
  <c r="F161" i="5" s="1"/>
  <c r="R146" i="4"/>
  <c r="F146" i="5" s="1"/>
  <c r="F55" i="6"/>
  <c r="F124" i="6"/>
  <c r="R174" i="4"/>
  <c r="F174" i="5" s="1"/>
  <c r="F113" i="6"/>
  <c r="F72" i="6"/>
  <c r="I16" i="7"/>
  <c r="I15" i="7"/>
  <c r="F68" i="6"/>
  <c r="F112" i="6"/>
  <c r="F54" i="6"/>
  <c r="F97" i="6"/>
  <c r="F153" i="6"/>
  <c r="F87" i="6"/>
  <c r="F148" i="6"/>
  <c r="R164" i="4"/>
  <c r="F164" i="5" s="1"/>
  <c r="F64" i="6"/>
  <c r="F133" i="6"/>
  <c r="F174" i="6"/>
  <c r="F154" i="6"/>
  <c r="F171" i="6"/>
  <c r="F142" i="6"/>
  <c r="F138" i="6"/>
  <c r="F159" i="6"/>
  <c r="F176" i="6"/>
  <c r="F180" i="6"/>
  <c r="F122" i="6"/>
  <c r="F130" i="6"/>
  <c r="F61" i="6"/>
  <c r="F147" i="6"/>
  <c r="F164" i="6"/>
  <c r="F90" i="6"/>
  <c r="F106" i="6"/>
  <c r="F135" i="6"/>
  <c r="F74" i="6"/>
  <c r="F160" i="6"/>
  <c r="F128" i="6"/>
  <c r="F157" i="6"/>
  <c r="F110" i="6"/>
  <c r="F132" i="6"/>
  <c r="F168" i="6"/>
  <c r="B17" i="8"/>
  <c r="F96" i="6"/>
  <c r="F131" i="6"/>
  <c r="F163" i="6"/>
  <c r="F70" i="6"/>
  <c r="F102" i="6"/>
  <c r="F134" i="6"/>
  <c r="F166" i="6"/>
  <c r="F73" i="6"/>
  <c r="F76" i="6"/>
  <c r="F108" i="6"/>
  <c r="F140" i="6"/>
  <c r="F172" i="6"/>
  <c r="F79" i="6"/>
  <c r="F111" i="6"/>
  <c r="F143" i="6"/>
  <c r="F175" i="6"/>
  <c r="F146" i="6"/>
  <c r="F178" i="6"/>
  <c r="L14" i="4" l="1"/>
  <c r="M14" i="4" s="1"/>
  <c r="D14" i="5" s="1"/>
  <c r="J15" i="4"/>
  <c r="F5" i="4"/>
  <c r="D6" i="4"/>
  <c r="G83" i="3"/>
  <c r="D83" i="6" s="1"/>
  <c r="G83" i="6" s="1"/>
  <c r="I83" i="6" s="1"/>
  <c r="G31" i="3"/>
  <c r="D31" i="6" s="1"/>
  <c r="G36" i="3"/>
  <c r="D36" i="6" s="1"/>
  <c r="G132" i="3"/>
  <c r="D132" i="6" s="1"/>
  <c r="G132" i="6" s="1"/>
  <c r="I132" i="6" s="1"/>
  <c r="G174" i="3"/>
  <c r="D174" i="6" s="1"/>
  <c r="G174" i="6" s="1"/>
  <c r="I174" i="6" s="1"/>
  <c r="F4" i="4"/>
  <c r="G82" i="3"/>
  <c r="D82" i="6" s="1"/>
  <c r="G82" i="6" s="1"/>
  <c r="I82" i="6" s="1"/>
  <c r="G67" i="3"/>
  <c r="D67" i="6" s="1"/>
  <c r="G67" i="6" s="1"/>
  <c r="I67" i="6" s="1"/>
  <c r="G165" i="3"/>
  <c r="D165" i="6" s="1"/>
  <c r="G165" i="6" s="1"/>
  <c r="I165" i="6" s="1"/>
  <c r="G43" i="3"/>
  <c r="D43" i="6" s="1"/>
  <c r="G148" i="3"/>
  <c r="D148" i="6" s="1"/>
  <c r="G148" i="6" s="1"/>
  <c r="I148" i="6" s="1"/>
  <c r="G111" i="3"/>
  <c r="D111" i="6" s="1"/>
  <c r="G111" i="6" s="1"/>
  <c r="I111" i="6" s="1"/>
  <c r="G75" i="3"/>
  <c r="D75" i="6" s="1"/>
  <c r="G75" i="6" s="1"/>
  <c r="I75" i="6" s="1"/>
  <c r="G73" i="3"/>
  <c r="D73" i="6" s="1"/>
  <c r="G73" i="6" s="1"/>
  <c r="I73" i="6" s="1"/>
  <c r="G171" i="3"/>
  <c r="D171" i="6" s="1"/>
  <c r="G171" i="6" s="1"/>
  <c r="I171" i="6" s="1"/>
  <c r="G169" i="3"/>
  <c r="D169" i="6" s="1"/>
  <c r="G169" i="6" s="1"/>
  <c r="I169" i="6" s="1"/>
  <c r="G62" i="3"/>
  <c r="D62" i="6" s="1"/>
  <c r="G62" i="6" s="1"/>
  <c r="I62" i="6" s="1"/>
  <c r="G114" i="3"/>
  <c r="D114" i="6" s="1"/>
  <c r="G114" i="6" s="1"/>
  <c r="I114" i="6" s="1"/>
  <c r="G90" i="3"/>
  <c r="D90" i="6" s="1"/>
  <c r="G90" i="6" s="1"/>
  <c r="I90" i="6" s="1"/>
  <c r="G180" i="3"/>
  <c r="D180" i="6" s="1"/>
  <c r="G180" i="6" s="1"/>
  <c r="I180" i="6" s="1"/>
  <c r="G45" i="3"/>
  <c r="D45" i="6" s="1"/>
  <c r="G160" i="3"/>
  <c r="D160" i="6" s="1"/>
  <c r="G160" i="6" s="1"/>
  <c r="I160" i="6" s="1"/>
  <c r="G119" i="3"/>
  <c r="D119" i="6" s="1"/>
  <c r="G119" i="6" s="1"/>
  <c r="I119" i="6" s="1"/>
  <c r="G141" i="3"/>
  <c r="D141" i="6" s="1"/>
  <c r="G141" i="6" s="1"/>
  <c r="I141" i="6" s="1"/>
  <c r="G18" i="3"/>
  <c r="D18" i="6" s="1"/>
  <c r="G54" i="3"/>
  <c r="D54" i="6" s="1"/>
  <c r="G54" i="6" s="1"/>
  <c r="I54" i="6" s="1"/>
  <c r="G142" i="3"/>
  <c r="D142" i="6" s="1"/>
  <c r="G142" i="6" s="1"/>
  <c r="I142" i="6" s="1"/>
  <c r="G35" i="3"/>
  <c r="D35" i="6" s="1"/>
  <c r="G92" i="3"/>
  <c r="D92" i="6" s="1"/>
  <c r="G92" i="6" s="1"/>
  <c r="I92" i="6" s="1"/>
  <c r="G15" i="3"/>
  <c r="D15" i="6" s="1"/>
  <c r="G46" i="3"/>
  <c r="D46" i="6" s="1"/>
  <c r="G89" i="3"/>
  <c r="D89" i="6" s="1"/>
  <c r="G89" i="6" s="1"/>
  <c r="I89" i="6" s="1"/>
  <c r="G93" i="3"/>
  <c r="D93" i="6" s="1"/>
  <c r="G93" i="6" s="1"/>
  <c r="I93" i="6" s="1"/>
  <c r="G162" i="3"/>
  <c r="D162" i="6" s="1"/>
  <c r="G162" i="6" s="1"/>
  <c r="I162" i="6" s="1"/>
  <c r="G47" i="3"/>
  <c r="D47" i="6" s="1"/>
  <c r="G84" i="3"/>
  <c r="D84" i="6" s="1"/>
  <c r="G84" i="6" s="1"/>
  <c r="I84" i="6" s="1"/>
  <c r="G108" i="3"/>
  <c r="D108" i="6" s="1"/>
  <c r="G108" i="6" s="1"/>
  <c r="I108" i="6" s="1"/>
  <c r="G157" i="3"/>
  <c r="D157" i="6" s="1"/>
  <c r="G157" i="6" s="1"/>
  <c r="I157" i="6" s="1"/>
  <c r="G167" i="3"/>
  <c r="D167" i="6" s="1"/>
  <c r="G167" i="6" s="1"/>
  <c r="I167" i="6" s="1"/>
  <c r="G139" i="3"/>
  <c r="D139" i="6" s="1"/>
  <c r="G139" i="6" s="1"/>
  <c r="I139" i="6" s="1"/>
  <c r="G116" i="3"/>
  <c r="D116" i="6" s="1"/>
  <c r="G116" i="6" s="1"/>
  <c r="I116" i="6" s="1"/>
  <c r="G91" i="3"/>
  <c r="D91" i="6" s="1"/>
  <c r="G91" i="6" s="1"/>
  <c r="I91" i="6" s="1"/>
  <c r="G172" i="3"/>
  <c r="D172" i="6" s="1"/>
  <c r="G172" i="6" s="1"/>
  <c r="I172" i="6" s="1"/>
  <c r="G53" i="3"/>
  <c r="D53" i="6" s="1"/>
  <c r="G53" i="6" s="1"/>
  <c r="I53" i="6" s="1"/>
  <c r="G109" i="3"/>
  <c r="D109" i="6" s="1"/>
  <c r="G109" i="6" s="1"/>
  <c r="I109" i="6" s="1"/>
  <c r="G122" i="3"/>
  <c r="D122" i="6" s="1"/>
  <c r="G122" i="6" s="1"/>
  <c r="I122" i="6" s="1"/>
  <c r="G176" i="3"/>
  <c r="D176" i="6" s="1"/>
  <c r="G176" i="6" s="1"/>
  <c r="I176" i="6" s="1"/>
  <c r="G22" i="3"/>
  <c r="D22" i="6" s="1"/>
  <c r="G98" i="3"/>
  <c r="D98" i="6" s="1"/>
  <c r="G98" i="6" s="1"/>
  <c r="I98" i="6" s="1"/>
  <c r="G173" i="3"/>
  <c r="D173" i="6" s="1"/>
  <c r="G173" i="6" s="1"/>
  <c r="I173" i="6" s="1"/>
  <c r="G20" i="3"/>
  <c r="D20" i="6" s="1"/>
  <c r="G88" i="3"/>
  <c r="D88" i="6" s="1"/>
  <c r="G88" i="6" s="1"/>
  <c r="I88" i="6" s="1"/>
  <c r="G147" i="3"/>
  <c r="D147" i="6" s="1"/>
  <c r="G147" i="6" s="1"/>
  <c r="I147" i="6" s="1"/>
  <c r="G25" i="3"/>
  <c r="D25" i="6" s="1"/>
  <c r="G86" i="3"/>
  <c r="D86" i="6" s="1"/>
  <c r="G86" i="6" s="1"/>
  <c r="I86" i="6" s="1"/>
  <c r="G156" i="3"/>
  <c r="D156" i="6" s="1"/>
  <c r="G156" i="6" s="1"/>
  <c r="I156" i="6" s="1"/>
  <c r="G164" i="3"/>
  <c r="D164" i="6" s="1"/>
  <c r="G164" i="6" s="1"/>
  <c r="I164" i="6" s="1"/>
  <c r="G30" i="3"/>
  <c r="D30" i="6" s="1"/>
  <c r="G94" i="3"/>
  <c r="D94" i="6" s="1"/>
  <c r="G94" i="6" s="1"/>
  <c r="I94" i="6" s="1"/>
  <c r="G102" i="3"/>
  <c r="D102" i="6" s="1"/>
  <c r="G102" i="6" s="1"/>
  <c r="I102" i="6" s="1"/>
  <c r="G60" i="3"/>
  <c r="D60" i="6" s="1"/>
  <c r="G60" i="6" s="1"/>
  <c r="I60" i="6" s="1"/>
  <c r="G153" i="3"/>
  <c r="D153" i="6" s="1"/>
  <c r="G153" i="6" s="1"/>
  <c r="I153" i="6" s="1"/>
  <c r="G69" i="3"/>
  <c r="D69" i="6" s="1"/>
  <c r="G69" i="6" s="1"/>
  <c r="I69" i="6" s="1"/>
  <c r="G38" i="3"/>
  <c r="D38" i="6" s="1"/>
  <c r="G170" i="3"/>
  <c r="D170" i="6" s="1"/>
  <c r="G170" i="6" s="1"/>
  <c r="I170" i="6" s="1"/>
  <c r="G95" i="3"/>
  <c r="D95" i="6" s="1"/>
  <c r="G95" i="6" s="1"/>
  <c r="I95" i="6" s="1"/>
  <c r="G145" i="3"/>
  <c r="D145" i="6" s="1"/>
  <c r="G145" i="6" s="1"/>
  <c r="I145" i="6" s="1"/>
  <c r="G39" i="3"/>
  <c r="D39" i="6" s="1"/>
  <c r="G181" i="3"/>
  <c r="D181" i="6" s="1"/>
  <c r="G181" i="6" s="1"/>
  <c r="I181" i="6" s="1"/>
  <c r="G96" i="3"/>
  <c r="D96" i="6" s="1"/>
  <c r="G96" i="6" s="1"/>
  <c r="I96" i="6" s="1"/>
  <c r="G97" i="3"/>
  <c r="D97" i="6" s="1"/>
  <c r="G97" i="6" s="1"/>
  <c r="I97" i="6" s="1"/>
  <c r="G144" i="3"/>
  <c r="D144" i="6" s="1"/>
  <c r="G144" i="6" s="1"/>
  <c r="I144" i="6" s="1"/>
  <c r="P14" i="4"/>
  <c r="Q14" i="4" s="1"/>
  <c r="E14" i="5" s="1"/>
  <c r="G44" i="3"/>
  <c r="D44" i="6" s="1"/>
  <c r="G107" i="3"/>
  <c r="D107" i="6" s="1"/>
  <c r="G107" i="6" s="1"/>
  <c r="I107" i="6" s="1"/>
  <c r="G51" i="3"/>
  <c r="D51" i="6" s="1"/>
  <c r="G51" i="6" s="1"/>
  <c r="I51" i="6" s="1"/>
  <c r="G168" i="3"/>
  <c r="D168" i="6" s="1"/>
  <c r="G168" i="6" s="1"/>
  <c r="I168" i="6" s="1"/>
  <c r="G123" i="3"/>
  <c r="D123" i="6" s="1"/>
  <c r="G123" i="6" s="1"/>
  <c r="I123" i="6" s="1"/>
  <c r="G150" i="3"/>
  <c r="D150" i="6" s="1"/>
  <c r="G150" i="6" s="1"/>
  <c r="I150" i="6" s="1"/>
  <c r="G61" i="3"/>
  <c r="D61" i="6" s="1"/>
  <c r="G61" i="6" s="1"/>
  <c r="I61" i="6" s="1"/>
  <c r="G74" i="3"/>
  <c r="D74" i="6" s="1"/>
  <c r="G74" i="6" s="1"/>
  <c r="I74" i="6" s="1"/>
  <c r="G32" i="3"/>
  <c r="D32" i="6" s="1"/>
  <c r="O16" i="4"/>
  <c r="G80" i="3"/>
  <c r="D80" i="6" s="1"/>
  <c r="G80" i="6" s="1"/>
  <c r="I80" i="6" s="1"/>
  <c r="G131" i="3"/>
  <c r="D131" i="6" s="1"/>
  <c r="G131" i="6" s="1"/>
  <c r="I131" i="6" s="1"/>
  <c r="G17" i="3"/>
  <c r="D17" i="6" s="1"/>
  <c r="G57" i="3"/>
  <c r="D57" i="6" s="1"/>
  <c r="G57" i="6" s="1"/>
  <c r="I57" i="6" s="1"/>
  <c r="G48" i="3"/>
  <c r="D48" i="6" s="1"/>
  <c r="B19" i="8"/>
  <c r="B20" i="8" s="1"/>
  <c r="B21" i="8" s="1"/>
  <c r="B18" i="8"/>
  <c r="G59" i="3"/>
  <c r="D59" i="6" s="1"/>
  <c r="G59" i="6" s="1"/>
  <c r="I59" i="6" s="1"/>
  <c r="G34" i="3"/>
  <c r="D34" i="6" s="1"/>
  <c r="G81" i="3"/>
  <c r="D81" i="6" s="1"/>
  <c r="G81" i="6" s="1"/>
  <c r="I81" i="6" s="1"/>
  <c r="G161" i="3"/>
  <c r="D161" i="6" s="1"/>
  <c r="G161" i="6" s="1"/>
  <c r="I161" i="6" s="1"/>
  <c r="G146" i="3"/>
  <c r="D146" i="6" s="1"/>
  <c r="G146" i="6" s="1"/>
  <c r="I146" i="6" s="1"/>
  <c r="G41" i="3"/>
  <c r="D41" i="6" s="1"/>
  <c r="C21" i="8" l="1"/>
  <c r="D21" i="8"/>
  <c r="F6" i="4"/>
  <c r="D7" i="4"/>
  <c r="O17" i="4"/>
  <c r="P16" i="4"/>
  <c r="Q16" i="4" s="1"/>
  <c r="E16" i="5" s="1"/>
  <c r="P15" i="4"/>
  <c r="Q15" i="4" s="1"/>
  <c r="E15" i="5" s="1"/>
  <c r="J16" i="4"/>
  <c r="L15" i="4"/>
  <c r="M15" i="4" s="1"/>
  <c r="D15" i="5" s="1"/>
  <c r="F7" i="4" l="1"/>
  <c r="D8" i="4"/>
  <c r="P17" i="4"/>
  <c r="Q17" i="4" s="1"/>
  <c r="E17" i="5" s="1"/>
  <c r="O18" i="4"/>
  <c r="L16" i="4"/>
  <c r="M16" i="4" s="1"/>
  <c r="D16" i="5" s="1"/>
  <c r="J17" i="4"/>
  <c r="J18" i="4" l="1"/>
  <c r="L17" i="4"/>
  <c r="M17" i="4" s="1"/>
  <c r="D17" i="5" s="1"/>
  <c r="O19" i="4"/>
  <c r="P18" i="4"/>
  <c r="Q18" i="4" s="1"/>
  <c r="E18" i="5" s="1"/>
  <c r="F8" i="4"/>
  <c r="D9" i="4"/>
  <c r="F9" i="4" l="1"/>
  <c r="D10" i="4"/>
  <c r="P19" i="4"/>
  <c r="Q19" i="4" s="1"/>
  <c r="E19" i="5" s="1"/>
  <c r="O20" i="4"/>
  <c r="J19" i="4"/>
  <c r="L18" i="4"/>
  <c r="M18" i="4" s="1"/>
  <c r="D18" i="5" s="1"/>
  <c r="P20" i="4" l="1"/>
  <c r="Q20" i="4" s="1"/>
  <c r="E20" i="5" s="1"/>
  <c r="O21" i="4"/>
  <c r="L19" i="4"/>
  <c r="M19" i="4" s="1"/>
  <c r="D19" i="5" s="1"/>
  <c r="J20" i="4"/>
  <c r="F10" i="4"/>
  <c r="D11" i="4"/>
  <c r="F11" i="4" l="1"/>
  <c r="D12" i="4"/>
  <c r="L20" i="4"/>
  <c r="M20" i="4" s="1"/>
  <c r="D20" i="5" s="1"/>
  <c r="J21" i="4"/>
  <c r="O22" i="4"/>
  <c r="P21" i="4"/>
  <c r="Q21" i="4" s="1"/>
  <c r="E21" i="5" s="1"/>
  <c r="P22" i="4" l="1"/>
  <c r="Q22" i="4" s="1"/>
  <c r="E22" i="5" s="1"/>
  <c r="O23" i="4"/>
  <c r="L21" i="4"/>
  <c r="M21" i="4" s="1"/>
  <c r="D21" i="5" s="1"/>
  <c r="J22" i="4"/>
  <c r="F12" i="4"/>
  <c r="D13" i="4"/>
  <c r="J23" i="4" l="1"/>
  <c r="L22" i="4"/>
  <c r="M22" i="4" s="1"/>
  <c r="D22" i="5" s="1"/>
  <c r="F13" i="4"/>
  <c r="D14" i="4"/>
  <c r="O24" i="4"/>
  <c r="P23" i="4"/>
  <c r="Q23" i="4" s="1"/>
  <c r="E23" i="5" s="1"/>
  <c r="P24" i="4" l="1"/>
  <c r="Q24" i="4" s="1"/>
  <c r="E24" i="5" s="1"/>
  <c r="O25" i="4"/>
  <c r="F14" i="4"/>
  <c r="G14" i="4" s="1"/>
  <c r="H14" i="4" s="1"/>
  <c r="I14" i="4" s="1"/>
  <c r="C14" i="5" s="1"/>
  <c r="D15" i="4"/>
  <c r="L23" i="4"/>
  <c r="M23" i="4" s="1"/>
  <c r="D23" i="5" s="1"/>
  <c r="J24" i="4"/>
  <c r="L24" i="4" l="1"/>
  <c r="M24" i="4" s="1"/>
  <c r="D24" i="5" s="1"/>
  <c r="J25" i="4"/>
  <c r="D16" i="4"/>
  <c r="F15" i="4"/>
  <c r="G15" i="4" s="1"/>
  <c r="H15" i="4" s="1"/>
  <c r="I15" i="4" s="1"/>
  <c r="C15" i="5" s="1"/>
  <c r="O26" i="4"/>
  <c r="P25" i="4"/>
  <c r="Q25" i="4" s="1"/>
  <c r="E25" i="5" s="1"/>
  <c r="O27" i="4" l="1"/>
  <c r="P26" i="4"/>
  <c r="Q26" i="4" s="1"/>
  <c r="E26" i="5" s="1"/>
  <c r="F16" i="4"/>
  <c r="G16" i="4" s="1"/>
  <c r="H16" i="4" s="1"/>
  <c r="I16" i="4" s="1"/>
  <c r="C16" i="5" s="1"/>
  <c r="D17" i="4"/>
  <c r="L25" i="4"/>
  <c r="M25" i="4" s="1"/>
  <c r="D25" i="5" s="1"/>
  <c r="J26" i="4"/>
  <c r="L26" i="4" l="1"/>
  <c r="M26" i="4" s="1"/>
  <c r="D26" i="5" s="1"/>
  <c r="J27" i="4"/>
  <c r="D18" i="4"/>
  <c r="F17" i="4"/>
  <c r="G17" i="4" s="1"/>
  <c r="H17" i="4" s="1"/>
  <c r="I17" i="4" s="1"/>
  <c r="C17" i="5" s="1"/>
  <c r="O28" i="4"/>
  <c r="P27" i="4"/>
  <c r="Q27" i="4" s="1"/>
  <c r="E27" i="5" s="1"/>
  <c r="F18" i="4" l="1"/>
  <c r="G18" i="4" s="1"/>
  <c r="H18" i="4" s="1"/>
  <c r="I18" i="4" s="1"/>
  <c r="C18" i="5" s="1"/>
  <c r="D19" i="4"/>
  <c r="P28" i="4"/>
  <c r="Q28" i="4" s="1"/>
  <c r="E28" i="5" s="1"/>
  <c r="O29" i="4"/>
  <c r="L27" i="4"/>
  <c r="M27" i="4" s="1"/>
  <c r="D27" i="5" s="1"/>
  <c r="J28" i="4"/>
  <c r="D20" i="4" l="1"/>
  <c r="F19" i="4"/>
  <c r="G19" i="4" s="1"/>
  <c r="H19" i="4" s="1"/>
  <c r="I19" i="4" s="1"/>
  <c r="C19" i="5" s="1"/>
  <c r="L28" i="4"/>
  <c r="M28" i="4" s="1"/>
  <c r="D28" i="5" s="1"/>
  <c r="J29" i="4"/>
  <c r="O30" i="4"/>
  <c r="P29" i="4"/>
  <c r="Q29" i="4" s="1"/>
  <c r="E29" i="5" s="1"/>
  <c r="L29" i="4" l="1"/>
  <c r="M29" i="4" s="1"/>
  <c r="D29" i="5" s="1"/>
  <c r="J30" i="4"/>
  <c r="P30" i="4"/>
  <c r="Q30" i="4" s="1"/>
  <c r="E30" i="5" s="1"/>
  <c r="O31" i="4"/>
  <c r="F20" i="4"/>
  <c r="G20" i="4" s="1"/>
  <c r="H20" i="4" s="1"/>
  <c r="I20" i="4" s="1"/>
  <c r="C20" i="5" s="1"/>
  <c r="D21" i="4"/>
  <c r="O32" i="4" l="1"/>
  <c r="P31" i="4"/>
  <c r="Q31" i="4" s="1"/>
  <c r="E31" i="5" s="1"/>
  <c r="F21" i="4"/>
  <c r="G21" i="4" s="1"/>
  <c r="H21" i="4" s="1"/>
  <c r="I21" i="4" s="1"/>
  <c r="C21" i="5" s="1"/>
  <c r="D22" i="4"/>
  <c r="L30" i="4"/>
  <c r="M30" i="4" s="1"/>
  <c r="D30" i="5" s="1"/>
  <c r="J31" i="4"/>
  <c r="L31" i="4" l="1"/>
  <c r="M31" i="4" s="1"/>
  <c r="D31" i="5" s="1"/>
  <c r="J32" i="4"/>
  <c r="F22" i="4"/>
  <c r="G22" i="4" s="1"/>
  <c r="H22" i="4" s="1"/>
  <c r="I22" i="4" s="1"/>
  <c r="C22" i="5" s="1"/>
  <c r="D23" i="4"/>
  <c r="P32" i="4"/>
  <c r="Q32" i="4" s="1"/>
  <c r="E32" i="5" s="1"/>
  <c r="O33" i="4"/>
  <c r="O34" i="4" l="1"/>
  <c r="P33" i="4"/>
  <c r="Q33" i="4" s="1"/>
  <c r="E33" i="5" s="1"/>
  <c r="F23" i="4"/>
  <c r="G23" i="4" s="1"/>
  <c r="H23" i="4" s="1"/>
  <c r="I23" i="4" s="1"/>
  <c r="C23" i="5" s="1"/>
  <c r="D24" i="4"/>
  <c r="L32" i="4"/>
  <c r="M32" i="4" s="1"/>
  <c r="D32" i="5" s="1"/>
  <c r="J33" i="4"/>
  <c r="L33" i="4" l="1"/>
  <c r="M33" i="4" s="1"/>
  <c r="D33" i="5" s="1"/>
  <c r="J34" i="4"/>
  <c r="F24" i="4"/>
  <c r="G24" i="4" s="1"/>
  <c r="H24" i="4" s="1"/>
  <c r="I24" i="4" s="1"/>
  <c r="C24" i="5" s="1"/>
  <c r="D25" i="4"/>
  <c r="P34" i="4"/>
  <c r="Q34" i="4" s="1"/>
  <c r="E34" i="5" s="1"/>
  <c r="O35" i="4"/>
  <c r="P35" i="4" l="1"/>
  <c r="Q35" i="4" s="1"/>
  <c r="E35" i="5" s="1"/>
  <c r="O36" i="4"/>
  <c r="F25" i="4"/>
  <c r="G25" i="4" s="1"/>
  <c r="H25" i="4" s="1"/>
  <c r="I25" i="4" s="1"/>
  <c r="C25" i="5" s="1"/>
  <c r="D26" i="4"/>
  <c r="L34" i="4"/>
  <c r="M34" i="4" s="1"/>
  <c r="D34" i="5" s="1"/>
  <c r="J35" i="4"/>
  <c r="O37" i="4" l="1"/>
  <c r="P36" i="4"/>
  <c r="Q36" i="4" s="1"/>
  <c r="E36" i="5" s="1"/>
  <c r="L35" i="4"/>
  <c r="M35" i="4" s="1"/>
  <c r="D35" i="5" s="1"/>
  <c r="J36" i="4"/>
  <c r="F26" i="4"/>
  <c r="G26" i="4" s="1"/>
  <c r="H26" i="4" s="1"/>
  <c r="I26" i="4" s="1"/>
  <c r="C26" i="5" s="1"/>
  <c r="D27" i="4"/>
  <c r="F27" i="4" l="1"/>
  <c r="G27" i="4" s="1"/>
  <c r="H27" i="4" s="1"/>
  <c r="I27" i="4" s="1"/>
  <c r="C27" i="5" s="1"/>
  <c r="D28" i="4"/>
  <c r="L36" i="4"/>
  <c r="M36" i="4" s="1"/>
  <c r="D36" i="5" s="1"/>
  <c r="J37" i="4"/>
  <c r="P37" i="4"/>
  <c r="Q37" i="4" s="1"/>
  <c r="E37" i="5" s="1"/>
  <c r="O38" i="4"/>
  <c r="O39" i="4" l="1"/>
  <c r="P38" i="4"/>
  <c r="Q38" i="4" s="1"/>
  <c r="E38" i="5" s="1"/>
  <c r="L37" i="4"/>
  <c r="M37" i="4" s="1"/>
  <c r="D37" i="5" s="1"/>
  <c r="J38" i="4"/>
  <c r="F28" i="4"/>
  <c r="G28" i="4" s="1"/>
  <c r="H28" i="4" s="1"/>
  <c r="I28" i="4" s="1"/>
  <c r="C28" i="5" s="1"/>
  <c r="D29" i="4"/>
  <c r="F29" i="4" l="1"/>
  <c r="G29" i="4" s="1"/>
  <c r="H29" i="4" s="1"/>
  <c r="I29" i="4" s="1"/>
  <c r="C29" i="5" s="1"/>
  <c r="D30" i="4"/>
  <c r="L38" i="4"/>
  <c r="M38" i="4" s="1"/>
  <c r="D38" i="5" s="1"/>
  <c r="J39" i="4"/>
  <c r="O40" i="4"/>
  <c r="P39" i="4"/>
  <c r="Q39" i="4" s="1"/>
  <c r="E39" i="5" s="1"/>
  <c r="P40" i="4" l="1"/>
  <c r="Q40" i="4" s="1"/>
  <c r="E40" i="5" s="1"/>
  <c r="O41" i="4"/>
  <c r="F30" i="4"/>
  <c r="G30" i="4" s="1"/>
  <c r="H30" i="4" s="1"/>
  <c r="I30" i="4" s="1"/>
  <c r="C30" i="5" s="1"/>
  <c r="D31" i="4"/>
  <c r="L39" i="4"/>
  <c r="M39" i="4" s="1"/>
  <c r="D39" i="5" s="1"/>
  <c r="J40" i="4"/>
  <c r="F31" i="4" l="1"/>
  <c r="G31" i="4" s="1"/>
  <c r="H31" i="4" s="1"/>
  <c r="I31" i="4" s="1"/>
  <c r="C31" i="5" s="1"/>
  <c r="D32" i="4"/>
  <c r="P41" i="4"/>
  <c r="Q41" i="4" s="1"/>
  <c r="E41" i="5" s="1"/>
  <c r="O42" i="4"/>
  <c r="L40" i="4"/>
  <c r="M40" i="4" s="1"/>
  <c r="D40" i="5" s="1"/>
  <c r="J41" i="4"/>
  <c r="O43" i="4" l="1"/>
  <c r="P42" i="4"/>
  <c r="Q42" i="4" s="1"/>
  <c r="E42" i="5" s="1"/>
  <c r="L41" i="4"/>
  <c r="M41" i="4" s="1"/>
  <c r="D41" i="5" s="1"/>
  <c r="J42" i="4"/>
  <c r="F32" i="4"/>
  <c r="G32" i="4" s="1"/>
  <c r="H32" i="4" s="1"/>
  <c r="I32" i="4" s="1"/>
  <c r="C32" i="5" s="1"/>
  <c r="D33" i="4"/>
  <c r="P43" i="4" l="1"/>
  <c r="Q43" i="4" s="1"/>
  <c r="E43" i="5" s="1"/>
  <c r="O44" i="4"/>
  <c r="F33" i="4"/>
  <c r="G33" i="4" s="1"/>
  <c r="H33" i="4" s="1"/>
  <c r="I33" i="4" s="1"/>
  <c r="C33" i="5" s="1"/>
  <c r="D34" i="4"/>
  <c r="L42" i="4"/>
  <c r="M42" i="4" s="1"/>
  <c r="D42" i="5" s="1"/>
  <c r="J43" i="4"/>
  <c r="L43" i="4" l="1"/>
  <c r="M43" i="4" s="1"/>
  <c r="D43" i="5" s="1"/>
  <c r="J44" i="4"/>
  <c r="D35" i="4"/>
  <c r="F34" i="4"/>
  <c r="G34" i="4" s="1"/>
  <c r="H34" i="4" s="1"/>
  <c r="I34" i="4" s="1"/>
  <c r="C34" i="5" s="1"/>
  <c r="O45" i="4"/>
  <c r="P44" i="4"/>
  <c r="Q44" i="4" s="1"/>
  <c r="E44" i="5" s="1"/>
  <c r="F35" i="4" l="1"/>
  <c r="G35" i="4" s="1"/>
  <c r="H35" i="4" s="1"/>
  <c r="I35" i="4" s="1"/>
  <c r="C35" i="5" s="1"/>
  <c r="D36" i="4"/>
  <c r="P45" i="4"/>
  <c r="Q45" i="4" s="1"/>
  <c r="E45" i="5" s="1"/>
  <c r="O46" i="4"/>
  <c r="L44" i="4"/>
  <c r="M44" i="4" s="1"/>
  <c r="D44" i="5" s="1"/>
  <c r="J45" i="4"/>
  <c r="O47" i="4" l="1"/>
  <c r="P46" i="4"/>
  <c r="Q46" i="4" s="1"/>
  <c r="E46" i="5" s="1"/>
  <c r="F36" i="4"/>
  <c r="G36" i="4" s="1"/>
  <c r="H36" i="4" s="1"/>
  <c r="I36" i="4" s="1"/>
  <c r="C36" i="5" s="1"/>
  <c r="D37" i="4"/>
  <c r="L45" i="4"/>
  <c r="M45" i="4" s="1"/>
  <c r="D45" i="5" s="1"/>
  <c r="J46" i="4"/>
  <c r="L46" i="4" l="1"/>
  <c r="M46" i="4" s="1"/>
  <c r="D46" i="5" s="1"/>
  <c r="J47" i="4"/>
  <c r="D38" i="4"/>
  <c r="F37" i="4"/>
  <c r="G37" i="4" s="1"/>
  <c r="H37" i="4" s="1"/>
  <c r="I37" i="4" s="1"/>
  <c r="C37" i="5" s="1"/>
  <c r="P47" i="4"/>
  <c r="Q47" i="4" s="1"/>
  <c r="E47" i="5" s="1"/>
  <c r="O48" i="4"/>
  <c r="P48" i="4" l="1"/>
  <c r="Q48" i="4" s="1"/>
  <c r="E48" i="5" s="1"/>
  <c r="O49" i="4"/>
  <c r="L47" i="4"/>
  <c r="M47" i="4" s="1"/>
  <c r="D47" i="5" s="1"/>
  <c r="J48" i="4"/>
  <c r="F38" i="4"/>
  <c r="G38" i="4" s="1"/>
  <c r="H38" i="4" s="1"/>
  <c r="I38" i="4" s="1"/>
  <c r="C38" i="5" s="1"/>
  <c r="D39" i="4"/>
  <c r="O50" i="4" l="1"/>
  <c r="P49" i="4"/>
  <c r="Q49" i="4" s="1"/>
  <c r="E49" i="5" s="1"/>
  <c r="F39" i="4"/>
  <c r="G39" i="4" s="1"/>
  <c r="H39" i="4" s="1"/>
  <c r="I39" i="4" s="1"/>
  <c r="C39" i="5" s="1"/>
  <c r="D40" i="4"/>
  <c r="L48" i="4"/>
  <c r="M48" i="4" s="1"/>
  <c r="D48" i="5" s="1"/>
  <c r="J49" i="4"/>
  <c r="L49" i="4" l="1"/>
  <c r="M49" i="4" s="1"/>
  <c r="D49" i="5" s="1"/>
  <c r="J50" i="4"/>
  <c r="F40" i="4"/>
  <c r="G40" i="4" s="1"/>
  <c r="H40" i="4" s="1"/>
  <c r="I40" i="4" s="1"/>
  <c r="C40" i="5" s="1"/>
  <c r="D41" i="4"/>
  <c r="P50" i="4"/>
  <c r="Q50" i="4" s="1"/>
  <c r="E50" i="5" s="1"/>
  <c r="O51" i="4"/>
  <c r="P51" i="4" l="1"/>
  <c r="Q51" i="4" s="1"/>
  <c r="E51" i="5" s="1"/>
  <c r="O52" i="4"/>
  <c r="D42" i="4"/>
  <c r="F41" i="4"/>
  <c r="G41" i="4" s="1"/>
  <c r="H41" i="4" s="1"/>
  <c r="I41" i="4" s="1"/>
  <c r="C41" i="5" s="1"/>
  <c r="L50" i="4"/>
  <c r="M50" i="4" s="1"/>
  <c r="D50" i="5" s="1"/>
  <c r="J51" i="4"/>
  <c r="L51" i="4" l="1"/>
  <c r="M51" i="4" s="1"/>
  <c r="D51" i="5" s="1"/>
  <c r="J52" i="4"/>
  <c r="D43" i="4"/>
  <c r="F42" i="4"/>
  <c r="G42" i="4" s="1"/>
  <c r="H42" i="4" s="1"/>
  <c r="I42" i="4" s="1"/>
  <c r="C42" i="5" s="1"/>
  <c r="O53" i="4"/>
  <c r="P52" i="4"/>
  <c r="Q52" i="4" s="1"/>
  <c r="E52" i="5" s="1"/>
  <c r="P53" i="4" l="1"/>
  <c r="Q53" i="4" s="1"/>
  <c r="E53" i="5" s="1"/>
  <c r="O54" i="4"/>
  <c r="F43" i="4"/>
  <c r="G43" i="4" s="1"/>
  <c r="H43" i="4" s="1"/>
  <c r="I43" i="4" s="1"/>
  <c r="C43" i="5" s="1"/>
  <c r="D44" i="4"/>
  <c r="L52" i="4"/>
  <c r="M52" i="4" s="1"/>
  <c r="D52" i="5" s="1"/>
  <c r="J53" i="4"/>
  <c r="L53" i="4" l="1"/>
  <c r="M53" i="4" s="1"/>
  <c r="D53" i="5" s="1"/>
  <c r="J54" i="4"/>
  <c r="O55" i="4"/>
  <c r="P54" i="4"/>
  <c r="Q54" i="4" s="1"/>
  <c r="E54" i="5" s="1"/>
  <c r="F44" i="4"/>
  <c r="G44" i="4" s="1"/>
  <c r="H44" i="4" s="1"/>
  <c r="I44" i="4" s="1"/>
  <c r="C44" i="5" s="1"/>
  <c r="D45" i="4"/>
  <c r="D46" i="4" l="1"/>
  <c r="F45" i="4"/>
  <c r="G45" i="4" s="1"/>
  <c r="H45" i="4" s="1"/>
  <c r="I45" i="4" s="1"/>
  <c r="C45" i="5" s="1"/>
  <c r="O56" i="4"/>
  <c r="P55" i="4"/>
  <c r="Q55" i="4" s="1"/>
  <c r="E55" i="5" s="1"/>
  <c r="L54" i="4"/>
  <c r="M54" i="4" s="1"/>
  <c r="D54" i="5" s="1"/>
  <c r="J55" i="4"/>
  <c r="L55" i="4" l="1"/>
  <c r="M55" i="4" s="1"/>
  <c r="D55" i="5" s="1"/>
  <c r="J56" i="4"/>
  <c r="P56" i="4"/>
  <c r="Q56" i="4" s="1"/>
  <c r="E56" i="5" s="1"/>
  <c r="O57" i="4"/>
  <c r="F46" i="4"/>
  <c r="G46" i="4" s="1"/>
  <c r="H46" i="4" s="1"/>
  <c r="I46" i="4" s="1"/>
  <c r="C46" i="5" s="1"/>
  <c r="D47" i="4"/>
  <c r="L56" i="4" l="1"/>
  <c r="M56" i="4" s="1"/>
  <c r="D56" i="5" s="1"/>
  <c r="J57" i="4"/>
  <c r="F47" i="4"/>
  <c r="G47" i="4" s="1"/>
  <c r="H47" i="4" s="1"/>
  <c r="I47" i="4" s="1"/>
  <c r="C47" i="5" s="1"/>
  <c r="D48" i="4"/>
  <c r="O58" i="4"/>
  <c r="P57" i="4"/>
  <c r="Q57" i="4" s="1"/>
  <c r="E57" i="5" s="1"/>
  <c r="F48" i="4" l="1"/>
  <c r="G48" i="4" s="1"/>
  <c r="H48" i="4" s="1"/>
  <c r="I48" i="4" s="1"/>
  <c r="C48" i="5" s="1"/>
  <c r="D49" i="4"/>
  <c r="P58" i="4"/>
  <c r="Q58" i="4" s="1"/>
  <c r="E58" i="5" s="1"/>
  <c r="O59" i="4"/>
  <c r="L57" i="4"/>
  <c r="M57" i="4" s="1"/>
  <c r="D57" i="5" s="1"/>
  <c r="J58" i="4"/>
  <c r="L58" i="4" l="1"/>
  <c r="M58" i="4" s="1"/>
  <c r="D58" i="5" s="1"/>
  <c r="J59" i="4"/>
  <c r="D50" i="4"/>
  <c r="F49" i="4"/>
  <c r="G49" i="4" s="1"/>
  <c r="H49" i="4" s="1"/>
  <c r="I49" i="4" s="1"/>
  <c r="C49" i="5" s="1"/>
  <c r="G49" i="5" s="1"/>
  <c r="H49" i="5" s="1"/>
  <c r="I49" i="5" s="1"/>
  <c r="E49" i="6" s="1"/>
  <c r="J49" i="6" s="1"/>
  <c r="K49" i="6" s="1"/>
  <c r="O60" i="4"/>
  <c r="P59" i="4"/>
  <c r="Q59" i="4" s="1"/>
  <c r="E59" i="5" s="1"/>
  <c r="F50" i="4" l="1"/>
  <c r="G50" i="4" s="1"/>
  <c r="H50" i="4" s="1"/>
  <c r="I50" i="4" s="1"/>
  <c r="C50" i="5" s="1"/>
  <c r="G50" i="5" s="1"/>
  <c r="H50" i="5" s="1"/>
  <c r="I50" i="5" s="1"/>
  <c r="E50" i="6" s="1"/>
  <c r="J50" i="6" s="1"/>
  <c r="K50" i="6" s="1"/>
  <c r="D51" i="4"/>
  <c r="L59" i="4"/>
  <c r="M59" i="4" s="1"/>
  <c r="D59" i="5" s="1"/>
  <c r="J60" i="4"/>
  <c r="P60" i="4"/>
  <c r="Q60" i="4" s="1"/>
  <c r="E60" i="5" s="1"/>
  <c r="O61" i="4"/>
  <c r="L60" i="4" l="1"/>
  <c r="M60" i="4" s="1"/>
  <c r="D60" i="5" s="1"/>
  <c r="J61" i="4"/>
  <c r="O62" i="4"/>
  <c r="P61" i="4"/>
  <c r="Q61" i="4" s="1"/>
  <c r="E61" i="5" s="1"/>
  <c r="F51" i="4"/>
  <c r="G51" i="4" s="1"/>
  <c r="H51" i="4" s="1"/>
  <c r="I51" i="4" s="1"/>
  <c r="C51" i="5" s="1"/>
  <c r="G51" i="5" s="1"/>
  <c r="H51" i="5" s="1"/>
  <c r="I51" i="5" s="1"/>
  <c r="E51" i="6" s="1"/>
  <c r="J51" i="6" s="1"/>
  <c r="K51" i="6" s="1"/>
  <c r="D52" i="4"/>
  <c r="O63" i="4" l="1"/>
  <c r="P62" i="4"/>
  <c r="Q62" i="4" s="1"/>
  <c r="E62" i="5" s="1"/>
  <c r="F52" i="4"/>
  <c r="G52" i="4" s="1"/>
  <c r="H52" i="4" s="1"/>
  <c r="I52" i="4" s="1"/>
  <c r="C52" i="5" s="1"/>
  <c r="G52" i="5" s="1"/>
  <c r="H52" i="5" s="1"/>
  <c r="I52" i="5" s="1"/>
  <c r="E52" i="6" s="1"/>
  <c r="J52" i="6" s="1"/>
  <c r="K52" i="6" s="1"/>
  <c r="D53" i="4"/>
  <c r="L61" i="4"/>
  <c r="M61" i="4" s="1"/>
  <c r="D61" i="5" s="1"/>
  <c r="J62" i="4"/>
  <c r="L62" i="4" l="1"/>
  <c r="M62" i="4" s="1"/>
  <c r="D62" i="5" s="1"/>
  <c r="J63" i="4"/>
  <c r="F53" i="4"/>
  <c r="G53" i="4" s="1"/>
  <c r="H53" i="4" s="1"/>
  <c r="I53" i="4" s="1"/>
  <c r="C53" i="5" s="1"/>
  <c r="G53" i="5" s="1"/>
  <c r="H53" i="5" s="1"/>
  <c r="I53" i="5" s="1"/>
  <c r="E53" i="6" s="1"/>
  <c r="J53" i="6" s="1"/>
  <c r="K53" i="6" s="1"/>
  <c r="D54" i="4"/>
  <c r="O64" i="4"/>
  <c r="P63" i="4"/>
  <c r="Q63" i="4" s="1"/>
  <c r="E63" i="5" s="1"/>
  <c r="F54" i="4" l="1"/>
  <c r="G54" i="4" s="1"/>
  <c r="H54" i="4" s="1"/>
  <c r="I54" i="4" s="1"/>
  <c r="C54" i="5" s="1"/>
  <c r="G54" i="5" s="1"/>
  <c r="H54" i="5" s="1"/>
  <c r="I54" i="5" s="1"/>
  <c r="E54" i="6" s="1"/>
  <c r="J54" i="6" s="1"/>
  <c r="K54" i="6" s="1"/>
  <c r="D55" i="4"/>
  <c r="O65" i="4"/>
  <c r="P64" i="4"/>
  <c r="Q64" i="4" s="1"/>
  <c r="E64" i="5" s="1"/>
  <c r="L63" i="4"/>
  <c r="M63" i="4" s="1"/>
  <c r="D63" i="5" s="1"/>
  <c r="J64" i="4"/>
  <c r="L64" i="4" l="1"/>
  <c r="M64" i="4" s="1"/>
  <c r="D64" i="5" s="1"/>
  <c r="J65" i="4"/>
  <c r="O66" i="4"/>
  <c r="P65" i="4"/>
  <c r="Q65" i="4" s="1"/>
  <c r="E65" i="5" s="1"/>
  <c r="F55" i="4"/>
  <c r="G55" i="4" s="1"/>
  <c r="H55" i="4" s="1"/>
  <c r="I55" i="4" s="1"/>
  <c r="C55" i="5" s="1"/>
  <c r="G55" i="5" s="1"/>
  <c r="H55" i="5" s="1"/>
  <c r="I55" i="5" s="1"/>
  <c r="E55" i="6" s="1"/>
  <c r="J55" i="6" s="1"/>
  <c r="K55" i="6" s="1"/>
  <c r="D56" i="4"/>
  <c r="F56" i="4" l="1"/>
  <c r="G56" i="4" s="1"/>
  <c r="H56" i="4" s="1"/>
  <c r="I56" i="4" s="1"/>
  <c r="C56" i="5" s="1"/>
  <c r="G56" i="5" s="1"/>
  <c r="H56" i="5" s="1"/>
  <c r="I56" i="5" s="1"/>
  <c r="E56" i="6" s="1"/>
  <c r="J56" i="6" s="1"/>
  <c r="K56" i="6" s="1"/>
  <c r="D57" i="4"/>
  <c r="P66" i="4"/>
  <c r="Q66" i="4" s="1"/>
  <c r="E66" i="5" s="1"/>
  <c r="O67" i="4"/>
  <c r="L65" i="4"/>
  <c r="M65" i="4" s="1"/>
  <c r="D65" i="5" s="1"/>
  <c r="J66" i="4"/>
  <c r="L66" i="4" l="1"/>
  <c r="M66" i="4" s="1"/>
  <c r="D66" i="5" s="1"/>
  <c r="J67" i="4"/>
  <c r="O68" i="4"/>
  <c r="P67" i="4"/>
  <c r="Q67" i="4" s="1"/>
  <c r="E67" i="5" s="1"/>
  <c r="F57" i="4"/>
  <c r="G57" i="4" s="1"/>
  <c r="H57" i="4" s="1"/>
  <c r="I57" i="4" s="1"/>
  <c r="C57" i="5" s="1"/>
  <c r="G57" i="5" s="1"/>
  <c r="H57" i="5" s="1"/>
  <c r="I57" i="5" s="1"/>
  <c r="E57" i="6" s="1"/>
  <c r="J57" i="6" s="1"/>
  <c r="K57" i="6" s="1"/>
  <c r="D58" i="4"/>
  <c r="D59" i="4" l="1"/>
  <c r="F58" i="4"/>
  <c r="G58" i="4" s="1"/>
  <c r="H58" i="4" s="1"/>
  <c r="I58" i="4" s="1"/>
  <c r="C58" i="5" s="1"/>
  <c r="G58" i="5" s="1"/>
  <c r="H58" i="5" s="1"/>
  <c r="I58" i="5" s="1"/>
  <c r="E58" i="6" s="1"/>
  <c r="J58" i="6" s="1"/>
  <c r="K58" i="6" s="1"/>
  <c r="L67" i="4"/>
  <c r="M67" i="4" s="1"/>
  <c r="D67" i="5" s="1"/>
  <c r="J68" i="4"/>
  <c r="O69" i="4"/>
  <c r="P68" i="4"/>
  <c r="Q68" i="4" s="1"/>
  <c r="E68" i="5" s="1"/>
  <c r="J69" i="4" l="1"/>
  <c r="L68" i="4"/>
  <c r="M68" i="4" s="1"/>
  <c r="D68" i="5" s="1"/>
  <c r="P69" i="4"/>
  <c r="Q69" i="4" s="1"/>
  <c r="E69" i="5" s="1"/>
  <c r="O70" i="4"/>
  <c r="F59" i="4"/>
  <c r="G59" i="4" s="1"/>
  <c r="H59" i="4" s="1"/>
  <c r="I59" i="4" s="1"/>
  <c r="C59" i="5" s="1"/>
  <c r="G59" i="5" s="1"/>
  <c r="H59" i="5" s="1"/>
  <c r="I59" i="5" s="1"/>
  <c r="E59" i="6" s="1"/>
  <c r="J59" i="6" s="1"/>
  <c r="K59" i="6" s="1"/>
  <c r="D60" i="4"/>
  <c r="O71" i="4" l="1"/>
  <c r="P70" i="4"/>
  <c r="Q70" i="4" s="1"/>
  <c r="E70" i="5" s="1"/>
  <c r="D61" i="4"/>
  <c r="F60" i="4"/>
  <c r="G60" i="4" s="1"/>
  <c r="H60" i="4" s="1"/>
  <c r="I60" i="4" s="1"/>
  <c r="C60" i="5" s="1"/>
  <c r="G60" i="5" s="1"/>
  <c r="H60" i="5" s="1"/>
  <c r="I60" i="5" s="1"/>
  <c r="E60" i="6" s="1"/>
  <c r="J60" i="6" s="1"/>
  <c r="K60" i="6" s="1"/>
  <c r="L69" i="4"/>
  <c r="M69" i="4" s="1"/>
  <c r="D69" i="5" s="1"/>
  <c r="J70" i="4"/>
  <c r="L70" i="4" l="1"/>
  <c r="M70" i="4" s="1"/>
  <c r="D70" i="5" s="1"/>
  <c r="J71" i="4"/>
  <c r="F61" i="4"/>
  <c r="G61" i="4" s="1"/>
  <c r="H61" i="4" s="1"/>
  <c r="I61" i="4" s="1"/>
  <c r="C61" i="5" s="1"/>
  <c r="G61" i="5" s="1"/>
  <c r="H61" i="5" s="1"/>
  <c r="I61" i="5" s="1"/>
  <c r="E61" i="6" s="1"/>
  <c r="J61" i="6" s="1"/>
  <c r="K61" i="6" s="1"/>
  <c r="D62" i="4"/>
  <c r="P71" i="4"/>
  <c r="Q71" i="4" s="1"/>
  <c r="E71" i="5" s="1"/>
  <c r="O72" i="4"/>
  <c r="O73" i="4" l="1"/>
  <c r="P72" i="4"/>
  <c r="Q72" i="4" s="1"/>
  <c r="E72" i="5" s="1"/>
  <c r="F62" i="4"/>
  <c r="G62" i="4" s="1"/>
  <c r="H62" i="4" s="1"/>
  <c r="I62" i="4" s="1"/>
  <c r="C62" i="5" s="1"/>
  <c r="G62" i="5" s="1"/>
  <c r="H62" i="5" s="1"/>
  <c r="I62" i="5" s="1"/>
  <c r="E62" i="6" s="1"/>
  <c r="J62" i="6" s="1"/>
  <c r="K62" i="6" s="1"/>
  <c r="D63" i="4"/>
  <c r="L71" i="4"/>
  <c r="M71" i="4" s="1"/>
  <c r="D71" i="5" s="1"/>
  <c r="J72" i="4"/>
  <c r="L72" i="4" l="1"/>
  <c r="M72" i="4" s="1"/>
  <c r="D72" i="5" s="1"/>
  <c r="J73" i="4"/>
  <c r="F63" i="4"/>
  <c r="G63" i="4" s="1"/>
  <c r="H63" i="4" s="1"/>
  <c r="I63" i="4" s="1"/>
  <c r="C63" i="5" s="1"/>
  <c r="G63" i="5" s="1"/>
  <c r="H63" i="5" s="1"/>
  <c r="I63" i="5" s="1"/>
  <c r="E63" i="6" s="1"/>
  <c r="J63" i="6" s="1"/>
  <c r="K63" i="6" s="1"/>
  <c r="D64" i="4"/>
  <c r="P73" i="4"/>
  <c r="Q73" i="4" s="1"/>
  <c r="E73" i="5" s="1"/>
  <c r="O74" i="4"/>
  <c r="O75" i="4" l="1"/>
  <c r="P74" i="4"/>
  <c r="Q74" i="4" s="1"/>
  <c r="E74" i="5" s="1"/>
  <c r="D65" i="4"/>
  <c r="F64" i="4"/>
  <c r="G64" i="4" s="1"/>
  <c r="H64" i="4" s="1"/>
  <c r="I64" i="4" s="1"/>
  <c r="C64" i="5" s="1"/>
  <c r="G64" i="5" s="1"/>
  <c r="H64" i="5" s="1"/>
  <c r="I64" i="5" s="1"/>
  <c r="E64" i="6" s="1"/>
  <c r="J64" i="6" s="1"/>
  <c r="K64" i="6" s="1"/>
  <c r="L73" i="4"/>
  <c r="M73" i="4" s="1"/>
  <c r="D73" i="5" s="1"/>
  <c r="J74" i="4"/>
  <c r="L74" i="4" l="1"/>
  <c r="M74" i="4" s="1"/>
  <c r="D74" i="5" s="1"/>
  <c r="J75" i="4"/>
  <c r="F65" i="4"/>
  <c r="G65" i="4" s="1"/>
  <c r="H65" i="4" s="1"/>
  <c r="I65" i="4" s="1"/>
  <c r="C65" i="5" s="1"/>
  <c r="G65" i="5" s="1"/>
  <c r="H65" i="5" s="1"/>
  <c r="I65" i="5" s="1"/>
  <c r="E65" i="6" s="1"/>
  <c r="J65" i="6" s="1"/>
  <c r="K65" i="6" s="1"/>
  <c r="D66" i="4"/>
  <c r="P75" i="4"/>
  <c r="Q75" i="4" s="1"/>
  <c r="E75" i="5" s="1"/>
  <c r="O76" i="4"/>
  <c r="O77" i="4" l="1"/>
  <c r="P76" i="4"/>
  <c r="Q76" i="4" s="1"/>
  <c r="E76" i="5" s="1"/>
  <c r="F66" i="4"/>
  <c r="G66" i="4" s="1"/>
  <c r="H66" i="4" s="1"/>
  <c r="I66" i="4" s="1"/>
  <c r="C66" i="5" s="1"/>
  <c r="G66" i="5" s="1"/>
  <c r="H66" i="5" s="1"/>
  <c r="I66" i="5" s="1"/>
  <c r="E66" i="6" s="1"/>
  <c r="J66" i="6" s="1"/>
  <c r="K66" i="6" s="1"/>
  <c r="D67" i="4"/>
  <c r="J76" i="4"/>
  <c r="L75" i="4"/>
  <c r="M75" i="4" s="1"/>
  <c r="D75" i="5" s="1"/>
  <c r="L76" i="4" l="1"/>
  <c r="M76" i="4" s="1"/>
  <c r="D76" i="5" s="1"/>
  <c r="J77" i="4"/>
  <c r="F67" i="4"/>
  <c r="G67" i="4" s="1"/>
  <c r="H67" i="4" s="1"/>
  <c r="I67" i="4" s="1"/>
  <c r="C67" i="5" s="1"/>
  <c r="G67" i="5" s="1"/>
  <c r="H67" i="5" s="1"/>
  <c r="I67" i="5" s="1"/>
  <c r="E67" i="6" s="1"/>
  <c r="J67" i="6" s="1"/>
  <c r="K67" i="6" s="1"/>
  <c r="D68" i="4"/>
  <c r="P77" i="4"/>
  <c r="Q77" i="4" s="1"/>
  <c r="E77" i="5" s="1"/>
  <c r="O78" i="4"/>
  <c r="D69" i="4" l="1"/>
  <c r="F68" i="4"/>
  <c r="G68" i="4" s="1"/>
  <c r="H68" i="4" s="1"/>
  <c r="I68" i="4" s="1"/>
  <c r="C68" i="5" s="1"/>
  <c r="G68" i="5" s="1"/>
  <c r="H68" i="5" s="1"/>
  <c r="I68" i="5" s="1"/>
  <c r="E68" i="6" s="1"/>
  <c r="J68" i="6" s="1"/>
  <c r="K68" i="6" s="1"/>
  <c r="O79" i="4"/>
  <c r="P78" i="4"/>
  <c r="Q78" i="4" s="1"/>
  <c r="E78" i="5" s="1"/>
  <c r="L77" i="4"/>
  <c r="M77" i="4" s="1"/>
  <c r="D77" i="5" s="1"/>
  <c r="J78" i="4"/>
  <c r="L78" i="4" l="1"/>
  <c r="M78" i="4" s="1"/>
  <c r="D78" i="5" s="1"/>
  <c r="J79" i="4"/>
  <c r="O80" i="4"/>
  <c r="P79" i="4"/>
  <c r="Q79" i="4" s="1"/>
  <c r="E79" i="5" s="1"/>
  <c r="F69" i="4"/>
  <c r="G69" i="4" s="1"/>
  <c r="H69" i="4" s="1"/>
  <c r="I69" i="4" s="1"/>
  <c r="C69" i="5" s="1"/>
  <c r="G69" i="5" s="1"/>
  <c r="H69" i="5" s="1"/>
  <c r="I69" i="5" s="1"/>
  <c r="E69" i="6" s="1"/>
  <c r="J69" i="6" s="1"/>
  <c r="K69" i="6" s="1"/>
  <c r="D70" i="4"/>
  <c r="F70" i="4" l="1"/>
  <c r="G70" i="4" s="1"/>
  <c r="H70" i="4" s="1"/>
  <c r="I70" i="4" s="1"/>
  <c r="C70" i="5" s="1"/>
  <c r="G70" i="5" s="1"/>
  <c r="H70" i="5" s="1"/>
  <c r="I70" i="5" s="1"/>
  <c r="E70" i="6" s="1"/>
  <c r="J70" i="6" s="1"/>
  <c r="K70" i="6" s="1"/>
  <c r="D71" i="4"/>
  <c r="O81" i="4"/>
  <c r="P80" i="4"/>
  <c r="Q80" i="4" s="1"/>
  <c r="E80" i="5" s="1"/>
  <c r="L79" i="4"/>
  <c r="M79" i="4" s="1"/>
  <c r="D79" i="5" s="1"/>
  <c r="J80" i="4"/>
  <c r="O82" i="4" l="1"/>
  <c r="P81" i="4"/>
  <c r="Q81" i="4" s="1"/>
  <c r="E81" i="5" s="1"/>
  <c r="F71" i="4"/>
  <c r="G71" i="4" s="1"/>
  <c r="H71" i="4" s="1"/>
  <c r="I71" i="4" s="1"/>
  <c r="C71" i="5" s="1"/>
  <c r="G71" i="5" s="1"/>
  <c r="H71" i="5" s="1"/>
  <c r="I71" i="5" s="1"/>
  <c r="E71" i="6" s="1"/>
  <c r="J71" i="6" s="1"/>
  <c r="K71" i="6" s="1"/>
  <c r="D72" i="4"/>
  <c r="L80" i="4"/>
  <c r="M80" i="4" s="1"/>
  <c r="D80" i="5" s="1"/>
  <c r="J81" i="4"/>
  <c r="L81" i="4" l="1"/>
  <c r="M81" i="4" s="1"/>
  <c r="D81" i="5" s="1"/>
  <c r="J82" i="4"/>
  <c r="F72" i="4"/>
  <c r="G72" i="4" s="1"/>
  <c r="H72" i="4" s="1"/>
  <c r="I72" i="4" s="1"/>
  <c r="C72" i="5" s="1"/>
  <c r="G72" i="5" s="1"/>
  <c r="H72" i="5" s="1"/>
  <c r="I72" i="5" s="1"/>
  <c r="E72" i="6" s="1"/>
  <c r="J72" i="6" s="1"/>
  <c r="K72" i="6" s="1"/>
  <c r="D73" i="4"/>
  <c r="O83" i="4"/>
  <c r="P82" i="4"/>
  <c r="Q82" i="4" s="1"/>
  <c r="E82" i="5" s="1"/>
  <c r="P83" i="4" l="1"/>
  <c r="Q83" i="4" s="1"/>
  <c r="E83" i="5" s="1"/>
  <c r="O84" i="4"/>
  <c r="F73" i="4"/>
  <c r="G73" i="4" s="1"/>
  <c r="H73" i="4" s="1"/>
  <c r="I73" i="4" s="1"/>
  <c r="C73" i="5" s="1"/>
  <c r="G73" i="5" s="1"/>
  <c r="H73" i="5" s="1"/>
  <c r="I73" i="5" s="1"/>
  <c r="E73" i="6" s="1"/>
  <c r="J73" i="6" s="1"/>
  <c r="K73" i="6" s="1"/>
  <c r="D74" i="4"/>
  <c r="L82" i="4"/>
  <c r="M82" i="4" s="1"/>
  <c r="D82" i="5" s="1"/>
  <c r="J83" i="4"/>
  <c r="L83" i="4" l="1"/>
  <c r="M83" i="4" s="1"/>
  <c r="D83" i="5" s="1"/>
  <c r="J84" i="4"/>
  <c r="F74" i="4"/>
  <c r="G74" i="4" s="1"/>
  <c r="H74" i="4" s="1"/>
  <c r="I74" i="4" s="1"/>
  <c r="C74" i="5" s="1"/>
  <c r="G74" i="5" s="1"/>
  <c r="H74" i="5" s="1"/>
  <c r="I74" i="5" s="1"/>
  <c r="E74" i="6" s="1"/>
  <c r="J74" i="6" s="1"/>
  <c r="K74" i="6" s="1"/>
  <c r="D75" i="4"/>
  <c r="O85" i="4"/>
  <c r="P84" i="4"/>
  <c r="Q84" i="4" s="1"/>
  <c r="E84" i="5" s="1"/>
  <c r="P85" i="4" l="1"/>
  <c r="Q85" i="4" s="1"/>
  <c r="E85" i="5" s="1"/>
  <c r="O86" i="4"/>
  <c r="D76" i="4"/>
  <c r="F75" i="4"/>
  <c r="G75" i="4" s="1"/>
  <c r="H75" i="4" s="1"/>
  <c r="I75" i="4" s="1"/>
  <c r="C75" i="5" s="1"/>
  <c r="G75" i="5" s="1"/>
  <c r="H75" i="5" s="1"/>
  <c r="I75" i="5" s="1"/>
  <c r="E75" i="6" s="1"/>
  <c r="J75" i="6" s="1"/>
  <c r="K75" i="6" s="1"/>
  <c r="J85" i="4"/>
  <c r="L84" i="4"/>
  <c r="M84" i="4" s="1"/>
  <c r="D84" i="5" s="1"/>
  <c r="L85" i="4" l="1"/>
  <c r="M85" i="4" s="1"/>
  <c r="D85" i="5" s="1"/>
  <c r="J86" i="4"/>
  <c r="O87" i="4"/>
  <c r="P86" i="4"/>
  <c r="Q86" i="4" s="1"/>
  <c r="E86" i="5" s="1"/>
  <c r="F76" i="4"/>
  <c r="G76" i="4" s="1"/>
  <c r="H76" i="4" s="1"/>
  <c r="I76" i="4" s="1"/>
  <c r="C76" i="5" s="1"/>
  <c r="G76" i="5" s="1"/>
  <c r="H76" i="5" s="1"/>
  <c r="I76" i="5" s="1"/>
  <c r="E76" i="6" s="1"/>
  <c r="J76" i="6" s="1"/>
  <c r="K76" i="6" s="1"/>
  <c r="D77" i="4"/>
  <c r="F77" i="4" l="1"/>
  <c r="G77" i="4" s="1"/>
  <c r="H77" i="4" s="1"/>
  <c r="I77" i="4" s="1"/>
  <c r="C77" i="5" s="1"/>
  <c r="G77" i="5" s="1"/>
  <c r="H77" i="5" s="1"/>
  <c r="I77" i="5" s="1"/>
  <c r="E77" i="6" s="1"/>
  <c r="J77" i="6" s="1"/>
  <c r="K77" i="6" s="1"/>
  <c r="D78" i="4"/>
  <c r="L86" i="4"/>
  <c r="M86" i="4" s="1"/>
  <c r="D86" i="5" s="1"/>
  <c r="J87" i="4"/>
  <c r="P87" i="4"/>
  <c r="Q87" i="4" s="1"/>
  <c r="E87" i="5" s="1"/>
  <c r="O88" i="4"/>
  <c r="F78" i="4" l="1"/>
  <c r="G78" i="4" s="1"/>
  <c r="H78" i="4" s="1"/>
  <c r="I78" i="4" s="1"/>
  <c r="C78" i="5" s="1"/>
  <c r="G78" i="5" s="1"/>
  <c r="H78" i="5" s="1"/>
  <c r="I78" i="5" s="1"/>
  <c r="E78" i="6" s="1"/>
  <c r="J78" i="6" s="1"/>
  <c r="K78" i="6" s="1"/>
  <c r="D79" i="4"/>
  <c r="P88" i="4"/>
  <c r="Q88" i="4" s="1"/>
  <c r="E88" i="5" s="1"/>
  <c r="O89" i="4"/>
  <c r="L87" i="4"/>
  <c r="M87" i="4" s="1"/>
  <c r="D87" i="5" s="1"/>
  <c r="J88" i="4"/>
  <c r="L88" i="4" l="1"/>
  <c r="M88" i="4" s="1"/>
  <c r="D88" i="5" s="1"/>
  <c r="J89" i="4"/>
  <c r="O90" i="4"/>
  <c r="P89" i="4"/>
  <c r="Q89" i="4" s="1"/>
  <c r="E89" i="5" s="1"/>
  <c r="F79" i="4"/>
  <c r="G79" i="4" s="1"/>
  <c r="H79" i="4" s="1"/>
  <c r="I79" i="4" s="1"/>
  <c r="C79" i="5" s="1"/>
  <c r="G79" i="5" s="1"/>
  <c r="H79" i="5" s="1"/>
  <c r="I79" i="5" s="1"/>
  <c r="E79" i="6" s="1"/>
  <c r="J79" i="6" s="1"/>
  <c r="K79" i="6" s="1"/>
  <c r="D80" i="4"/>
  <c r="F80" i="4" l="1"/>
  <c r="G80" i="4" s="1"/>
  <c r="H80" i="4" s="1"/>
  <c r="I80" i="4" s="1"/>
  <c r="C80" i="5" s="1"/>
  <c r="G80" i="5" s="1"/>
  <c r="H80" i="5" s="1"/>
  <c r="I80" i="5" s="1"/>
  <c r="E80" i="6" s="1"/>
  <c r="J80" i="6" s="1"/>
  <c r="K80" i="6" s="1"/>
  <c r="D81" i="4"/>
  <c r="O91" i="4"/>
  <c r="P90" i="4"/>
  <c r="Q90" i="4" s="1"/>
  <c r="E90" i="5" s="1"/>
  <c r="L89" i="4"/>
  <c r="M89" i="4" s="1"/>
  <c r="D89" i="5" s="1"/>
  <c r="J90" i="4"/>
  <c r="L90" i="4" l="1"/>
  <c r="M90" i="4" s="1"/>
  <c r="D90" i="5" s="1"/>
  <c r="J91" i="4"/>
  <c r="O92" i="4"/>
  <c r="P91" i="4"/>
  <c r="Q91" i="4" s="1"/>
  <c r="E91" i="5" s="1"/>
  <c r="F81" i="4"/>
  <c r="G81" i="4" s="1"/>
  <c r="H81" i="4" s="1"/>
  <c r="I81" i="4" s="1"/>
  <c r="C81" i="5" s="1"/>
  <c r="G81" i="5" s="1"/>
  <c r="H81" i="5" s="1"/>
  <c r="I81" i="5" s="1"/>
  <c r="E81" i="6" s="1"/>
  <c r="J81" i="6" s="1"/>
  <c r="K81" i="6" s="1"/>
  <c r="D82" i="4"/>
  <c r="F82" i="4" l="1"/>
  <c r="G82" i="4" s="1"/>
  <c r="H82" i="4" s="1"/>
  <c r="I82" i="4" s="1"/>
  <c r="C82" i="5" s="1"/>
  <c r="G82" i="5" s="1"/>
  <c r="H82" i="5" s="1"/>
  <c r="I82" i="5" s="1"/>
  <c r="E82" i="6" s="1"/>
  <c r="J82" i="6" s="1"/>
  <c r="K82" i="6" s="1"/>
  <c r="D83" i="4"/>
  <c r="L91" i="4"/>
  <c r="M91" i="4" s="1"/>
  <c r="D91" i="5" s="1"/>
  <c r="J92" i="4"/>
  <c r="O93" i="4"/>
  <c r="P92" i="4"/>
  <c r="Q92" i="4" s="1"/>
  <c r="E92" i="5" s="1"/>
  <c r="O94" i="4" l="1"/>
  <c r="P93" i="4"/>
  <c r="Q93" i="4" s="1"/>
  <c r="E93" i="5" s="1"/>
  <c r="L92" i="4"/>
  <c r="M92" i="4" s="1"/>
  <c r="D92" i="5" s="1"/>
  <c r="J93" i="4"/>
  <c r="F83" i="4"/>
  <c r="G83" i="4" s="1"/>
  <c r="H83" i="4" s="1"/>
  <c r="I83" i="4" s="1"/>
  <c r="C83" i="5" s="1"/>
  <c r="G83" i="5" s="1"/>
  <c r="H83" i="5" s="1"/>
  <c r="I83" i="5" s="1"/>
  <c r="E83" i="6" s="1"/>
  <c r="J83" i="6" s="1"/>
  <c r="K83" i="6" s="1"/>
  <c r="D84" i="4"/>
  <c r="F84" i="4" l="1"/>
  <c r="G84" i="4" s="1"/>
  <c r="H84" i="4" s="1"/>
  <c r="I84" i="4" s="1"/>
  <c r="C84" i="5" s="1"/>
  <c r="G84" i="5" s="1"/>
  <c r="H84" i="5" s="1"/>
  <c r="I84" i="5" s="1"/>
  <c r="E84" i="6" s="1"/>
  <c r="J84" i="6" s="1"/>
  <c r="K84" i="6" s="1"/>
  <c r="D85" i="4"/>
  <c r="L93" i="4"/>
  <c r="M93" i="4" s="1"/>
  <c r="D93" i="5" s="1"/>
  <c r="J94" i="4"/>
  <c r="P94" i="4"/>
  <c r="Q94" i="4" s="1"/>
  <c r="E94" i="5" s="1"/>
  <c r="O95" i="4"/>
  <c r="O96" i="4" l="1"/>
  <c r="P95" i="4"/>
  <c r="Q95" i="4" s="1"/>
  <c r="E95" i="5" s="1"/>
  <c r="L94" i="4"/>
  <c r="M94" i="4" s="1"/>
  <c r="D94" i="5" s="1"/>
  <c r="J95" i="4"/>
  <c r="F85" i="4"/>
  <c r="G85" i="4" s="1"/>
  <c r="H85" i="4" s="1"/>
  <c r="I85" i="4" s="1"/>
  <c r="C85" i="5" s="1"/>
  <c r="G85" i="5" s="1"/>
  <c r="H85" i="5" s="1"/>
  <c r="I85" i="5" s="1"/>
  <c r="E85" i="6" s="1"/>
  <c r="J85" i="6" s="1"/>
  <c r="K85" i="6" s="1"/>
  <c r="D86" i="4"/>
  <c r="P96" i="4" l="1"/>
  <c r="Q96" i="4" s="1"/>
  <c r="E96" i="5" s="1"/>
  <c r="O97" i="4"/>
  <c r="F86" i="4"/>
  <c r="G86" i="4" s="1"/>
  <c r="H86" i="4" s="1"/>
  <c r="I86" i="4" s="1"/>
  <c r="C86" i="5" s="1"/>
  <c r="G86" i="5" s="1"/>
  <c r="H86" i="5" s="1"/>
  <c r="I86" i="5" s="1"/>
  <c r="E86" i="6" s="1"/>
  <c r="J86" i="6" s="1"/>
  <c r="K86" i="6" s="1"/>
  <c r="D87" i="4"/>
  <c r="L95" i="4"/>
  <c r="M95" i="4" s="1"/>
  <c r="D95" i="5" s="1"/>
  <c r="J96" i="4"/>
  <c r="O98" i="4" l="1"/>
  <c r="P97" i="4"/>
  <c r="Q97" i="4" s="1"/>
  <c r="E97" i="5" s="1"/>
  <c r="L96" i="4"/>
  <c r="M96" i="4" s="1"/>
  <c r="D96" i="5" s="1"/>
  <c r="J97" i="4"/>
  <c r="F87" i="4"/>
  <c r="G87" i="4" s="1"/>
  <c r="H87" i="4" s="1"/>
  <c r="I87" i="4" s="1"/>
  <c r="C87" i="5" s="1"/>
  <c r="G87" i="5" s="1"/>
  <c r="H87" i="5" s="1"/>
  <c r="I87" i="5" s="1"/>
  <c r="E87" i="6" s="1"/>
  <c r="J87" i="6" s="1"/>
  <c r="K87" i="6" s="1"/>
  <c r="D88" i="4"/>
  <c r="F88" i="4" l="1"/>
  <c r="G88" i="4" s="1"/>
  <c r="H88" i="4" s="1"/>
  <c r="I88" i="4" s="1"/>
  <c r="C88" i="5" s="1"/>
  <c r="G88" i="5" s="1"/>
  <c r="H88" i="5" s="1"/>
  <c r="I88" i="5" s="1"/>
  <c r="E88" i="6" s="1"/>
  <c r="J88" i="6" s="1"/>
  <c r="K88" i="6" s="1"/>
  <c r="D89" i="4"/>
  <c r="L97" i="4"/>
  <c r="M97" i="4" s="1"/>
  <c r="D97" i="5" s="1"/>
  <c r="J98" i="4"/>
  <c r="P98" i="4"/>
  <c r="Q98" i="4" s="1"/>
  <c r="E98" i="5" s="1"/>
  <c r="O99" i="4"/>
  <c r="J99" i="4" l="1"/>
  <c r="L98" i="4"/>
  <c r="M98" i="4" s="1"/>
  <c r="D98" i="5" s="1"/>
  <c r="P99" i="4"/>
  <c r="Q99" i="4" s="1"/>
  <c r="E99" i="5" s="1"/>
  <c r="O100" i="4"/>
  <c r="F89" i="4"/>
  <c r="G89" i="4" s="1"/>
  <c r="H89" i="4" s="1"/>
  <c r="I89" i="4" s="1"/>
  <c r="C89" i="5" s="1"/>
  <c r="G89" i="5" s="1"/>
  <c r="H89" i="5" s="1"/>
  <c r="I89" i="5" s="1"/>
  <c r="E89" i="6" s="1"/>
  <c r="J89" i="6" s="1"/>
  <c r="K89" i="6" s="1"/>
  <c r="D90" i="4"/>
  <c r="L99" i="4" l="1"/>
  <c r="M99" i="4" s="1"/>
  <c r="D99" i="5" s="1"/>
  <c r="J100" i="4"/>
  <c r="F90" i="4"/>
  <c r="G90" i="4" s="1"/>
  <c r="H90" i="4" s="1"/>
  <c r="I90" i="4" s="1"/>
  <c r="C90" i="5" s="1"/>
  <c r="G90" i="5" s="1"/>
  <c r="H90" i="5" s="1"/>
  <c r="I90" i="5" s="1"/>
  <c r="E90" i="6" s="1"/>
  <c r="J90" i="6" s="1"/>
  <c r="K90" i="6" s="1"/>
  <c r="D91" i="4"/>
  <c r="O101" i="4"/>
  <c r="P100" i="4"/>
  <c r="Q100" i="4" s="1"/>
  <c r="E100" i="5" s="1"/>
  <c r="L100" i="4" l="1"/>
  <c r="M100" i="4" s="1"/>
  <c r="D100" i="5" s="1"/>
  <c r="J101" i="4"/>
  <c r="O102" i="4"/>
  <c r="P101" i="4"/>
  <c r="Q101" i="4" s="1"/>
  <c r="E101" i="5" s="1"/>
  <c r="F91" i="4"/>
  <c r="G91" i="4" s="1"/>
  <c r="H91" i="4" s="1"/>
  <c r="I91" i="4" s="1"/>
  <c r="C91" i="5" s="1"/>
  <c r="G91" i="5" s="1"/>
  <c r="H91" i="5" s="1"/>
  <c r="I91" i="5" s="1"/>
  <c r="E91" i="6" s="1"/>
  <c r="J91" i="6" s="1"/>
  <c r="K91" i="6" s="1"/>
  <c r="D92" i="4"/>
  <c r="F92" i="4" l="1"/>
  <c r="G92" i="4" s="1"/>
  <c r="H92" i="4" s="1"/>
  <c r="I92" i="4" s="1"/>
  <c r="C92" i="5" s="1"/>
  <c r="G92" i="5" s="1"/>
  <c r="H92" i="5" s="1"/>
  <c r="I92" i="5" s="1"/>
  <c r="E92" i="6" s="1"/>
  <c r="J92" i="6" s="1"/>
  <c r="K92" i="6" s="1"/>
  <c r="D93" i="4"/>
  <c r="O103" i="4"/>
  <c r="P102" i="4"/>
  <c r="Q102" i="4" s="1"/>
  <c r="E102" i="5" s="1"/>
  <c r="L101" i="4"/>
  <c r="M101" i="4" s="1"/>
  <c r="D101" i="5" s="1"/>
  <c r="J102" i="4"/>
  <c r="O104" i="4" l="1"/>
  <c r="P103" i="4"/>
  <c r="Q103" i="4" s="1"/>
  <c r="E103" i="5" s="1"/>
  <c r="F93" i="4"/>
  <c r="G93" i="4" s="1"/>
  <c r="H93" i="4" s="1"/>
  <c r="I93" i="4" s="1"/>
  <c r="C93" i="5" s="1"/>
  <c r="G93" i="5" s="1"/>
  <c r="H93" i="5" s="1"/>
  <c r="I93" i="5" s="1"/>
  <c r="E93" i="6" s="1"/>
  <c r="J93" i="6" s="1"/>
  <c r="K93" i="6" s="1"/>
  <c r="D94" i="4"/>
  <c r="L102" i="4"/>
  <c r="M102" i="4" s="1"/>
  <c r="D102" i="5" s="1"/>
  <c r="J103" i="4"/>
  <c r="F94" i="4" l="1"/>
  <c r="G94" i="4" s="1"/>
  <c r="H94" i="4" s="1"/>
  <c r="I94" i="4" s="1"/>
  <c r="C94" i="5" s="1"/>
  <c r="G94" i="5" s="1"/>
  <c r="H94" i="5" s="1"/>
  <c r="I94" i="5" s="1"/>
  <c r="E94" i="6" s="1"/>
  <c r="J94" i="6" s="1"/>
  <c r="K94" i="6" s="1"/>
  <c r="D95" i="4"/>
  <c r="J104" i="4"/>
  <c r="L103" i="4"/>
  <c r="M103" i="4" s="1"/>
  <c r="D103" i="5" s="1"/>
  <c r="O105" i="4"/>
  <c r="P104" i="4"/>
  <c r="Q104" i="4" s="1"/>
  <c r="E104" i="5" s="1"/>
  <c r="P105" i="4" l="1"/>
  <c r="Q105" i="4" s="1"/>
  <c r="E105" i="5" s="1"/>
  <c r="O106" i="4"/>
  <c r="L104" i="4"/>
  <c r="M104" i="4" s="1"/>
  <c r="D104" i="5" s="1"/>
  <c r="J105" i="4"/>
  <c r="F95" i="4"/>
  <c r="G95" i="4" s="1"/>
  <c r="H95" i="4" s="1"/>
  <c r="I95" i="4" s="1"/>
  <c r="C95" i="5" s="1"/>
  <c r="G95" i="5" s="1"/>
  <c r="H95" i="5" s="1"/>
  <c r="I95" i="5" s="1"/>
  <c r="E95" i="6" s="1"/>
  <c r="J95" i="6" s="1"/>
  <c r="K95" i="6" s="1"/>
  <c r="D96" i="4"/>
  <c r="O107" i="4" l="1"/>
  <c r="P106" i="4"/>
  <c r="Q106" i="4" s="1"/>
  <c r="E106" i="5" s="1"/>
  <c r="F96" i="4"/>
  <c r="G96" i="4" s="1"/>
  <c r="H96" i="4" s="1"/>
  <c r="I96" i="4" s="1"/>
  <c r="C96" i="5" s="1"/>
  <c r="G96" i="5" s="1"/>
  <c r="H96" i="5" s="1"/>
  <c r="I96" i="5" s="1"/>
  <c r="E96" i="6" s="1"/>
  <c r="J96" i="6" s="1"/>
  <c r="K96" i="6" s="1"/>
  <c r="D97" i="4"/>
  <c r="J106" i="4"/>
  <c r="L105" i="4"/>
  <c r="M105" i="4" s="1"/>
  <c r="D105" i="5" s="1"/>
  <c r="F97" i="4" l="1"/>
  <c r="G97" i="4" s="1"/>
  <c r="H97" i="4" s="1"/>
  <c r="I97" i="4" s="1"/>
  <c r="C97" i="5" s="1"/>
  <c r="G97" i="5" s="1"/>
  <c r="H97" i="5" s="1"/>
  <c r="I97" i="5" s="1"/>
  <c r="E97" i="6" s="1"/>
  <c r="J97" i="6" s="1"/>
  <c r="K97" i="6" s="1"/>
  <c r="D98" i="4"/>
  <c r="J107" i="4"/>
  <c r="L106" i="4"/>
  <c r="M106" i="4" s="1"/>
  <c r="D106" i="5" s="1"/>
  <c r="P107" i="4"/>
  <c r="Q107" i="4" s="1"/>
  <c r="E107" i="5" s="1"/>
  <c r="O108" i="4"/>
  <c r="O109" i="4" l="1"/>
  <c r="P108" i="4"/>
  <c r="Q108" i="4" s="1"/>
  <c r="E108" i="5" s="1"/>
  <c r="L107" i="4"/>
  <c r="M107" i="4" s="1"/>
  <c r="D107" i="5" s="1"/>
  <c r="J108" i="4"/>
  <c r="F98" i="4"/>
  <c r="G98" i="4" s="1"/>
  <c r="H98" i="4" s="1"/>
  <c r="I98" i="4" s="1"/>
  <c r="C98" i="5" s="1"/>
  <c r="G98" i="5" s="1"/>
  <c r="H98" i="5" s="1"/>
  <c r="I98" i="5" s="1"/>
  <c r="E98" i="6" s="1"/>
  <c r="J98" i="6" s="1"/>
  <c r="K98" i="6" s="1"/>
  <c r="D99" i="4"/>
  <c r="D100" i="4" l="1"/>
  <c r="F99" i="4"/>
  <c r="G99" i="4" s="1"/>
  <c r="H99" i="4" s="1"/>
  <c r="I99" i="4" s="1"/>
  <c r="C99" i="5" s="1"/>
  <c r="G99" i="5" s="1"/>
  <c r="H99" i="5" s="1"/>
  <c r="I99" i="5" s="1"/>
  <c r="E99" i="6" s="1"/>
  <c r="J99" i="6" s="1"/>
  <c r="K99" i="6" s="1"/>
  <c r="L108" i="4"/>
  <c r="M108" i="4" s="1"/>
  <c r="D108" i="5" s="1"/>
  <c r="J109" i="4"/>
  <c r="P109" i="4"/>
  <c r="Q109" i="4" s="1"/>
  <c r="E109" i="5" s="1"/>
  <c r="O110" i="4"/>
  <c r="O111" i="4" l="1"/>
  <c r="P110" i="4"/>
  <c r="Q110" i="4" s="1"/>
  <c r="E110" i="5" s="1"/>
  <c r="J110" i="4"/>
  <c r="L109" i="4"/>
  <c r="M109" i="4" s="1"/>
  <c r="D109" i="5" s="1"/>
  <c r="F100" i="4"/>
  <c r="G100" i="4" s="1"/>
  <c r="H100" i="4" s="1"/>
  <c r="I100" i="4" s="1"/>
  <c r="C100" i="5" s="1"/>
  <c r="G100" i="5" s="1"/>
  <c r="H100" i="5" s="1"/>
  <c r="I100" i="5" s="1"/>
  <c r="E100" i="6" s="1"/>
  <c r="J100" i="6" s="1"/>
  <c r="K100" i="6" s="1"/>
  <c r="D101" i="4"/>
  <c r="F101" i="4" l="1"/>
  <c r="G101" i="4" s="1"/>
  <c r="H101" i="4" s="1"/>
  <c r="I101" i="4" s="1"/>
  <c r="C101" i="5" s="1"/>
  <c r="G101" i="5" s="1"/>
  <c r="H101" i="5" s="1"/>
  <c r="I101" i="5" s="1"/>
  <c r="E101" i="6" s="1"/>
  <c r="J101" i="6" s="1"/>
  <c r="K101" i="6" s="1"/>
  <c r="D102" i="4"/>
  <c r="J111" i="4"/>
  <c r="L110" i="4"/>
  <c r="M110" i="4" s="1"/>
  <c r="D110" i="5" s="1"/>
  <c r="P111" i="4"/>
  <c r="Q111" i="4" s="1"/>
  <c r="E111" i="5" s="1"/>
  <c r="O112" i="4"/>
  <c r="O113" i="4" l="1"/>
  <c r="P112" i="4"/>
  <c r="Q112" i="4" s="1"/>
  <c r="E112" i="5" s="1"/>
  <c r="L111" i="4"/>
  <c r="M111" i="4" s="1"/>
  <c r="D111" i="5" s="1"/>
  <c r="J112" i="4"/>
  <c r="F102" i="4"/>
  <c r="G102" i="4" s="1"/>
  <c r="H102" i="4" s="1"/>
  <c r="I102" i="4" s="1"/>
  <c r="C102" i="5" s="1"/>
  <c r="G102" i="5" s="1"/>
  <c r="H102" i="5" s="1"/>
  <c r="I102" i="5" s="1"/>
  <c r="E102" i="6" s="1"/>
  <c r="J102" i="6" s="1"/>
  <c r="K102" i="6" s="1"/>
  <c r="D103" i="4"/>
  <c r="F103" i="4" l="1"/>
  <c r="G103" i="4" s="1"/>
  <c r="H103" i="4" s="1"/>
  <c r="I103" i="4" s="1"/>
  <c r="C103" i="5" s="1"/>
  <c r="G103" i="5" s="1"/>
  <c r="H103" i="5" s="1"/>
  <c r="I103" i="5" s="1"/>
  <c r="E103" i="6" s="1"/>
  <c r="J103" i="6" s="1"/>
  <c r="K103" i="6" s="1"/>
  <c r="D104" i="4"/>
  <c r="L112" i="4"/>
  <c r="M112" i="4" s="1"/>
  <c r="D112" i="5" s="1"/>
  <c r="J113" i="4"/>
  <c r="O114" i="4"/>
  <c r="P113" i="4"/>
  <c r="Q113" i="4" s="1"/>
  <c r="E113" i="5" s="1"/>
  <c r="P114" i="4" l="1"/>
  <c r="Q114" i="4" s="1"/>
  <c r="E114" i="5" s="1"/>
  <c r="O115" i="4"/>
  <c r="L113" i="4"/>
  <c r="M113" i="4" s="1"/>
  <c r="D113" i="5" s="1"/>
  <c r="J114" i="4"/>
  <c r="F104" i="4"/>
  <c r="G104" i="4" s="1"/>
  <c r="H104" i="4" s="1"/>
  <c r="I104" i="4" s="1"/>
  <c r="C104" i="5" s="1"/>
  <c r="G104" i="5" s="1"/>
  <c r="H104" i="5" s="1"/>
  <c r="I104" i="5" s="1"/>
  <c r="E104" i="6" s="1"/>
  <c r="J104" i="6" s="1"/>
  <c r="K104" i="6" s="1"/>
  <c r="D105" i="4"/>
  <c r="F105" i="4" l="1"/>
  <c r="G105" i="4" s="1"/>
  <c r="H105" i="4" s="1"/>
  <c r="I105" i="4" s="1"/>
  <c r="C105" i="5" s="1"/>
  <c r="G105" i="5" s="1"/>
  <c r="H105" i="5" s="1"/>
  <c r="I105" i="5" s="1"/>
  <c r="E105" i="6" s="1"/>
  <c r="J105" i="6" s="1"/>
  <c r="K105" i="6" s="1"/>
  <c r="D106" i="4"/>
  <c r="P115" i="4"/>
  <c r="Q115" i="4" s="1"/>
  <c r="E115" i="5" s="1"/>
  <c r="O116" i="4"/>
  <c r="L114" i="4"/>
  <c r="M114" i="4" s="1"/>
  <c r="D114" i="5" s="1"/>
  <c r="J115" i="4"/>
  <c r="L115" i="4" l="1"/>
  <c r="M115" i="4" s="1"/>
  <c r="D115" i="5" s="1"/>
  <c r="J116" i="4"/>
  <c r="O117" i="4"/>
  <c r="P116" i="4"/>
  <c r="Q116" i="4" s="1"/>
  <c r="E116" i="5" s="1"/>
  <c r="D107" i="4"/>
  <c r="F106" i="4"/>
  <c r="G106" i="4" s="1"/>
  <c r="H106" i="4" s="1"/>
  <c r="I106" i="4" s="1"/>
  <c r="C106" i="5" s="1"/>
  <c r="G106" i="5" s="1"/>
  <c r="H106" i="5" s="1"/>
  <c r="I106" i="5" s="1"/>
  <c r="E106" i="6" s="1"/>
  <c r="J106" i="6" s="1"/>
  <c r="K106" i="6" s="1"/>
  <c r="D108" i="4" l="1"/>
  <c r="F107" i="4"/>
  <c r="G107" i="4" s="1"/>
  <c r="H107" i="4" s="1"/>
  <c r="I107" i="4" s="1"/>
  <c r="C107" i="5" s="1"/>
  <c r="G107" i="5" s="1"/>
  <c r="H107" i="5" s="1"/>
  <c r="I107" i="5" s="1"/>
  <c r="E107" i="6" s="1"/>
  <c r="J107" i="6" s="1"/>
  <c r="K107" i="6" s="1"/>
  <c r="O118" i="4"/>
  <c r="P117" i="4"/>
  <c r="Q117" i="4" s="1"/>
  <c r="E117" i="5" s="1"/>
  <c r="L116" i="4"/>
  <c r="M116" i="4" s="1"/>
  <c r="D116" i="5" s="1"/>
  <c r="J117" i="4"/>
  <c r="L117" i="4" l="1"/>
  <c r="M117" i="4" s="1"/>
  <c r="D117" i="5" s="1"/>
  <c r="J118" i="4"/>
  <c r="O119" i="4"/>
  <c r="P118" i="4"/>
  <c r="Q118" i="4" s="1"/>
  <c r="E118" i="5" s="1"/>
  <c r="F108" i="4"/>
  <c r="G108" i="4" s="1"/>
  <c r="H108" i="4" s="1"/>
  <c r="I108" i="4" s="1"/>
  <c r="C108" i="5" s="1"/>
  <c r="G108" i="5" s="1"/>
  <c r="H108" i="5" s="1"/>
  <c r="I108" i="5" s="1"/>
  <c r="E108" i="6" s="1"/>
  <c r="J108" i="6" s="1"/>
  <c r="K108" i="6" s="1"/>
  <c r="D109" i="4"/>
  <c r="F109" i="4" l="1"/>
  <c r="G109" i="4" s="1"/>
  <c r="H109" i="4" s="1"/>
  <c r="I109" i="4" s="1"/>
  <c r="C109" i="5" s="1"/>
  <c r="G109" i="5" s="1"/>
  <c r="H109" i="5" s="1"/>
  <c r="I109" i="5" s="1"/>
  <c r="E109" i="6" s="1"/>
  <c r="J109" i="6" s="1"/>
  <c r="K109" i="6" s="1"/>
  <c r="D110" i="4"/>
  <c r="J119" i="4"/>
  <c r="L118" i="4"/>
  <c r="M118" i="4" s="1"/>
  <c r="D118" i="5" s="1"/>
  <c r="P119" i="4"/>
  <c r="Q119" i="4" s="1"/>
  <c r="E119" i="5" s="1"/>
  <c r="O120" i="4"/>
  <c r="P120" i="4" l="1"/>
  <c r="Q120" i="4" s="1"/>
  <c r="E120" i="5" s="1"/>
  <c r="O121" i="4"/>
  <c r="L119" i="4"/>
  <c r="M119" i="4" s="1"/>
  <c r="D119" i="5" s="1"/>
  <c r="J120" i="4"/>
  <c r="F110" i="4"/>
  <c r="G110" i="4" s="1"/>
  <c r="H110" i="4" s="1"/>
  <c r="I110" i="4" s="1"/>
  <c r="C110" i="5" s="1"/>
  <c r="G110" i="5" s="1"/>
  <c r="H110" i="5" s="1"/>
  <c r="I110" i="5" s="1"/>
  <c r="E110" i="6" s="1"/>
  <c r="J110" i="6" s="1"/>
  <c r="K110" i="6" s="1"/>
  <c r="D111" i="4"/>
  <c r="L120" i="4" l="1"/>
  <c r="M120" i="4" s="1"/>
  <c r="D120" i="5" s="1"/>
  <c r="J121" i="4"/>
  <c r="O122" i="4"/>
  <c r="P121" i="4"/>
  <c r="Q121" i="4" s="1"/>
  <c r="E121" i="5" s="1"/>
  <c r="F111" i="4"/>
  <c r="G111" i="4" s="1"/>
  <c r="H111" i="4" s="1"/>
  <c r="I111" i="4" s="1"/>
  <c r="C111" i="5" s="1"/>
  <c r="G111" i="5" s="1"/>
  <c r="H111" i="5" s="1"/>
  <c r="I111" i="5" s="1"/>
  <c r="E111" i="6" s="1"/>
  <c r="J111" i="6" s="1"/>
  <c r="K111" i="6" s="1"/>
  <c r="D112" i="4"/>
  <c r="L121" i="4" l="1"/>
  <c r="M121" i="4" s="1"/>
  <c r="D121" i="5" s="1"/>
  <c r="J122" i="4"/>
  <c r="F112" i="4"/>
  <c r="G112" i="4" s="1"/>
  <c r="H112" i="4" s="1"/>
  <c r="I112" i="4" s="1"/>
  <c r="C112" i="5" s="1"/>
  <c r="G112" i="5" s="1"/>
  <c r="H112" i="5" s="1"/>
  <c r="I112" i="5" s="1"/>
  <c r="E112" i="6" s="1"/>
  <c r="J112" i="6" s="1"/>
  <c r="K112" i="6" s="1"/>
  <c r="D113" i="4"/>
  <c r="P122" i="4"/>
  <c r="Q122" i="4" s="1"/>
  <c r="E122" i="5" s="1"/>
  <c r="O123" i="4"/>
  <c r="O124" i="4" l="1"/>
  <c r="P123" i="4"/>
  <c r="Q123" i="4" s="1"/>
  <c r="E123" i="5" s="1"/>
  <c r="F113" i="4"/>
  <c r="G113" i="4" s="1"/>
  <c r="H113" i="4" s="1"/>
  <c r="I113" i="4" s="1"/>
  <c r="C113" i="5" s="1"/>
  <c r="G113" i="5" s="1"/>
  <c r="H113" i="5" s="1"/>
  <c r="I113" i="5" s="1"/>
  <c r="E113" i="6" s="1"/>
  <c r="J113" i="6" s="1"/>
  <c r="K113" i="6" s="1"/>
  <c r="D114" i="4"/>
  <c r="J123" i="4"/>
  <c r="L122" i="4"/>
  <c r="M122" i="4" s="1"/>
  <c r="D122" i="5" s="1"/>
  <c r="L123" i="4" l="1"/>
  <c r="M123" i="4" s="1"/>
  <c r="D123" i="5" s="1"/>
  <c r="J124" i="4"/>
  <c r="F114" i="4"/>
  <c r="G114" i="4" s="1"/>
  <c r="H114" i="4" s="1"/>
  <c r="I114" i="4" s="1"/>
  <c r="C114" i="5" s="1"/>
  <c r="G114" i="5" s="1"/>
  <c r="H114" i="5" s="1"/>
  <c r="I114" i="5" s="1"/>
  <c r="E114" i="6" s="1"/>
  <c r="J114" i="6" s="1"/>
  <c r="K114" i="6" s="1"/>
  <c r="D115" i="4"/>
  <c r="P124" i="4"/>
  <c r="Q124" i="4" s="1"/>
  <c r="E124" i="5" s="1"/>
  <c r="O125" i="4"/>
  <c r="O126" i="4" l="1"/>
  <c r="P125" i="4"/>
  <c r="Q125" i="4" s="1"/>
  <c r="E125" i="5" s="1"/>
  <c r="F115" i="4"/>
  <c r="G115" i="4" s="1"/>
  <c r="H115" i="4" s="1"/>
  <c r="I115" i="4" s="1"/>
  <c r="C115" i="5" s="1"/>
  <c r="G115" i="5" s="1"/>
  <c r="H115" i="5" s="1"/>
  <c r="I115" i="5" s="1"/>
  <c r="E115" i="6" s="1"/>
  <c r="J115" i="6" s="1"/>
  <c r="K115" i="6" s="1"/>
  <c r="D116" i="4"/>
  <c r="L124" i="4"/>
  <c r="M124" i="4" s="1"/>
  <c r="D124" i="5" s="1"/>
  <c r="J125" i="4"/>
  <c r="L125" i="4" l="1"/>
  <c r="M125" i="4" s="1"/>
  <c r="D125" i="5" s="1"/>
  <c r="J126" i="4"/>
  <c r="D117" i="4"/>
  <c r="F116" i="4"/>
  <c r="G116" i="4" s="1"/>
  <c r="H116" i="4" s="1"/>
  <c r="I116" i="4" s="1"/>
  <c r="C116" i="5" s="1"/>
  <c r="G116" i="5" s="1"/>
  <c r="H116" i="5" s="1"/>
  <c r="I116" i="5" s="1"/>
  <c r="E116" i="6" s="1"/>
  <c r="J116" i="6" s="1"/>
  <c r="K116" i="6" s="1"/>
  <c r="P126" i="4"/>
  <c r="Q126" i="4" s="1"/>
  <c r="E126" i="5" s="1"/>
  <c r="O127" i="4"/>
  <c r="O128" i="4" l="1"/>
  <c r="P127" i="4"/>
  <c r="Q127" i="4" s="1"/>
  <c r="E127" i="5" s="1"/>
  <c r="F117" i="4"/>
  <c r="G117" i="4" s="1"/>
  <c r="H117" i="4" s="1"/>
  <c r="I117" i="4" s="1"/>
  <c r="C117" i="5" s="1"/>
  <c r="G117" i="5" s="1"/>
  <c r="H117" i="5" s="1"/>
  <c r="I117" i="5" s="1"/>
  <c r="E117" i="6" s="1"/>
  <c r="J117" i="6" s="1"/>
  <c r="K117" i="6" s="1"/>
  <c r="D118" i="4"/>
  <c r="L126" i="4"/>
  <c r="M126" i="4" s="1"/>
  <c r="D126" i="5" s="1"/>
  <c r="J127" i="4"/>
  <c r="L127" i="4" l="1"/>
  <c r="M127" i="4" s="1"/>
  <c r="D127" i="5" s="1"/>
  <c r="J128" i="4"/>
  <c r="F118" i="4"/>
  <c r="G118" i="4" s="1"/>
  <c r="H118" i="4" s="1"/>
  <c r="I118" i="4" s="1"/>
  <c r="C118" i="5" s="1"/>
  <c r="G118" i="5" s="1"/>
  <c r="H118" i="5" s="1"/>
  <c r="I118" i="5" s="1"/>
  <c r="E118" i="6" s="1"/>
  <c r="J118" i="6" s="1"/>
  <c r="K118" i="6" s="1"/>
  <c r="D119" i="4"/>
  <c r="P128" i="4"/>
  <c r="Q128" i="4" s="1"/>
  <c r="E128" i="5" s="1"/>
  <c r="O129" i="4"/>
  <c r="O130" i="4" l="1"/>
  <c r="P129" i="4"/>
  <c r="Q129" i="4" s="1"/>
  <c r="E129" i="5" s="1"/>
  <c r="F119" i="4"/>
  <c r="G119" i="4" s="1"/>
  <c r="H119" i="4" s="1"/>
  <c r="I119" i="4" s="1"/>
  <c r="C119" i="5" s="1"/>
  <c r="G119" i="5" s="1"/>
  <c r="H119" i="5" s="1"/>
  <c r="I119" i="5" s="1"/>
  <c r="E119" i="6" s="1"/>
  <c r="J119" i="6" s="1"/>
  <c r="K119" i="6" s="1"/>
  <c r="D120" i="4"/>
  <c r="L128" i="4"/>
  <c r="M128" i="4" s="1"/>
  <c r="D128" i="5" s="1"/>
  <c r="J129" i="4"/>
  <c r="L129" i="4" l="1"/>
  <c r="M129" i="4" s="1"/>
  <c r="D129" i="5" s="1"/>
  <c r="J130" i="4"/>
  <c r="F120" i="4"/>
  <c r="G120" i="4" s="1"/>
  <c r="H120" i="4" s="1"/>
  <c r="I120" i="4" s="1"/>
  <c r="C120" i="5" s="1"/>
  <c r="G120" i="5" s="1"/>
  <c r="H120" i="5" s="1"/>
  <c r="I120" i="5" s="1"/>
  <c r="E120" i="6" s="1"/>
  <c r="J120" i="6" s="1"/>
  <c r="K120" i="6" s="1"/>
  <c r="D121" i="4"/>
  <c r="O131" i="4"/>
  <c r="P130" i="4"/>
  <c r="Q130" i="4" s="1"/>
  <c r="E130" i="5" s="1"/>
  <c r="O132" i="4" l="1"/>
  <c r="P131" i="4"/>
  <c r="Q131" i="4" s="1"/>
  <c r="E131" i="5" s="1"/>
  <c r="F121" i="4"/>
  <c r="G121" i="4" s="1"/>
  <c r="H121" i="4" s="1"/>
  <c r="I121" i="4" s="1"/>
  <c r="C121" i="5" s="1"/>
  <c r="G121" i="5" s="1"/>
  <c r="H121" i="5" s="1"/>
  <c r="I121" i="5" s="1"/>
  <c r="E121" i="6" s="1"/>
  <c r="J121" i="6" s="1"/>
  <c r="K121" i="6" s="1"/>
  <c r="D122" i="4"/>
  <c r="L130" i="4"/>
  <c r="M130" i="4" s="1"/>
  <c r="D130" i="5" s="1"/>
  <c r="J131" i="4"/>
  <c r="L131" i="4" l="1"/>
  <c r="M131" i="4" s="1"/>
  <c r="D131" i="5" s="1"/>
  <c r="J132" i="4"/>
  <c r="F122" i="4"/>
  <c r="G122" i="4" s="1"/>
  <c r="H122" i="4" s="1"/>
  <c r="I122" i="4" s="1"/>
  <c r="C122" i="5" s="1"/>
  <c r="G122" i="5" s="1"/>
  <c r="H122" i="5" s="1"/>
  <c r="I122" i="5" s="1"/>
  <c r="E122" i="6" s="1"/>
  <c r="J122" i="6" s="1"/>
  <c r="K122" i="6" s="1"/>
  <c r="D123" i="4"/>
  <c r="P132" i="4"/>
  <c r="Q132" i="4" s="1"/>
  <c r="E132" i="5" s="1"/>
  <c r="O133" i="4"/>
  <c r="O134" i="4" l="1"/>
  <c r="P133" i="4"/>
  <c r="Q133" i="4" s="1"/>
  <c r="E133" i="5" s="1"/>
  <c r="F123" i="4"/>
  <c r="G123" i="4" s="1"/>
  <c r="H123" i="4" s="1"/>
  <c r="I123" i="4" s="1"/>
  <c r="C123" i="5" s="1"/>
  <c r="G123" i="5" s="1"/>
  <c r="H123" i="5" s="1"/>
  <c r="I123" i="5" s="1"/>
  <c r="E123" i="6" s="1"/>
  <c r="J123" i="6" s="1"/>
  <c r="K123" i="6" s="1"/>
  <c r="D124" i="4"/>
  <c r="L132" i="4"/>
  <c r="M132" i="4" s="1"/>
  <c r="D132" i="5" s="1"/>
  <c r="J133" i="4"/>
  <c r="D125" i="4" l="1"/>
  <c r="F124" i="4"/>
  <c r="G124" i="4" s="1"/>
  <c r="H124" i="4" s="1"/>
  <c r="I124" i="4" s="1"/>
  <c r="C124" i="5" s="1"/>
  <c r="G124" i="5" s="1"/>
  <c r="H124" i="5" s="1"/>
  <c r="I124" i="5" s="1"/>
  <c r="E124" i="6" s="1"/>
  <c r="J124" i="6" s="1"/>
  <c r="K124" i="6" s="1"/>
  <c r="L133" i="4"/>
  <c r="M133" i="4" s="1"/>
  <c r="D133" i="5" s="1"/>
  <c r="J134" i="4"/>
  <c r="O135" i="4"/>
  <c r="P134" i="4"/>
  <c r="Q134" i="4" s="1"/>
  <c r="E134" i="5" s="1"/>
  <c r="P135" i="4" l="1"/>
  <c r="Q135" i="4" s="1"/>
  <c r="E135" i="5" s="1"/>
  <c r="O136" i="4"/>
  <c r="L134" i="4"/>
  <c r="M134" i="4" s="1"/>
  <c r="D134" i="5" s="1"/>
  <c r="J135" i="4"/>
  <c r="F125" i="4"/>
  <c r="G125" i="4" s="1"/>
  <c r="H125" i="4" s="1"/>
  <c r="I125" i="4" s="1"/>
  <c r="C125" i="5" s="1"/>
  <c r="G125" i="5" s="1"/>
  <c r="H125" i="5" s="1"/>
  <c r="I125" i="5" s="1"/>
  <c r="E125" i="6" s="1"/>
  <c r="J125" i="6" s="1"/>
  <c r="K125" i="6" s="1"/>
  <c r="D126" i="4"/>
  <c r="D127" i="4" l="1"/>
  <c r="F126" i="4"/>
  <c r="G126" i="4" s="1"/>
  <c r="H126" i="4" s="1"/>
  <c r="I126" i="4" s="1"/>
  <c r="C126" i="5" s="1"/>
  <c r="G126" i="5" s="1"/>
  <c r="H126" i="5" s="1"/>
  <c r="I126" i="5" s="1"/>
  <c r="E126" i="6" s="1"/>
  <c r="J126" i="6" s="1"/>
  <c r="K126" i="6" s="1"/>
  <c r="L135" i="4"/>
  <c r="M135" i="4" s="1"/>
  <c r="D135" i="5" s="1"/>
  <c r="J136" i="4"/>
  <c r="O137" i="4"/>
  <c r="P136" i="4"/>
  <c r="Q136" i="4" s="1"/>
  <c r="E136" i="5" s="1"/>
  <c r="O138" i="4" l="1"/>
  <c r="P137" i="4"/>
  <c r="Q137" i="4" s="1"/>
  <c r="E137" i="5" s="1"/>
  <c r="L136" i="4"/>
  <c r="M136" i="4" s="1"/>
  <c r="D136" i="5" s="1"/>
  <c r="J137" i="4"/>
  <c r="D128" i="4"/>
  <c r="F127" i="4"/>
  <c r="G127" i="4" s="1"/>
  <c r="H127" i="4" s="1"/>
  <c r="I127" i="4" s="1"/>
  <c r="C127" i="5" s="1"/>
  <c r="G127" i="5" s="1"/>
  <c r="H127" i="5" s="1"/>
  <c r="I127" i="5" s="1"/>
  <c r="E127" i="6" s="1"/>
  <c r="J127" i="6" s="1"/>
  <c r="K127" i="6" s="1"/>
  <c r="F128" i="4" l="1"/>
  <c r="G128" i="4" s="1"/>
  <c r="H128" i="4" s="1"/>
  <c r="I128" i="4" s="1"/>
  <c r="C128" i="5" s="1"/>
  <c r="G128" i="5" s="1"/>
  <c r="H128" i="5" s="1"/>
  <c r="I128" i="5" s="1"/>
  <c r="E128" i="6" s="1"/>
  <c r="J128" i="6" s="1"/>
  <c r="K128" i="6" s="1"/>
  <c r="D129" i="4"/>
  <c r="L137" i="4"/>
  <c r="M137" i="4" s="1"/>
  <c r="D137" i="5" s="1"/>
  <c r="J138" i="4"/>
  <c r="O139" i="4"/>
  <c r="P138" i="4"/>
  <c r="Q138" i="4" s="1"/>
  <c r="E138" i="5" s="1"/>
  <c r="L138" i="4" l="1"/>
  <c r="M138" i="4" s="1"/>
  <c r="D138" i="5" s="1"/>
  <c r="J139" i="4"/>
  <c r="O140" i="4"/>
  <c r="P139" i="4"/>
  <c r="Q139" i="4" s="1"/>
  <c r="E139" i="5" s="1"/>
  <c r="F129" i="4"/>
  <c r="G129" i="4" s="1"/>
  <c r="H129" i="4" s="1"/>
  <c r="I129" i="4" s="1"/>
  <c r="C129" i="5" s="1"/>
  <c r="G129" i="5" s="1"/>
  <c r="H129" i="5" s="1"/>
  <c r="I129" i="5" s="1"/>
  <c r="E129" i="6" s="1"/>
  <c r="J129" i="6" s="1"/>
  <c r="K129" i="6" s="1"/>
  <c r="D130" i="4"/>
  <c r="L139" i="4" l="1"/>
  <c r="M139" i="4" s="1"/>
  <c r="D139" i="5" s="1"/>
  <c r="J140" i="4"/>
  <c r="D131" i="4"/>
  <c r="F130" i="4"/>
  <c r="G130" i="4" s="1"/>
  <c r="H130" i="4" s="1"/>
  <c r="I130" i="4" s="1"/>
  <c r="C130" i="5" s="1"/>
  <c r="G130" i="5" s="1"/>
  <c r="H130" i="5" s="1"/>
  <c r="I130" i="5" s="1"/>
  <c r="E130" i="6" s="1"/>
  <c r="J130" i="6" s="1"/>
  <c r="K130" i="6" s="1"/>
  <c r="O141" i="4"/>
  <c r="P140" i="4"/>
  <c r="Q140" i="4" s="1"/>
  <c r="E140" i="5" s="1"/>
  <c r="P141" i="4" l="1"/>
  <c r="Q141" i="4" s="1"/>
  <c r="E141" i="5" s="1"/>
  <c r="O142" i="4"/>
  <c r="F131" i="4"/>
  <c r="G131" i="4" s="1"/>
  <c r="H131" i="4" s="1"/>
  <c r="I131" i="4" s="1"/>
  <c r="C131" i="5" s="1"/>
  <c r="G131" i="5" s="1"/>
  <c r="H131" i="5" s="1"/>
  <c r="I131" i="5" s="1"/>
  <c r="E131" i="6" s="1"/>
  <c r="J131" i="6" s="1"/>
  <c r="K131" i="6" s="1"/>
  <c r="D132" i="4"/>
  <c r="L140" i="4"/>
  <c r="M140" i="4" s="1"/>
  <c r="D140" i="5" s="1"/>
  <c r="J141" i="4"/>
  <c r="L141" i="4" l="1"/>
  <c r="M141" i="4" s="1"/>
  <c r="D141" i="5" s="1"/>
  <c r="J142" i="4"/>
  <c r="F132" i="4"/>
  <c r="G132" i="4" s="1"/>
  <c r="H132" i="4" s="1"/>
  <c r="I132" i="4" s="1"/>
  <c r="C132" i="5" s="1"/>
  <c r="G132" i="5" s="1"/>
  <c r="H132" i="5" s="1"/>
  <c r="I132" i="5" s="1"/>
  <c r="E132" i="6" s="1"/>
  <c r="J132" i="6" s="1"/>
  <c r="K132" i="6" s="1"/>
  <c r="D133" i="4"/>
  <c r="O143" i="4"/>
  <c r="P142" i="4"/>
  <c r="Q142" i="4" s="1"/>
  <c r="E142" i="5" s="1"/>
  <c r="D134" i="4" l="1"/>
  <c r="F133" i="4"/>
  <c r="G133" i="4" s="1"/>
  <c r="H133" i="4" s="1"/>
  <c r="I133" i="4" s="1"/>
  <c r="C133" i="5" s="1"/>
  <c r="G133" i="5" s="1"/>
  <c r="H133" i="5" s="1"/>
  <c r="I133" i="5" s="1"/>
  <c r="E133" i="6" s="1"/>
  <c r="J133" i="6" s="1"/>
  <c r="K133" i="6" s="1"/>
  <c r="L142" i="4"/>
  <c r="M142" i="4" s="1"/>
  <c r="D142" i="5" s="1"/>
  <c r="J143" i="4"/>
  <c r="O144" i="4"/>
  <c r="P143" i="4"/>
  <c r="Q143" i="4" s="1"/>
  <c r="E143" i="5" s="1"/>
  <c r="L143" i="4" l="1"/>
  <c r="M143" i="4" s="1"/>
  <c r="D143" i="5" s="1"/>
  <c r="J144" i="4"/>
  <c r="O145" i="4"/>
  <c r="P144" i="4"/>
  <c r="Q144" i="4" s="1"/>
  <c r="E144" i="5" s="1"/>
  <c r="F134" i="4"/>
  <c r="G134" i="4" s="1"/>
  <c r="H134" i="4" s="1"/>
  <c r="I134" i="4" s="1"/>
  <c r="C134" i="5" s="1"/>
  <c r="G134" i="5" s="1"/>
  <c r="H134" i="5" s="1"/>
  <c r="I134" i="5" s="1"/>
  <c r="E134" i="6" s="1"/>
  <c r="J134" i="6" s="1"/>
  <c r="K134" i="6" s="1"/>
  <c r="D135" i="4"/>
  <c r="F135" i="4" l="1"/>
  <c r="G135" i="4" s="1"/>
  <c r="H135" i="4" s="1"/>
  <c r="I135" i="4" s="1"/>
  <c r="C135" i="5" s="1"/>
  <c r="G135" i="5" s="1"/>
  <c r="H135" i="5" s="1"/>
  <c r="I135" i="5" s="1"/>
  <c r="E135" i="6" s="1"/>
  <c r="J135" i="6" s="1"/>
  <c r="K135" i="6" s="1"/>
  <c r="D136" i="4"/>
  <c r="O146" i="4"/>
  <c r="P145" i="4"/>
  <c r="Q145" i="4" s="1"/>
  <c r="E145" i="5" s="1"/>
  <c r="L144" i="4"/>
  <c r="M144" i="4" s="1"/>
  <c r="D144" i="5" s="1"/>
  <c r="J145" i="4"/>
  <c r="L145" i="4" l="1"/>
  <c r="M145" i="4" s="1"/>
  <c r="D145" i="5" s="1"/>
  <c r="J146" i="4"/>
  <c r="O147" i="4"/>
  <c r="P146" i="4"/>
  <c r="Q146" i="4" s="1"/>
  <c r="E146" i="5" s="1"/>
  <c r="F136" i="4"/>
  <c r="G136" i="4" s="1"/>
  <c r="H136" i="4" s="1"/>
  <c r="I136" i="4" s="1"/>
  <c r="C136" i="5" s="1"/>
  <c r="G136" i="5" s="1"/>
  <c r="H136" i="5" s="1"/>
  <c r="I136" i="5" s="1"/>
  <c r="E136" i="6" s="1"/>
  <c r="J136" i="6" s="1"/>
  <c r="K136" i="6" s="1"/>
  <c r="D137" i="4"/>
  <c r="F137" i="4" l="1"/>
  <c r="G137" i="4" s="1"/>
  <c r="H137" i="4" s="1"/>
  <c r="I137" i="4" s="1"/>
  <c r="C137" i="5" s="1"/>
  <c r="G137" i="5" s="1"/>
  <c r="H137" i="5" s="1"/>
  <c r="I137" i="5" s="1"/>
  <c r="E137" i="6" s="1"/>
  <c r="J137" i="6" s="1"/>
  <c r="K137" i="6" s="1"/>
  <c r="D138" i="4"/>
  <c r="L146" i="4"/>
  <c r="M146" i="4" s="1"/>
  <c r="D146" i="5" s="1"/>
  <c r="J147" i="4"/>
  <c r="O148" i="4"/>
  <c r="P147" i="4"/>
  <c r="Q147" i="4" s="1"/>
  <c r="E147" i="5" s="1"/>
  <c r="L147" i="4" l="1"/>
  <c r="M147" i="4" s="1"/>
  <c r="D147" i="5" s="1"/>
  <c r="J148" i="4"/>
  <c r="O149" i="4"/>
  <c r="P148" i="4"/>
  <c r="Q148" i="4" s="1"/>
  <c r="E148" i="5" s="1"/>
  <c r="F138" i="4"/>
  <c r="G138" i="4" s="1"/>
  <c r="H138" i="4" s="1"/>
  <c r="I138" i="4" s="1"/>
  <c r="C138" i="5" s="1"/>
  <c r="G138" i="5" s="1"/>
  <c r="H138" i="5" s="1"/>
  <c r="I138" i="5" s="1"/>
  <c r="E138" i="6" s="1"/>
  <c r="J138" i="6" s="1"/>
  <c r="K138" i="6" s="1"/>
  <c r="D139" i="4"/>
  <c r="F139" i="4" l="1"/>
  <c r="G139" i="4" s="1"/>
  <c r="H139" i="4" s="1"/>
  <c r="I139" i="4" s="1"/>
  <c r="C139" i="5" s="1"/>
  <c r="G139" i="5" s="1"/>
  <c r="H139" i="5" s="1"/>
  <c r="I139" i="5" s="1"/>
  <c r="E139" i="6" s="1"/>
  <c r="J139" i="6" s="1"/>
  <c r="K139" i="6" s="1"/>
  <c r="D140" i="4"/>
  <c r="O150" i="4"/>
  <c r="P149" i="4"/>
  <c r="Q149" i="4" s="1"/>
  <c r="E149" i="5" s="1"/>
  <c r="L148" i="4"/>
  <c r="M148" i="4" s="1"/>
  <c r="D148" i="5" s="1"/>
  <c r="J149" i="4"/>
  <c r="O151" i="4" l="1"/>
  <c r="P150" i="4"/>
  <c r="Q150" i="4" s="1"/>
  <c r="E150" i="5" s="1"/>
  <c r="L149" i="4"/>
  <c r="M149" i="4" s="1"/>
  <c r="D149" i="5" s="1"/>
  <c r="J150" i="4"/>
  <c r="F140" i="4"/>
  <c r="G140" i="4" s="1"/>
  <c r="H140" i="4" s="1"/>
  <c r="I140" i="4" s="1"/>
  <c r="C140" i="5" s="1"/>
  <c r="G140" i="5" s="1"/>
  <c r="H140" i="5" s="1"/>
  <c r="I140" i="5" s="1"/>
  <c r="E140" i="6" s="1"/>
  <c r="J140" i="6" s="1"/>
  <c r="K140" i="6" s="1"/>
  <c r="D141" i="4"/>
  <c r="F141" i="4" l="1"/>
  <c r="G141" i="4" s="1"/>
  <c r="H141" i="4" s="1"/>
  <c r="I141" i="4" s="1"/>
  <c r="C141" i="5" s="1"/>
  <c r="G141" i="5" s="1"/>
  <c r="H141" i="5" s="1"/>
  <c r="I141" i="5" s="1"/>
  <c r="E141" i="6" s="1"/>
  <c r="J141" i="6" s="1"/>
  <c r="K141" i="6" s="1"/>
  <c r="D142" i="4"/>
  <c r="L150" i="4"/>
  <c r="M150" i="4" s="1"/>
  <c r="D150" i="5" s="1"/>
  <c r="J151" i="4"/>
  <c r="O152" i="4"/>
  <c r="P151" i="4"/>
  <c r="Q151" i="4" s="1"/>
  <c r="E151" i="5" s="1"/>
  <c r="L151" i="4" l="1"/>
  <c r="M151" i="4" s="1"/>
  <c r="D151" i="5" s="1"/>
  <c r="J152" i="4"/>
  <c r="F142" i="4"/>
  <c r="G142" i="4" s="1"/>
  <c r="H142" i="4" s="1"/>
  <c r="I142" i="4" s="1"/>
  <c r="C142" i="5" s="1"/>
  <c r="G142" i="5" s="1"/>
  <c r="H142" i="5" s="1"/>
  <c r="I142" i="5" s="1"/>
  <c r="E142" i="6" s="1"/>
  <c r="J142" i="6" s="1"/>
  <c r="K142" i="6" s="1"/>
  <c r="D143" i="4"/>
  <c r="O153" i="4"/>
  <c r="P152" i="4"/>
  <c r="Q152" i="4" s="1"/>
  <c r="E152" i="5" s="1"/>
  <c r="J153" i="4" l="1"/>
  <c r="L152" i="4"/>
  <c r="M152" i="4" s="1"/>
  <c r="D152" i="5" s="1"/>
  <c r="P153" i="4"/>
  <c r="Q153" i="4" s="1"/>
  <c r="E153" i="5" s="1"/>
  <c r="O154" i="4"/>
  <c r="F143" i="4"/>
  <c r="G143" i="4" s="1"/>
  <c r="H143" i="4" s="1"/>
  <c r="I143" i="4" s="1"/>
  <c r="C143" i="5" s="1"/>
  <c r="G143" i="5" s="1"/>
  <c r="H143" i="5" s="1"/>
  <c r="I143" i="5" s="1"/>
  <c r="E143" i="6" s="1"/>
  <c r="J143" i="6" s="1"/>
  <c r="K143" i="6" s="1"/>
  <c r="D144" i="4"/>
  <c r="F144" i="4" l="1"/>
  <c r="G144" i="4" s="1"/>
  <c r="H144" i="4" s="1"/>
  <c r="I144" i="4" s="1"/>
  <c r="C144" i="5" s="1"/>
  <c r="G144" i="5" s="1"/>
  <c r="H144" i="5" s="1"/>
  <c r="I144" i="5" s="1"/>
  <c r="E144" i="6" s="1"/>
  <c r="J144" i="6" s="1"/>
  <c r="K144" i="6" s="1"/>
  <c r="D145" i="4"/>
  <c r="O155" i="4"/>
  <c r="P154" i="4"/>
  <c r="Q154" i="4" s="1"/>
  <c r="E154" i="5" s="1"/>
  <c r="L153" i="4"/>
  <c r="M153" i="4" s="1"/>
  <c r="D153" i="5" s="1"/>
  <c r="J154" i="4"/>
  <c r="L154" i="4" l="1"/>
  <c r="M154" i="4" s="1"/>
  <c r="D154" i="5" s="1"/>
  <c r="J155" i="4"/>
  <c r="P155" i="4"/>
  <c r="Q155" i="4" s="1"/>
  <c r="E155" i="5" s="1"/>
  <c r="O156" i="4"/>
  <c r="D146" i="4"/>
  <c r="F145" i="4"/>
  <c r="G145" i="4" s="1"/>
  <c r="H145" i="4" s="1"/>
  <c r="I145" i="4" s="1"/>
  <c r="C145" i="5" s="1"/>
  <c r="G145" i="5" s="1"/>
  <c r="H145" i="5" s="1"/>
  <c r="I145" i="5" s="1"/>
  <c r="E145" i="6" s="1"/>
  <c r="J145" i="6" s="1"/>
  <c r="K145" i="6" s="1"/>
  <c r="P156" i="4" l="1"/>
  <c r="Q156" i="4" s="1"/>
  <c r="E156" i="5" s="1"/>
  <c r="O157" i="4"/>
  <c r="F146" i="4"/>
  <c r="G146" i="4" s="1"/>
  <c r="H146" i="4" s="1"/>
  <c r="I146" i="4" s="1"/>
  <c r="C146" i="5" s="1"/>
  <c r="G146" i="5" s="1"/>
  <c r="H146" i="5" s="1"/>
  <c r="I146" i="5" s="1"/>
  <c r="E146" i="6" s="1"/>
  <c r="J146" i="6" s="1"/>
  <c r="K146" i="6" s="1"/>
  <c r="D147" i="4"/>
  <c r="L155" i="4"/>
  <c r="M155" i="4" s="1"/>
  <c r="D155" i="5" s="1"/>
  <c r="J156" i="4"/>
  <c r="L156" i="4" l="1"/>
  <c r="M156" i="4" s="1"/>
  <c r="D156" i="5" s="1"/>
  <c r="J157" i="4"/>
  <c r="F147" i="4"/>
  <c r="G147" i="4" s="1"/>
  <c r="H147" i="4" s="1"/>
  <c r="I147" i="4" s="1"/>
  <c r="C147" i="5" s="1"/>
  <c r="G147" i="5" s="1"/>
  <c r="H147" i="5" s="1"/>
  <c r="I147" i="5" s="1"/>
  <c r="E147" i="6" s="1"/>
  <c r="J147" i="6" s="1"/>
  <c r="K147" i="6" s="1"/>
  <c r="D148" i="4"/>
  <c r="O158" i="4"/>
  <c r="P157" i="4"/>
  <c r="Q157" i="4" s="1"/>
  <c r="E157" i="5" s="1"/>
  <c r="O159" i="4" l="1"/>
  <c r="P158" i="4"/>
  <c r="Q158" i="4" s="1"/>
  <c r="E158" i="5" s="1"/>
  <c r="F148" i="4"/>
  <c r="G148" i="4" s="1"/>
  <c r="H148" i="4" s="1"/>
  <c r="I148" i="4" s="1"/>
  <c r="C148" i="5" s="1"/>
  <c r="G148" i="5" s="1"/>
  <c r="H148" i="5" s="1"/>
  <c r="I148" i="5" s="1"/>
  <c r="E148" i="6" s="1"/>
  <c r="J148" i="6" s="1"/>
  <c r="K148" i="6" s="1"/>
  <c r="D149" i="4"/>
  <c r="L157" i="4"/>
  <c r="M157" i="4" s="1"/>
  <c r="D157" i="5" s="1"/>
  <c r="J158" i="4"/>
  <c r="F149" i="4" l="1"/>
  <c r="G149" i="4" s="1"/>
  <c r="H149" i="4" s="1"/>
  <c r="I149" i="4" s="1"/>
  <c r="C149" i="5" s="1"/>
  <c r="G149" i="5" s="1"/>
  <c r="H149" i="5" s="1"/>
  <c r="I149" i="5" s="1"/>
  <c r="E149" i="6" s="1"/>
  <c r="J149" i="6" s="1"/>
  <c r="K149" i="6" s="1"/>
  <c r="D150" i="4"/>
  <c r="L158" i="4"/>
  <c r="M158" i="4" s="1"/>
  <c r="D158" i="5" s="1"/>
  <c r="J159" i="4"/>
  <c r="P159" i="4"/>
  <c r="Q159" i="4" s="1"/>
  <c r="E159" i="5" s="1"/>
  <c r="O160" i="4"/>
  <c r="O161" i="4" l="1"/>
  <c r="P160" i="4"/>
  <c r="Q160" i="4" s="1"/>
  <c r="E160" i="5" s="1"/>
  <c r="L159" i="4"/>
  <c r="M159" i="4" s="1"/>
  <c r="D159" i="5" s="1"/>
  <c r="J160" i="4"/>
  <c r="F150" i="4"/>
  <c r="G150" i="4" s="1"/>
  <c r="H150" i="4" s="1"/>
  <c r="I150" i="4" s="1"/>
  <c r="C150" i="5" s="1"/>
  <c r="G150" i="5" s="1"/>
  <c r="H150" i="5" s="1"/>
  <c r="I150" i="5" s="1"/>
  <c r="E150" i="6" s="1"/>
  <c r="J150" i="6" s="1"/>
  <c r="K150" i="6" s="1"/>
  <c r="D151" i="4"/>
  <c r="F151" i="4" l="1"/>
  <c r="G151" i="4" s="1"/>
  <c r="H151" i="4" s="1"/>
  <c r="I151" i="4" s="1"/>
  <c r="C151" i="5" s="1"/>
  <c r="G151" i="5" s="1"/>
  <c r="H151" i="5" s="1"/>
  <c r="I151" i="5" s="1"/>
  <c r="E151" i="6" s="1"/>
  <c r="J151" i="6" s="1"/>
  <c r="K151" i="6" s="1"/>
  <c r="D152" i="4"/>
  <c r="L160" i="4"/>
  <c r="M160" i="4" s="1"/>
  <c r="D160" i="5" s="1"/>
  <c r="J161" i="4"/>
  <c r="O162" i="4"/>
  <c r="P161" i="4"/>
  <c r="Q161" i="4" s="1"/>
  <c r="E161" i="5" s="1"/>
  <c r="O163" i="4" l="1"/>
  <c r="P162" i="4"/>
  <c r="Q162" i="4" s="1"/>
  <c r="E162" i="5" s="1"/>
  <c r="L161" i="4"/>
  <c r="M161" i="4" s="1"/>
  <c r="D161" i="5" s="1"/>
  <c r="J162" i="4"/>
  <c r="D153" i="4"/>
  <c r="F152" i="4"/>
  <c r="G152" i="4" s="1"/>
  <c r="H152" i="4" s="1"/>
  <c r="I152" i="4" s="1"/>
  <c r="C152" i="5" s="1"/>
  <c r="G152" i="5" s="1"/>
  <c r="H152" i="5" s="1"/>
  <c r="I152" i="5" s="1"/>
  <c r="E152" i="6" s="1"/>
  <c r="J152" i="6" s="1"/>
  <c r="K152" i="6" s="1"/>
  <c r="L162" i="4" l="1"/>
  <c r="M162" i="4" s="1"/>
  <c r="D162" i="5" s="1"/>
  <c r="J163" i="4"/>
  <c r="F153" i="4"/>
  <c r="G153" i="4" s="1"/>
  <c r="H153" i="4" s="1"/>
  <c r="I153" i="4" s="1"/>
  <c r="C153" i="5" s="1"/>
  <c r="G153" i="5" s="1"/>
  <c r="H153" i="5" s="1"/>
  <c r="I153" i="5" s="1"/>
  <c r="E153" i="6" s="1"/>
  <c r="J153" i="6" s="1"/>
  <c r="K153" i="6" s="1"/>
  <c r="D154" i="4"/>
  <c r="P163" i="4"/>
  <c r="Q163" i="4" s="1"/>
  <c r="E163" i="5" s="1"/>
  <c r="O164" i="4"/>
  <c r="D155" i="4" l="1"/>
  <c r="F154" i="4"/>
  <c r="G154" i="4" s="1"/>
  <c r="H154" i="4" s="1"/>
  <c r="I154" i="4" s="1"/>
  <c r="C154" i="5" s="1"/>
  <c r="G154" i="5" s="1"/>
  <c r="H154" i="5" s="1"/>
  <c r="I154" i="5" s="1"/>
  <c r="E154" i="6" s="1"/>
  <c r="J154" i="6" s="1"/>
  <c r="K154" i="6" s="1"/>
  <c r="O165" i="4"/>
  <c r="P164" i="4"/>
  <c r="Q164" i="4" s="1"/>
  <c r="E164" i="5" s="1"/>
  <c r="L163" i="4"/>
  <c r="M163" i="4" s="1"/>
  <c r="D163" i="5" s="1"/>
  <c r="J164" i="4"/>
  <c r="J165" i="4" l="1"/>
  <c r="L164" i="4"/>
  <c r="M164" i="4" s="1"/>
  <c r="D164" i="5" s="1"/>
  <c r="O166" i="4"/>
  <c r="P165" i="4"/>
  <c r="Q165" i="4" s="1"/>
  <c r="E165" i="5" s="1"/>
  <c r="F155" i="4"/>
  <c r="G155" i="4" s="1"/>
  <c r="H155" i="4" s="1"/>
  <c r="I155" i="4" s="1"/>
  <c r="C155" i="5" s="1"/>
  <c r="G155" i="5" s="1"/>
  <c r="H155" i="5" s="1"/>
  <c r="I155" i="5" s="1"/>
  <c r="E155" i="6" s="1"/>
  <c r="J155" i="6" s="1"/>
  <c r="K155" i="6" s="1"/>
  <c r="D156" i="4"/>
  <c r="F156" i="4" l="1"/>
  <c r="G156" i="4" s="1"/>
  <c r="H156" i="4" s="1"/>
  <c r="I156" i="4" s="1"/>
  <c r="C156" i="5" s="1"/>
  <c r="G156" i="5" s="1"/>
  <c r="H156" i="5" s="1"/>
  <c r="I156" i="5" s="1"/>
  <c r="E156" i="6" s="1"/>
  <c r="J156" i="6" s="1"/>
  <c r="K156" i="6" s="1"/>
  <c r="D157" i="4"/>
  <c r="P166" i="4"/>
  <c r="Q166" i="4" s="1"/>
  <c r="E166" i="5" s="1"/>
  <c r="O167" i="4"/>
  <c r="J166" i="4"/>
  <c r="L165" i="4"/>
  <c r="M165" i="4" s="1"/>
  <c r="D165" i="5" s="1"/>
  <c r="O168" i="4" l="1"/>
  <c r="P167" i="4"/>
  <c r="Q167" i="4" s="1"/>
  <c r="E167" i="5" s="1"/>
  <c r="L166" i="4"/>
  <c r="M166" i="4" s="1"/>
  <c r="D166" i="5" s="1"/>
  <c r="J167" i="4"/>
  <c r="F157" i="4"/>
  <c r="G157" i="4" s="1"/>
  <c r="H157" i="4" s="1"/>
  <c r="I157" i="4" s="1"/>
  <c r="C157" i="5" s="1"/>
  <c r="G157" i="5" s="1"/>
  <c r="H157" i="5" s="1"/>
  <c r="I157" i="5" s="1"/>
  <c r="E157" i="6" s="1"/>
  <c r="J157" i="6" s="1"/>
  <c r="K157" i="6" s="1"/>
  <c r="D158" i="4"/>
  <c r="F158" i="4" l="1"/>
  <c r="G158" i="4" s="1"/>
  <c r="H158" i="4" s="1"/>
  <c r="I158" i="4" s="1"/>
  <c r="C158" i="5" s="1"/>
  <c r="G158" i="5" s="1"/>
  <c r="H158" i="5" s="1"/>
  <c r="I158" i="5" s="1"/>
  <c r="E158" i="6" s="1"/>
  <c r="J158" i="6" s="1"/>
  <c r="K158" i="6" s="1"/>
  <c r="D159" i="4"/>
  <c r="L167" i="4"/>
  <c r="M167" i="4" s="1"/>
  <c r="D167" i="5" s="1"/>
  <c r="J168" i="4"/>
  <c r="P168" i="4"/>
  <c r="Q168" i="4" s="1"/>
  <c r="E168" i="5" s="1"/>
  <c r="O169" i="4"/>
  <c r="L168" i="4" l="1"/>
  <c r="M168" i="4" s="1"/>
  <c r="D168" i="5" s="1"/>
  <c r="J169" i="4"/>
  <c r="F159" i="4"/>
  <c r="G159" i="4" s="1"/>
  <c r="H159" i="4" s="1"/>
  <c r="I159" i="4" s="1"/>
  <c r="C159" i="5" s="1"/>
  <c r="G159" i="5" s="1"/>
  <c r="H159" i="5" s="1"/>
  <c r="I159" i="5" s="1"/>
  <c r="E159" i="6" s="1"/>
  <c r="J159" i="6" s="1"/>
  <c r="K159" i="6" s="1"/>
  <c r="D160" i="4"/>
  <c r="P169" i="4"/>
  <c r="Q169" i="4" s="1"/>
  <c r="E169" i="5" s="1"/>
  <c r="O170" i="4"/>
  <c r="P170" i="4" l="1"/>
  <c r="Q170" i="4" s="1"/>
  <c r="E170" i="5" s="1"/>
  <c r="O171" i="4"/>
  <c r="F160" i="4"/>
  <c r="G160" i="4" s="1"/>
  <c r="H160" i="4" s="1"/>
  <c r="I160" i="4" s="1"/>
  <c r="C160" i="5" s="1"/>
  <c r="G160" i="5" s="1"/>
  <c r="H160" i="5" s="1"/>
  <c r="I160" i="5" s="1"/>
  <c r="E160" i="6" s="1"/>
  <c r="J160" i="6" s="1"/>
  <c r="K160" i="6" s="1"/>
  <c r="D161" i="4"/>
  <c r="L169" i="4"/>
  <c r="M169" i="4" s="1"/>
  <c r="D169" i="5" s="1"/>
  <c r="J170" i="4"/>
  <c r="F161" i="4" l="1"/>
  <c r="G161" i="4" s="1"/>
  <c r="H161" i="4" s="1"/>
  <c r="I161" i="4" s="1"/>
  <c r="C161" i="5" s="1"/>
  <c r="G161" i="5" s="1"/>
  <c r="H161" i="5" s="1"/>
  <c r="I161" i="5" s="1"/>
  <c r="E161" i="6" s="1"/>
  <c r="J161" i="6" s="1"/>
  <c r="K161" i="6" s="1"/>
  <c r="D162" i="4"/>
  <c r="L170" i="4"/>
  <c r="M170" i="4" s="1"/>
  <c r="D170" i="5" s="1"/>
  <c r="J171" i="4"/>
  <c r="P171" i="4"/>
  <c r="Q171" i="4" s="1"/>
  <c r="E171" i="5" s="1"/>
  <c r="O172" i="4"/>
  <c r="P172" i="4" l="1"/>
  <c r="Q172" i="4" s="1"/>
  <c r="E172" i="5" s="1"/>
  <c r="O173" i="4"/>
  <c r="L171" i="4"/>
  <c r="M171" i="4" s="1"/>
  <c r="D171" i="5" s="1"/>
  <c r="J172" i="4"/>
  <c r="F162" i="4"/>
  <c r="G162" i="4" s="1"/>
  <c r="H162" i="4" s="1"/>
  <c r="I162" i="4" s="1"/>
  <c r="C162" i="5" s="1"/>
  <c r="G162" i="5" s="1"/>
  <c r="H162" i="5" s="1"/>
  <c r="I162" i="5" s="1"/>
  <c r="E162" i="6" s="1"/>
  <c r="J162" i="6" s="1"/>
  <c r="K162" i="6" s="1"/>
  <c r="D163" i="4"/>
  <c r="O174" i="4" l="1"/>
  <c r="P173" i="4"/>
  <c r="Q173" i="4" s="1"/>
  <c r="E173" i="5" s="1"/>
  <c r="F163" i="4"/>
  <c r="G163" i="4" s="1"/>
  <c r="H163" i="4" s="1"/>
  <c r="I163" i="4" s="1"/>
  <c r="C163" i="5" s="1"/>
  <c r="G163" i="5" s="1"/>
  <c r="H163" i="5" s="1"/>
  <c r="I163" i="5" s="1"/>
  <c r="E163" i="6" s="1"/>
  <c r="J163" i="6" s="1"/>
  <c r="K163" i="6" s="1"/>
  <c r="D164" i="4"/>
  <c r="L172" i="4"/>
  <c r="M172" i="4" s="1"/>
  <c r="D172" i="5" s="1"/>
  <c r="J173" i="4"/>
  <c r="F164" i="4" l="1"/>
  <c r="G164" i="4" s="1"/>
  <c r="H164" i="4" s="1"/>
  <c r="I164" i="4" s="1"/>
  <c r="C164" i="5" s="1"/>
  <c r="G164" i="5" s="1"/>
  <c r="H164" i="5" s="1"/>
  <c r="I164" i="5" s="1"/>
  <c r="E164" i="6" s="1"/>
  <c r="J164" i="6" s="1"/>
  <c r="K164" i="6" s="1"/>
  <c r="D165" i="4"/>
  <c r="L173" i="4"/>
  <c r="M173" i="4" s="1"/>
  <c r="D173" i="5" s="1"/>
  <c r="J174" i="4"/>
  <c r="P174" i="4"/>
  <c r="Q174" i="4" s="1"/>
  <c r="E174" i="5" s="1"/>
  <c r="O175" i="4"/>
  <c r="L174" i="4" l="1"/>
  <c r="M174" i="4" s="1"/>
  <c r="D174" i="5" s="1"/>
  <c r="J175" i="4"/>
  <c r="P175" i="4"/>
  <c r="Q175" i="4" s="1"/>
  <c r="E175" i="5" s="1"/>
  <c r="O176" i="4"/>
  <c r="D166" i="4"/>
  <c r="F165" i="4"/>
  <c r="G165" i="4" s="1"/>
  <c r="H165" i="4" s="1"/>
  <c r="I165" i="4" s="1"/>
  <c r="C165" i="5" s="1"/>
  <c r="G165" i="5" s="1"/>
  <c r="H165" i="5" s="1"/>
  <c r="I165" i="5" s="1"/>
  <c r="E165" i="6" s="1"/>
  <c r="J165" i="6" s="1"/>
  <c r="K165" i="6" s="1"/>
  <c r="J176" i="4" l="1"/>
  <c r="L175" i="4"/>
  <c r="M175" i="4" s="1"/>
  <c r="D175" i="5" s="1"/>
  <c r="F166" i="4"/>
  <c r="G166" i="4" s="1"/>
  <c r="H166" i="4" s="1"/>
  <c r="I166" i="4" s="1"/>
  <c r="C166" i="5" s="1"/>
  <c r="G166" i="5" s="1"/>
  <c r="H166" i="5" s="1"/>
  <c r="I166" i="5" s="1"/>
  <c r="E166" i="6" s="1"/>
  <c r="J166" i="6" s="1"/>
  <c r="K166" i="6" s="1"/>
  <c r="D167" i="4"/>
  <c r="P176" i="4"/>
  <c r="Q176" i="4" s="1"/>
  <c r="E176" i="5" s="1"/>
  <c r="O177" i="4"/>
  <c r="P177" i="4" l="1"/>
  <c r="Q177" i="4" s="1"/>
  <c r="E177" i="5" s="1"/>
  <c r="O178" i="4"/>
  <c r="F167" i="4"/>
  <c r="G167" i="4" s="1"/>
  <c r="H167" i="4" s="1"/>
  <c r="I167" i="4" s="1"/>
  <c r="C167" i="5" s="1"/>
  <c r="G167" i="5" s="1"/>
  <c r="H167" i="5" s="1"/>
  <c r="I167" i="5" s="1"/>
  <c r="E167" i="6" s="1"/>
  <c r="J167" i="6" s="1"/>
  <c r="K167" i="6" s="1"/>
  <c r="D168" i="4"/>
  <c r="J177" i="4"/>
  <c r="L176" i="4"/>
  <c r="M176" i="4" s="1"/>
  <c r="D176" i="5" s="1"/>
  <c r="J178" i="4" l="1"/>
  <c r="L177" i="4"/>
  <c r="M177" i="4" s="1"/>
  <c r="D177" i="5" s="1"/>
  <c r="P178" i="4"/>
  <c r="Q178" i="4" s="1"/>
  <c r="E178" i="5" s="1"/>
  <c r="O179" i="4"/>
  <c r="F168" i="4"/>
  <c r="G168" i="4" s="1"/>
  <c r="H168" i="4" s="1"/>
  <c r="I168" i="4" s="1"/>
  <c r="C168" i="5" s="1"/>
  <c r="G168" i="5" s="1"/>
  <c r="H168" i="5" s="1"/>
  <c r="I168" i="5" s="1"/>
  <c r="E168" i="6" s="1"/>
  <c r="J168" i="6" s="1"/>
  <c r="K168" i="6" s="1"/>
  <c r="D169" i="4"/>
  <c r="F169" i="4" l="1"/>
  <c r="G169" i="4" s="1"/>
  <c r="H169" i="4" s="1"/>
  <c r="I169" i="4" s="1"/>
  <c r="C169" i="5" s="1"/>
  <c r="G169" i="5" s="1"/>
  <c r="H169" i="5" s="1"/>
  <c r="I169" i="5" s="1"/>
  <c r="E169" i="6" s="1"/>
  <c r="J169" i="6" s="1"/>
  <c r="K169" i="6" s="1"/>
  <c r="D170" i="4"/>
  <c r="P179" i="4"/>
  <c r="Q179" i="4" s="1"/>
  <c r="E179" i="5" s="1"/>
  <c r="O180" i="4"/>
  <c r="L178" i="4"/>
  <c r="M178" i="4" s="1"/>
  <c r="D178" i="5" s="1"/>
  <c r="J179" i="4"/>
  <c r="O181" i="4" l="1"/>
  <c r="P180" i="4"/>
  <c r="Q180" i="4" s="1"/>
  <c r="E180" i="5" s="1"/>
  <c r="D171" i="4"/>
  <c r="F170" i="4"/>
  <c r="G170" i="4" s="1"/>
  <c r="H170" i="4" s="1"/>
  <c r="I170" i="4" s="1"/>
  <c r="C170" i="5" s="1"/>
  <c r="G170" i="5" s="1"/>
  <c r="H170" i="5" s="1"/>
  <c r="I170" i="5" s="1"/>
  <c r="E170" i="6" s="1"/>
  <c r="J170" i="6" s="1"/>
  <c r="K170" i="6" s="1"/>
  <c r="J180" i="4"/>
  <c r="L179" i="4"/>
  <c r="M179" i="4" s="1"/>
  <c r="D179" i="5" s="1"/>
  <c r="L180" i="4" l="1"/>
  <c r="M180" i="4" s="1"/>
  <c r="D180" i="5" s="1"/>
  <c r="J181" i="4"/>
  <c r="F171" i="4"/>
  <c r="G171" i="4" s="1"/>
  <c r="H171" i="4" s="1"/>
  <c r="I171" i="4" s="1"/>
  <c r="C171" i="5" s="1"/>
  <c r="G171" i="5" s="1"/>
  <c r="H171" i="5" s="1"/>
  <c r="I171" i="5" s="1"/>
  <c r="E171" i="6" s="1"/>
  <c r="J171" i="6" s="1"/>
  <c r="K171" i="6" s="1"/>
  <c r="D172" i="4"/>
  <c r="P181" i="4"/>
  <c r="Q181" i="4" s="1"/>
  <c r="E181" i="5" s="1"/>
  <c r="O182" i="4"/>
  <c r="O183" i="4" l="1"/>
  <c r="P183" i="4" s="1"/>
  <c r="Q183" i="4" s="1"/>
  <c r="E183" i="5" s="1"/>
  <c r="P182" i="4"/>
  <c r="Q182" i="4" s="1"/>
  <c r="E182" i="5" s="1"/>
  <c r="F172" i="4"/>
  <c r="G172" i="4" s="1"/>
  <c r="H172" i="4" s="1"/>
  <c r="I172" i="4" s="1"/>
  <c r="C172" i="5" s="1"/>
  <c r="G172" i="5" s="1"/>
  <c r="H172" i="5" s="1"/>
  <c r="I172" i="5" s="1"/>
  <c r="E172" i="6" s="1"/>
  <c r="J172" i="6" s="1"/>
  <c r="K172" i="6" s="1"/>
  <c r="D173" i="4"/>
  <c r="L181" i="4"/>
  <c r="M181" i="4" s="1"/>
  <c r="D181" i="5" s="1"/>
  <c r="J182" i="4"/>
  <c r="L182" i="4" l="1"/>
  <c r="M182" i="4" s="1"/>
  <c r="D182" i="5" s="1"/>
  <c r="J183" i="4"/>
  <c r="L183" i="4" s="1"/>
  <c r="M183" i="4" s="1"/>
  <c r="D183" i="5" s="1"/>
  <c r="F173" i="4"/>
  <c r="G173" i="4" s="1"/>
  <c r="H173" i="4" s="1"/>
  <c r="I173" i="4" s="1"/>
  <c r="C173" i="5" s="1"/>
  <c r="G173" i="5" s="1"/>
  <c r="H173" i="5" s="1"/>
  <c r="I173" i="5" s="1"/>
  <c r="E173" i="6" s="1"/>
  <c r="J173" i="6" s="1"/>
  <c r="K173" i="6" s="1"/>
  <c r="D174" i="4"/>
  <c r="F174" i="4" l="1"/>
  <c r="G174" i="4" s="1"/>
  <c r="H174" i="4" s="1"/>
  <c r="I174" i="4" s="1"/>
  <c r="C174" i="5" s="1"/>
  <c r="G174" i="5" s="1"/>
  <c r="H174" i="5" s="1"/>
  <c r="I174" i="5" s="1"/>
  <c r="E174" i="6" s="1"/>
  <c r="J174" i="6" s="1"/>
  <c r="K174" i="6" s="1"/>
  <c r="D175" i="4"/>
  <c r="D176" i="4" l="1"/>
  <c r="F175" i="4"/>
  <c r="G175" i="4" s="1"/>
  <c r="H175" i="4" s="1"/>
  <c r="I175" i="4" s="1"/>
  <c r="C175" i="5" s="1"/>
  <c r="G175" i="5" s="1"/>
  <c r="H175" i="5" s="1"/>
  <c r="I175" i="5" s="1"/>
  <c r="E175" i="6" s="1"/>
  <c r="J175" i="6" s="1"/>
  <c r="K175" i="6" s="1"/>
  <c r="F176" i="4" l="1"/>
  <c r="G176" i="4" s="1"/>
  <c r="H176" i="4" s="1"/>
  <c r="I176" i="4" s="1"/>
  <c r="C176" i="5" s="1"/>
  <c r="G176" i="5" s="1"/>
  <c r="H176" i="5" s="1"/>
  <c r="I176" i="5" s="1"/>
  <c r="E176" i="6" s="1"/>
  <c r="J176" i="6" s="1"/>
  <c r="K176" i="6" s="1"/>
  <c r="D177" i="4"/>
  <c r="D178" i="4" l="1"/>
  <c r="F177" i="4"/>
  <c r="G177" i="4" s="1"/>
  <c r="H177" i="4" s="1"/>
  <c r="I177" i="4" s="1"/>
  <c r="C177" i="5" s="1"/>
  <c r="G177" i="5" s="1"/>
  <c r="H177" i="5" s="1"/>
  <c r="I177" i="5" s="1"/>
  <c r="E177" i="6" s="1"/>
  <c r="J177" i="6" s="1"/>
  <c r="K177" i="6" s="1"/>
  <c r="F178" i="4" l="1"/>
  <c r="G178" i="4" s="1"/>
  <c r="H178" i="4" s="1"/>
  <c r="I178" i="4" s="1"/>
  <c r="C178" i="5" s="1"/>
  <c r="G178" i="5" s="1"/>
  <c r="H178" i="5" s="1"/>
  <c r="I178" i="5" s="1"/>
  <c r="E178" i="6" s="1"/>
  <c r="J178" i="6" s="1"/>
  <c r="K178" i="6" s="1"/>
  <c r="D179" i="4"/>
  <c r="F179" i="4" l="1"/>
  <c r="G179" i="4" s="1"/>
  <c r="H179" i="4" s="1"/>
  <c r="I179" i="4" s="1"/>
  <c r="C179" i="5" s="1"/>
  <c r="G179" i="5" s="1"/>
  <c r="H179" i="5" s="1"/>
  <c r="I179" i="5" s="1"/>
  <c r="E179" i="6" s="1"/>
  <c r="J179" i="6" s="1"/>
  <c r="K179" i="6" s="1"/>
  <c r="D180" i="4"/>
  <c r="F180" i="4" l="1"/>
  <c r="G180" i="4" s="1"/>
  <c r="H180" i="4" s="1"/>
  <c r="I180" i="4" s="1"/>
  <c r="C180" i="5" s="1"/>
  <c r="G180" i="5" s="1"/>
  <c r="H180" i="5" s="1"/>
  <c r="I180" i="5" s="1"/>
  <c r="E180" i="6" s="1"/>
  <c r="J180" i="6" s="1"/>
  <c r="K180" i="6" s="1"/>
  <c r="D181" i="4"/>
  <c r="D182" i="4" l="1"/>
  <c r="F181" i="4"/>
  <c r="G181" i="4" s="1"/>
  <c r="H181" i="4" s="1"/>
  <c r="I181" i="4" s="1"/>
  <c r="C181" i="5" s="1"/>
  <c r="G181" i="5" s="1"/>
  <c r="H181" i="5" s="1"/>
  <c r="I181" i="5" s="1"/>
  <c r="E181" i="6" s="1"/>
  <c r="J181" i="6" s="1"/>
  <c r="K181" i="6" s="1"/>
  <c r="F182" i="4" l="1"/>
  <c r="G182" i="4" s="1"/>
  <c r="H182" i="4" s="1"/>
  <c r="I182" i="4" s="1"/>
  <c r="C182" i="5" s="1"/>
  <c r="G182" i="5" s="1"/>
  <c r="H182" i="5" s="1"/>
  <c r="I182" i="5" s="1"/>
  <c r="E182" i="6" s="1"/>
  <c r="J182" i="6" s="1"/>
  <c r="K182" i="6" s="1"/>
  <c r="D183" i="4"/>
  <c r="F183" i="4" s="1"/>
  <c r="G183" i="4" s="1"/>
  <c r="H183" i="4" s="1"/>
  <c r="I183" i="4" s="1"/>
  <c r="C183" i="5" s="1"/>
  <c r="G183" i="5" s="1"/>
  <c r="H183" i="5" s="1"/>
  <c r="I183" i="5" s="1"/>
  <c r="E183" i="6" s="1"/>
  <c r="J183" i="6" s="1"/>
  <c r="K18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model</author>
  </authors>
  <commentList>
    <comment ref="B4" authorId="0" shapeId="0" xr:uid="{00000000-0006-0000-0100-000001000000}">
      <text>
        <r>
          <rPr>
            <sz val="10"/>
            <rFont val="Arial"/>
            <family val="2"/>
          </rPr>
          <t>defaults.yaml line 215</t>
        </r>
      </text>
    </comment>
    <comment ref="B5" authorId="0" shapeId="0" xr:uid="{00000000-0006-0000-0100-000002000000}">
      <text>
        <r>
          <rPr>
            <sz val="10"/>
            <rFont val="Arial"/>
            <family val="2"/>
          </rPr>
          <t>defaults.yaml line 214: 16% is Carver default; 20% used here to make moves visible</t>
        </r>
      </text>
    </comment>
    <comment ref="B6" authorId="0" shapeId="0" xr:uid="{00000000-0006-0000-0100-000003000000}">
      <text>
        <r>
          <rPr>
            <sz val="10"/>
            <rFont val="Arial"/>
            <family val="2"/>
          </rPr>
          <t>ROOT_BDAYS_INYEAR in syscore/dateutils.py</t>
        </r>
      </text>
    </comment>
    <comment ref="B7" authorId="0" shapeId="0" xr:uid="{00000000-0006-0000-0100-000004000000}">
      <text>
        <r>
          <rPr>
            <sz val="10"/>
            <rFont val="Arial"/>
            <family val="2"/>
          </rPr>
          <t>defaults.yaml line 136</t>
        </r>
      </text>
    </comment>
    <comment ref="B8" authorId="0" shapeId="0" xr:uid="{00000000-0006-0000-0100-000005000000}">
      <text>
        <r>
          <rPr>
            <sz val="10"/>
            <rFont val="Arial"/>
            <family val="2"/>
          </rPr>
          <t>defaults.yaml line 134</t>
        </r>
      </text>
    </comment>
    <comment ref="B11" authorId="0" shapeId="0" xr:uid="{00000000-0006-0000-0100-000006000000}">
      <text>
        <r>
          <rPr>
            <sz val="10"/>
            <rFont val="Arial"/>
            <family val="2"/>
          </rPr>
          <t>Comex GC: $100 per $1 move on 100 oz contract</t>
        </r>
      </text>
    </comment>
    <comment ref="B12" authorId="0" shapeId="0" xr:uid="{00000000-0006-0000-0100-000007000000}">
      <text>
        <r>
          <rPr>
            <sz val="10"/>
            <rFont val="Arial"/>
            <family val="2"/>
          </rPr>
          <t>Gold already quoted in USD</t>
        </r>
      </text>
    </comment>
    <comment ref="B13" authorId="0" shapeId="0" xr:uid="{00000000-0006-0000-0100-000008000000}">
      <text>
        <r>
          <rPr>
            <sz val="10"/>
            <rFont val="Arial"/>
            <family val="2"/>
          </rPr>
          <t>Set to 1 for simplicity</t>
        </r>
      </text>
    </comment>
    <comment ref="B16" authorId="0" shapeId="0" xr:uid="{00000000-0006-0000-0100-000009000000}">
      <text>
        <r>
          <rPr>
            <sz val="10"/>
            <rFont val="Arial"/>
            <family val="2"/>
          </rPr>
          <t>rawdata.py default: 35-day span</t>
        </r>
      </text>
    </comment>
    <comment ref="B17" authorId="0" shapeId="0" xr:uid="{00000000-0006-0000-0100-00000A000000}">
      <text>
        <r>
          <rPr>
            <sz val="10"/>
            <rFont val="Arial"/>
            <family val="2"/>
          </rPr>
          <t>rawdata.py default: 70% short, 30% long</t>
        </r>
      </text>
    </comment>
    <comment ref="B18" authorId="0" shapeId="0" xr:uid="{00000000-0006-0000-0100-00000B000000}">
      <text>
        <r>
          <rPr>
            <sz val="10"/>
            <rFont val="Arial"/>
            <family val="2"/>
          </rPr>
          <t>Normally 10y; 180 bars here is the whole series</t>
        </r>
      </text>
    </comment>
    <comment ref="B21" authorId="0" shapeId="0" xr:uid="{00000000-0006-0000-0100-00000C000000}">
      <text>
        <r>
          <rPr>
            <sz val="10"/>
            <rFont val="Arial"/>
            <family val="2"/>
          </rPr>
          <t>ewmac64_256 in chapter15</t>
        </r>
      </text>
    </comment>
    <comment ref="B23" authorId="0" shapeId="0" xr:uid="{00000000-0006-0000-0100-00000D000000}">
      <text>
        <r>
          <rPr>
            <sz val="10"/>
            <rFont val="Arial"/>
            <family val="2"/>
          </rPr>
          <t>ewmac16_64</t>
        </r>
      </text>
    </comment>
    <comment ref="B25" authorId="0" shapeId="0" xr:uid="{00000000-0006-0000-0100-00000E000000}">
      <text>
        <r>
          <rPr>
            <sz val="10"/>
            <rFont val="Arial"/>
            <family val="2"/>
          </rPr>
          <t>breakout.py default 10; 40 used here for trend relevance</t>
        </r>
      </text>
    </comment>
    <comment ref="B26" authorId="0" shapeId="0" xr:uid="{00000000-0006-0000-0100-00000F000000}">
      <text>
        <r>
          <rPr>
            <sz val="10"/>
            <rFont val="Arial"/>
            <family val="2"/>
          </rPr>
          <t>carry.py default</t>
        </r>
      </text>
    </comment>
    <comment ref="B35" authorId="0" shapeId="0" xr:uid="{00000000-0006-0000-0100-000010000000}">
      <text>
        <r>
          <rPr>
            <sz val="10"/>
            <rFont val="Arial"/>
            <family val="2"/>
          </rPr>
          <t>chapter15: 0.21 (here bumped to fill 4-rule set)</t>
        </r>
      </text>
    </comment>
    <comment ref="B37" authorId="0" shapeId="0" xr:uid="{00000000-0006-0000-0100-000011000000}">
      <text>
        <r>
          <rPr>
            <sz val="10"/>
            <rFont val="Arial"/>
            <family val="2"/>
          </rPr>
          <t>chapter15: 0.50; down-weighted to give breakout room</t>
        </r>
      </text>
    </comment>
    <comment ref="B40" authorId="0" shapeId="0" xr:uid="{00000000-0006-0000-0100-000012000000}">
      <text>
        <r>
          <rPr>
            <sz val="10"/>
            <rFont val="Arial"/>
            <family val="2"/>
          </rPr>
          <t>chapter15: 1.31. Applied after weighting, before cap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model</author>
  </authors>
  <commentList>
    <comment ref="B5" authorId="0" shapeId="0" xr:uid="{00000000-0006-0000-0600-000001000000}">
      <text>
        <r>
          <rPr>
            <sz val="10"/>
            <rFont val="Arial"/>
            <family val="2"/>
          </rPr>
          <t>Empirical IDM from Carver for ~6 uncorrelated instruments ≈ 2.5. defaults.yaml: 1.0 (will be estimated from correlations in production)</t>
        </r>
      </text>
    </comment>
    <comment ref="G9" authorId="0" shapeId="0" xr:uid="{00000000-0006-0000-0600-000002000000}">
      <text>
        <r>
          <rPr>
            <sz val="10"/>
            <rFont val="Arial"/>
            <family val="2"/>
          </rPr>
          <t>Forecast from Combine stage for Gold</t>
        </r>
      </text>
    </comment>
    <comment ref="H9" authorId="0" shapeId="0" xr:uid="{00000000-0006-0000-0600-000008000000}">
      <text>
        <r>
          <rPr>
            <sz val="10"/>
            <rFont val="Arial"/>
            <family val="2"/>
          </rPr>
          <t>Equal-weighted</t>
        </r>
      </text>
    </comment>
    <comment ref="G10" authorId="0" shapeId="0" xr:uid="{00000000-0006-0000-0600-000003000000}">
      <text>
        <r>
          <rPr>
            <sz val="10"/>
            <rFont val="Arial"/>
            <family val="2"/>
          </rPr>
          <t>Forecast from Combine stage for Crude WTI</t>
        </r>
      </text>
    </comment>
    <comment ref="H10" authorId="0" shapeId="0" xr:uid="{00000000-0006-0000-0600-000009000000}">
      <text>
        <r>
          <rPr>
            <sz val="10"/>
            <rFont val="Arial"/>
            <family val="2"/>
          </rPr>
          <t>Equal-weighted</t>
        </r>
      </text>
    </comment>
    <comment ref="G11" authorId="0" shapeId="0" xr:uid="{00000000-0006-0000-0600-000004000000}">
      <text>
        <r>
          <rPr>
            <sz val="10"/>
            <rFont val="Arial"/>
            <family val="2"/>
          </rPr>
          <t>Forecast from Combine stage for S&amp;P 500 e-mini</t>
        </r>
      </text>
    </comment>
    <comment ref="H11" authorId="0" shapeId="0" xr:uid="{00000000-0006-0000-0600-00000A000000}">
      <text>
        <r>
          <rPr>
            <sz val="10"/>
            <rFont val="Arial"/>
            <family val="2"/>
          </rPr>
          <t>Equal-weighted</t>
        </r>
      </text>
    </comment>
    <comment ref="G12" authorId="0" shapeId="0" xr:uid="{00000000-0006-0000-0600-000005000000}">
      <text>
        <r>
          <rPr>
            <sz val="10"/>
            <rFont val="Arial"/>
            <family val="2"/>
          </rPr>
          <t>Forecast from Combine stage for 10yr Note</t>
        </r>
      </text>
    </comment>
    <comment ref="H12" authorId="0" shapeId="0" xr:uid="{00000000-0006-0000-0600-00000B000000}">
      <text>
        <r>
          <rPr>
            <sz val="10"/>
            <rFont val="Arial"/>
            <family val="2"/>
          </rPr>
          <t>Equal-weighted</t>
        </r>
      </text>
    </comment>
    <comment ref="G13" authorId="0" shapeId="0" xr:uid="{00000000-0006-0000-0600-000006000000}">
      <text>
        <r>
          <rPr>
            <sz val="10"/>
            <rFont val="Arial"/>
            <family val="2"/>
          </rPr>
          <t>Forecast from Combine stage for EUR/USD</t>
        </r>
      </text>
    </comment>
    <comment ref="H13" authorId="0" shapeId="0" xr:uid="{00000000-0006-0000-0600-00000C000000}">
      <text>
        <r>
          <rPr>
            <sz val="10"/>
            <rFont val="Arial"/>
            <family val="2"/>
          </rPr>
          <t>Equal-weighted</t>
        </r>
      </text>
    </comment>
    <comment ref="G14" authorId="0" shapeId="0" xr:uid="{00000000-0006-0000-0600-000007000000}">
      <text>
        <r>
          <rPr>
            <sz val="10"/>
            <rFont val="Arial"/>
            <family val="2"/>
          </rPr>
          <t>Forecast from Combine stage for Corn</t>
        </r>
      </text>
    </comment>
    <comment ref="H14" authorId="0" shapeId="0" xr:uid="{00000000-0006-0000-0600-00000D000000}">
      <text>
        <r>
          <rPr>
            <sz val="10"/>
            <rFont val="Arial"/>
            <family val="2"/>
          </rPr>
          <t>Equal-weighted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model</author>
  </authors>
  <commentList>
    <comment ref="B7" authorId="0" shapeId="0" xr:uid="{00000000-0006-0000-0700-000001000000}">
      <text>
        <r>
          <rPr>
            <sz val="10"/>
            <rFont val="Arial"/>
            <family val="2"/>
          </rPr>
          <t>From realised or option IV</t>
        </r>
      </text>
    </comment>
    <comment ref="B8" authorId="0" shapeId="0" xr:uid="{00000000-0006-0000-0700-000002000000}">
      <text>
        <r>
          <rPr>
            <sz val="10"/>
            <rFont val="Arial"/>
            <family val="2"/>
          </rPr>
          <t>0 = neutral; ±10 = strongest typical view; ±20 = once-a-cycle extreme</t>
        </r>
      </text>
    </comment>
    <comment ref="B10" authorId="0" shapeId="0" xr:uid="{00000000-0006-0000-0700-000003000000}">
      <text>
        <r>
          <rPr>
            <sz val="10"/>
            <rFont val="Arial"/>
            <family val="2"/>
          </rPr>
          <t>Lower than CTA because discretionary views are usually smaller count</t>
        </r>
      </text>
    </comment>
    <comment ref="B25" authorId="0" shapeId="0" xr:uid="{00000000-0006-0000-0700-000004000000}">
      <text>
        <r>
          <rPr>
            <sz val="10"/>
            <rFont val="Arial"/>
            <family val="2"/>
          </rPr>
          <t>0 = uncorrelated book; 0.5 = all trades bet on same macro factor</t>
        </r>
      </text>
    </comment>
    <comment ref="B26" authorId="0" shapeId="0" xr:uid="{00000000-0006-0000-0700-000005000000}">
      <text>
        <r>
          <rPr>
            <sz val="10"/>
            <rFont val="Arial"/>
            <family val="2"/>
          </rPr>
          <t>IDM ≈ 1/sqrt(weighted correlation). If correlations are high, IDM shrinks — diversification benefit is smaller.</t>
        </r>
      </text>
    </comment>
  </commentList>
</comments>
</file>

<file path=xl/sharedStrings.xml><?xml version="1.0" encoding="utf-8"?>
<sst xmlns="http://schemas.openxmlformats.org/spreadsheetml/2006/main" count="236" uniqueCount="216">
  <si>
    <t xml:space="preserve">  pysystemtrade — Excel Learning Model</t>
  </si>
  <si>
    <t>Purpose</t>
  </si>
  <si>
    <t>This workbook reproduces the core mechanics of Rob Carver's 'Chapter 15' systematic</t>
  </si>
  <si>
    <t>futures system as implemented in pysystemtrade. Every cell is a live formula so you can</t>
  </si>
  <si>
    <t>change any input (price, parameter, weight) and watch the position update.</t>
  </si>
  <si>
    <t>Sheet map</t>
  </si>
  <si>
    <t xml:space="preserve">  1. Inputs           — capital, vol target, contract specs, all tunable parameters.</t>
  </si>
  <si>
    <t xml:space="preserve">  2. Prices           — 180 days of synthetic Gold prices + daily returns + blended vol.</t>
  </si>
  <si>
    <t xml:space="preserve">  3. Rules            — EWMAC(16/64 &amp; 64/256), Carry, Breakout(40) forecasts — raw, scaled, capped.</t>
  </si>
  <si>
    <t xml:space="preserve">  4. Combine          — weighted forecasts, FDM, final combined forecast.</t>
  </si>
  <si>
    <t xml:space="preserve">  5. Position         — daily cash vol target → instrument vol → vol scalar → position.</t>
  </si>
  <si>
    <t xml:space="preserve">  6. Portfolio        — 6 instruments, instrument weights, IDM, portfolio risk check.</t>
  </si>
  <si>
    <t xml:space="preserve">  7. Discretionary    — translate YOUR conviction into a forecast + sized position.</t>
  </si>
  <si>
    <t xml:space="preserve">  8. Glossary         — one-line definitions of every term.</t>
  </si>
  <si>
    <t>How the pipeline stages connect (matches systems/basesystem.py)</t>
  </si>
  <si>
    <t xml:space="preserve">   RawData → Rules → ForecastScaleCap → ForecastCombine → PositionSizing → Portfolio</t>
  </si>
  <si>
    <t>Each rule outputs a *forecast*: a signed number whose average absolute value is ~10 and</t>
  </si>
  <si>
    <t>is capped at ±20. +10 = 'take a normal-sized long'; -20 = 'take a maximum short'.</t>
  </si>
  <si>
    <t>Position sizing chain (systems/positionsizing.py lines 156-203)</t>
  </si>
  <si>
    <t xml:space="preserve">   annual_cash_vol_target = capital × vol_target_pct</t>
  </si>
  <si>
    <t xml:space="preserve">   daily_cash_vol_target  = annual_cash_vol_target / √252</t>
  </si>
  <si>
    <t xml:space="preserve">   instrument_value_vol   = price × point_size × FX × daily_perc_vol</t>
  </si>
  <si>
    <t xml:space="preserve">   vol_scalar             = daily_cash_vol_target / instrument_value_vol</t>
  </si>
  <si>
    <t xml:space="preserve">   subsystem_position     = vol_scalar × forecast / 10</t>
  </si>
  <si>
    <t xml:space="preserve">   instrument_position    = subsystem_position × instrument_weight × IDM</t>
  </si>
  <si>
    <t>Key library citations</t>
  </si>
  <si>
    <t xml:space="preserve">  EWMAC rule          : systems/provided/rules/ewmac.py</t>
  </si>
  <si>
    <t xml:space="preserve">  Carry rule          : systems/provided/rules/carry.py</t>
  </si>
  <si>
    <t xml:space="preserve">  Breakout rule       : systems/provided/rules/breakout.py</t>
  </si>
  <si>
    <t xml:space="preserve">  Cross-sectional MR  : systems/provided/rules/cs_mr.py</t>
  </si>
  <si>
    <t xml:space="preserve">  Scale &amp; cap         : systems/forecast_scale_cap.py</t>
  </si>
  <si>
    <t xml:space="preserve">  Combine + FDM       : systems/forecast_combine.py</t>
  </si>
  <si>
    <t xml:space="preserve">  Position sizing     : systems/positionsizing.py</t>
  </si>
  <si>
    <t xml:space="preserve">  Instrument weights  : systems/portfolio.py</t>
  </si>
  <si>
    <t xml:space="preserve">  Default constants   : sysdata/config/defaults.yaml (vol target 16%, cap 20, avg|f|=10)</t>
  </si>
  <si>
    <t xml:space="preserve">  Ch15 scalars &amp; wts  : systems/provided/futures_chapter15/futuresconfig.yaml</t>
  </si>
  <si>
    <t>Color key</t>
  </si>
  <si>
    <t xml:space="preserve">  BLUE on YELLOW = hardcoded input (change me)</t>
  </si>
  <si>
    <t xml:space="preserve">  BLACK          = formula</t>
  </si>
  <si>
    <t xml:space="preserve">  GREEN          = cross-sheet link</t>
  </si>
  <si>
    <t>Discretionary takeaway</t>
  </si>
  <si>
    <t>The system separates three questions that most discretionary traders muddle together:</t>
  </si>
  <si>
    <t xml:space="preserve">  1. 'How strong is my view?'     → the raw forecast signal</t>
  </si>
  <si>
    <t xml:space="preserve">  2. 'How volatile is the asset?' → converts the view into a dollar-risk-consistent size</t>
  </si>
  <si>
    <t xml:space="preserve">  3. 'How does it fit my book?'   → instrument weight + IDM keep total risk at target</t>
  </si>
  <si>
    <t>Separating these means you can have strong views on volatile things without wrecking</t>
  </si>
  <si>
    <t>portfolio risk, and weak views on quiet things without leaving money on the table.</t>
  </si>
  <si>
    <t xml:space="preserve">  Inputs — every parameter that drives the model</t>
  </si>
  <si>
    <t>Capital &amp; risk</t>
  </si>
  <si>
    <t>Notional trading capital</t>
  </si>
  <si>
    <t>Dollars of capital the system sizes against</t>
  </si>
  <si>
    <t>Annual % volatility target</t>
  </si>
  <si>
    <t>Annualised stdev of P&amp;L as % of capital</t>
  </si>
  <si>
    <t>Business days per year</t>
  </si>
  <si>
    <t>Used for annual↔daily vol</t>
  </si>
  <si>
    <t>Average absolute forecast</t>
  </si>
  <si>
    <t>Forecasts are scaled so |avg| ≈ 10</t>
  </si>
  <si>
    <t>Forecast cap</t>
  </si>
  <si>
    <t>Forecasts clipped to ±20</t>
  </si>
  <si>
    <t>Gold contract specs</t>
  </si>
  <si>
    <t>Point size ($ per 1.00 move)</t>
  </si>
  <si>
    <t>FX rate (local → base)</t>
  </si>
  <si>
    <t>Multiplier (holding cost etc)</t>
  </si>
  <si>
    <t>Volatility estimate parameters</t>
  </si>
  <si>
    <t>Short-vol EWM span (days)</t>
  </si>
  <si>
    <t>Blend weight on short vol</t>
  </si>
  <si>
    <t>Long-vol lookback (bars)</t>
  </si>
  <si>
    <t>Rule parameters (chapter15 defaults)</t>
  </si>
  <si>
    <t>EWMAC slow: Lfast</t>
  </si>
  <si>
    <t>EWMAC slow: Lslow</t>
  </si>
  <si>
    <t>EWMAC med: Lfast</t>
  </si>
  <si>
    <t>EWMAC med: Lslow</t>
  </si>
  <si>
    <t>Breakout lookback</t>
  </si>
  <si>
    <t>Carry smooth days</t>
  </si>
  <si>
    <t>Forecast scalars (futuresconfig.yaml)</t>
  </si>
  <si>
    <t>Scalar: EWMAC 64/256</t>
  </si>
  <si>
    <t>Scalar: EWMAC 16/64</t>
  </si>
  <si>
    <t>Scalar: Carry</t>
  </si>
  <si>
    <t>Scalar: Breakout 40</t>
  </si>
  <si>
    <t>Forecast weights (sum to 1)</t>
  </si>
  <si>
    <t>Weight: EWMAC 64/256</t>
  </si>
  <si>
    <t>Weight: EWMAC 16/64</t>
  </si>
  <si>
    <t>Weight: Carry</t>
  </si>
  <si>
    <t>Weight: Breakout 40</t>
  </si>
  <si>
    <t>SUM check</t>
  </si>
  <si>
    <t>Forecast Diversification Multiplier (FDM)</t>
  </si>
  <si>
    <t xml:space="preserve">  Prices — Gold daily series + daily % vol (blended short+long)</t>
  </si>
  <si>
    <t>Day</t>
  </si>
  <si>
    <t>Date</t>
  </si>
  <si>
    <t>Price</t>
  </si>
  <si>
    <t>Daily return</t>
  </si>
  <si>
    <t>Short EWM vol</t>
  </si>
  <si>
    <t>Long-run vol</t>
  </si>
  <si>
    <t>Blended daily vol</t>
  </si>
  <si>
    <t xml:space="preserve">  Rules — EWMAC, Carry, Breakout. Raw → scaled → capped</t>
  </si>
  <si>
    <t>EWMAC64/256: FastEMA</t>
  </si>
  <si>
    <t>EWMAC64/256: SlowEMA</t>
  </si>
  <si>
    <t>EWMAC64/256: raw signal</t>
  </si>
  <si>
    <t>EWMAC64/256: /vol (raw fcst)</t>
  </si>
  <si>
    <t>EWMAC64/256: scaled</t>
  </si>
  <si>
    <t>EWMAC64/256: capped</t>
  </si>
  <si>
    <t>EWMAC16/64: FastEMA</t>
  </si>
  <si>
    <t>EWMAC16/64: SlowEMA</t>
  </si>
  <si>
    <t>EWMAC16/64: /vol</t>
  </si>
  <si>
    <t>EWMAC16/64: capped</t>
  </si>
  <si>
    <t>Carry raw (annualised)</t>
  </si>
  <si>
    <t>Carry smoothed</t>
  </si>
  <si>
    <t>Carry: /vol</t>
  </si>
  <si>
    <t>Carry: capped</t>
  </si>
  <si>
    <t>Breakout40: capped</t>
  </si>
  <si>
    <t xml:space="preserve">  Combine — weight, apply FDM, cap</t>
  </si>
  <si>
    <t>EWMAC64/256</t>
  </si>
  <si>
    <t>EWMAC16/64</t>
  </si>
  <si>
    <t>Carry</t>
  </si>
  <si>
    <t>Breakout40</t>
  </si>
  <si>
    <t>Weighted sum</t>
  </si>
  <si>
    <t>× FDM</t>
  </si>
  <si>
    <t>Final (capped)</t>
  </si>
  <si>
    <t xml:space="preserve">  Position — forecast × vol scalar / 10</t>
  </si>
  <si>
    <t>Daily vol</t>
  </si>
  <si>
    <t>Combined fcst</t>
  </si>
  <si>
    <t>Block value</t>
  </si>
  <si>
    <t>Inst value vol</t>
  </si>
  <si>
    <t>Daily $ vol target</t>
  </si>
  <si>
    <t>Vol scalar</t>
  </si>
  <si>
    <t>Subsystem posn</t>
  </si>
  <si>
    <t>Rounded posn</t>
  </si>
  <si>
    <t xml:space="preserve">  Portfolio — multi-instrument snapshot. Inst weight × IDM → position</t>
  </si>
  <si>
    <t>Portfolio capital</t>
  </si>
  <si>
    <t>Annual vol target</t>
  </si>
  <si>
    <t>Instrument Diversification Multiplier (IDM)</t>
  </si>
  <si>
    <t>Sum of instrument weights (sanity)</t>
  </si>
  <si>
    <t>Instrument</t>
  </si>
  <si>
    <t>Asset class</t>
  </si>
  <si>
    <t>Point size</t>
  </si>
  <si>
    <t>FX</t>
  </si>
  <si>
    <t>Ann vol</t>
  </si>
  <si>
    <t>Forecast</t>
  </si>
  <si>
    <t>Inst weight</t>
  </si>
  <si>
    <t>Inst value vol (daily $)</t>
  </si>
  <si>
    <t>Subsys posn</t>
  </si>
  <si>
    <t>Final posn (× wt × IDM)</t>
  </si>
  <si>
    <t>Gold</t>
  </si>
  <si>
    <t>Metals</t>
  </si>
  <si>
    <t>Crude WTI</t>
  </si>
  <si>
    <t>Energy</t>
  </si>
  <si>
    <t>S&amp;P 500 e-mini</t>
  </si>
  <si>
    <t>Equity</t>
  </si>
  <si>
    <t>10yr Note</t>
  </si>
  <si>
    <t>Rates</t>
  </si>
  <si>
    <t>EUR/USD</t>
  </si>
  <si>
    <t>Corn</t>
  </si>
  <si>
    <t>Ags</t>
  </si>
  <si>
    <t>Totals / portfolio risk</t>
  </si>
  <si>
    <t>Gross $ notional</t>
  </si>
  <si>
    <t>Daily $ vol if zero-corr</t>
  </si>
  <si>
    <t>Target daily $ vol</t>
  </si>
  <si>
    <t>IDM is chosen so that when all forecasts are ±10 and correlations are realistic, realized portfolio vol ≈ target.</t>
  </si>
  <si>
    <t xml:space="preserve">  Discretionary sizing — translate conviction into a Carver-style position</t>
  </si>
  <si>
    <t>Step 1 — Single trade sizing</t>
  </si>
  <si>
    <t>Instrument price</t>
  </si>
  <si>
    <t>FX to base currency</t>
  </si>
  <si>
    <t>Annualised % volatility of instrument</t>
  </si>
  <si>
    <t>Your conviction score (-10 … +10)</t>
  </si>
  <si>
    <t>Annual % vol target</t>
  </si>
  <si>
    <t>Business days</t>
  </si>
  <si>
    <t>Derived — single position</t>
  </si>
  <si>
    <t>Daily % vol</t>
  </si>
  <si>
    <t>Instrument value vol (daily $)</t>
  </si>
  <si>
    <t>Position (contracts) at neutral forecast</t>
  </si>
  <si>
    <t>Position at your conviction</t>
  </si>
  <si>
    <t>Rounded contracts</t>
  </si>
  <si>
    <t>Dollar notional of position</t>
  </si>
  <si>
    <t>Step 2 — Portfolio combine</t>
  </si>
  <si>
    <t>Number of discretionary positions</t>
  </si>
  <si>
    <t>Typical pairwise correlation</t>
  </si>
  <si>
    <t>Implied IDM</t>
  </si>
  <si>
    <t>What this means for you</t>
  </si>
  <si>
    <t>• Size each trade as if it were the only position (step 1).</t>
  </si>
  <si>
    <t>• Scale up by IDM because you have N positions and they diversify (step 2).</t>
  </si>
  <si>
    <t>• Scale within ±20 forecast: ±10 = your typical strong view; ±20 = blowout view.</t>
  </si>
  <si>
    <t>• The vol scalar is the key insight: a 'same-size' position means same dollar-risk,</t>
  </si>
  <si>
    <t xml:space="preserve">  not same notional. A conviction-5 view in a 40%-vol name takes HALF the</t>
  </si>
  <si>
    <t xml:space="preserve">  contracts of a conviction-5 view in a 20%-vol name — because the risk is the same.</t>
  </si>
  <si>
    <t>• Two implications for discretionary trading:</t>
  </si>
  <si>
    <t xml:space="preserve">    1) Cut contract count when vol rises; don't just hold the same number.</t>
  </si>
  <si>
    <t xml:space="preserve">    2) Don't let your '10 positions' actually be '10 copies of the same bet' —</t>
  </si>
  <si>
    <t xml:space="preserve">       the IDM formula will tell you diversification is illusory when corr is 0.5+.</t>
  </si>
  <si>
    <t xml:space="preserve">  Glossary</t>
  </si>
  <si>
    <t>Signed number, avg |value|≈10, cap ±20. Strength of view normalised by vol.</t>
  </si>
  <si>
    <t>Raw forecast</t>
  </si>
  <si>
    <t>Output of a trading rule before scaling. Scale arbitrary.</t>
  </si>
  <si>
    <t>Forecast scalar</t>
  </si>
  <si>
    <t>Empirically calibrated constant that makes |avg forecast| ≈ 10.</t>
  </si>
  <si>
    <t>Hard clip at ±20 — prevents blow-up bets.</t>
  </si>
  <si>
    <t>FDM</t>
  </si>
  <si>
    <t>Forecast Diversification Multiplier. Boosts combined forecast to offset the dampening from averaging across rules (e.g. 1.31 in chapter15).</t>
  </si>
  <si>
    <t>IDM</t>
  </si>
  <si>
    <t>Instrument Diversification Multiplier. Boosts instrument positions to offset correlation smoothing across the portfolio. ≈ 1/sqrt(weighted corr).</t>
  </si>
  <si>
    <t>(daily $ vol target) / (daily $ vol of 1 contract). How many contracts to hold at forecast = +10.</t>
  </si>
  <si>
    <t>Subsystem position</t>
  </si>
  <si>
    <t>Position a single instrument would take if it were the only thing in the book, sized to vol target.</t>
  </si>
  <si>
    <t>Instrument position</t>
  </si>
  <si>
    <t>subsystem_position × instrument_weight × IDM. The actual holding.</t>
  </si>
  <si>
    <t>EWMAC</t>
  </si>
  <si>
    <t>Exponentially Weighted MA Crossover. (fast_EMA - slow_EMA) / vol. Canonical trend signal.</t>
  </si>
  <si>
    <t>Signed annualised expected rolldown return, divided by annual vol. Front vs back contract for futures.</t>
  </si>
  <si>
    <t>Breakout</t>
  </si>
  <si>
    <t>40 × (price - mean) / (max - min) over a lookback, smoothed.</t>
  </si>
  <si>
    <t>Cross-sectional MR</t>
  </si>
  <si>
    <t>Instrument's recent return minus market average, sign-flipped.</t>
  </si>
  <si>
    <t>Mixed vol</t>
  </si>
  <si>
    <t>Blend of short EWM (~35d) and long-term (~10y) volatility. 70/30 default.</t>
  </si>
  <si>
    <t>Dollar value of a 1% price move in one contract. Used as the vol unit.</t>
  </si>
  <si>
    <t>Subsystem</t>
  </si>
  <si>
    <t>All logic for a single instrument: rules → scale → combine → size.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</si>
</sst>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$#,##0;&quot;($&quot;#,##0\);\-"/>
    <numFmt numFmtId="165" formatCode="0.00%;\(0.00%\);\-"/>
    <numFmt numFmtId="166" formatCode="#,##0;\(#,##0\);\-"/>
    <numFmt numFmtId="167" formatCode="#,##0.00;\(#,##0.00\);\-"/>
    <numFmt numFmtId="168" formatCode="#,##0.0000;\(#,##0.0000\);\-"/>
    <numFmt numFmtId="169" formatCode="yyyy\-mm\-dd"/>
  </numFmts>
  <fonts count="8" x14ac:knownFonts="1">
    <font>
      <sz val="11"/>
      <color theme="1"/>
      <name val="Calibri"/>
      <family val="2"/>
      <charset val="1"/>
    </font>
    <font>
      <b/>
      <sz val="12"/>
      <color rgb="FFFFFFFF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i/>
      <sz val="9"/>
      <color rgb="FF666666"/>
      <name val="Arial"/>
      <family val="2"/>
    </font>
    <font>
      <sz val="10"/>
      <color rgb="FF0061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9D9D9"/>
        <bgColor rgb="FFDDEBF7"/>
      </patternFill>
    </fill>
    <fill>
      <patternFill patternType="solid">
        <fgColor rgb="FFDDEBF7"/>
        <bgColor rgb="FFD9D9D9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2" borderId="0" xfId="0" applyFill="1"/>
    <xf numFmtId="0" fontId="4" fillId="0" borderId="0" xfId="0" applyFont="1" applyAlignment="1">
      <alignment horizontal="left" vertical="top" wrapText="1"/>
    </xf>
    <xf numFmtId="164" fontId="5" fillId="3" borderId="1" xfId="0" applyNumberFormat="1" applyFont="1" applyFill="1" applyBorder="1"/>
    <xf numFmtId="0" fontId="6" fillId="0" borderId="0" xfId="0" applyFont="1" applyAlignment="1">
      <alignment horizontal="left" vertical="top" wrapText="1"/>
    </xf>
    <xf numFmtId="165" fontId="5" fillId="3" borderId="1" xfId="0" applyNumberFormat="1" applyFont="1" applyFill="1" applyBorder="1"/>
    <xf numFmtId="166" fontId="5" fillId="3" borderId="1" xfId="0" applyNumberFormat="1" applyFont="1" applyFill="1" applyBorder="1"/>
    <xf numFmtId="167" fontId="5" fillId="3" borderId="1" xfId="0" applyNumberFormat="1" applyFont="1" applyFill="1" applyBorder="1"/>
    <xf numFmtId="168" fontId="5" fillId="3" borderId="1" xfId="0" applyNumberFormat="1" applyFont="1" applyFill="1" applyBorder="1"/>
    <xf numFmtId="165" fontId="4" fillId="0" borderId="1" xfId="0" applyNumberFormat="1" applyFont="1" applyBorder="1"/>
    <xf numFmtId="0" fontId="2" fillId="4" borderId="1" xfId="0" applyFont="1" applyFill="1" applyBorder="1" applyAlignment="1">
      <alignment horizontal="center" vertical="center" wrapText="1"/>
    </xf>
    <xf numFmtId="166" fontId="5" fillId="5" borderId="1" xfId="0" applyNumberFormat="1" applyFont="1" applyFill="1" applyBorder="1"/>
    <xf numFmtId="169" fontId="5" fillId="5" borderId="1" xfId="0" applyNumberFormat="1" applyFont="1" applyFill="1" applyBorder="1"/>
    <xf numFmtId="166" fontId="7" fillId="0" borderId="1" xfId="0" applyNumberFormat="1" applyFont="1" applyBorder="1"/>
    <xf numFmtId="169" fontId="7" fillId="0" borderId="1" xfId="0" applyNumberFormat="1" applyFont="1" applyBorder="1"/>
    <xf numFmtId="167" fontId="7" fillId="0" borderId="1" xfId="0" applyNumberFormat="1" applyFont="1" applyBorder="1"/>
    <xf numFmtId="167" fontId="4" fillId="0" borderId="1" xfId="0" applyNumberFormat="1" applyFont="1" applyBorder="1"/>
    <xf numFmtId="168" fontId="4" fillId="0" borderId="1" xfId="0" applyNumberFormat="1" applyFont="1" applyBorder="1"/>
    <xf numFmtId="165" fontId="5" fillId="5" borderId="1" xfId="0" applyNumberFormat="1" applyFont="1" applyFill="1" applyBorder="1"/>
    <xf numFmtId="165" fontId="7" fillId="0" borderId="1" xfId="0" applyNumberFormat="1" applyFont="1" applyBorder="1"/>
    <xf numFmtId="164" fontId="4" fillId="0" borderId="1" xfId="0" applyNumberFormat="1" applyFont="1" applyBorder="1"/>
    <xf numFmtId="166" fontId="4" fillId="0" borderId="1" xfId="0" applyNumberFormat="1" applyFont="1" applyBorder="1"/>
    <xf numFmtId="49" fontId="5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Prices!$C$3</c:f>
              <c:strCache>
                <c:ptCount val="1"/>
                <c:pt idx="0">
                  <c:v>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Prices!$B$4:$B$183</c:f>
              <c:numCache>
                <c:formatCode>yyyy\-mm\-dd</c:formatCode>
                <c:ptCount val="180"/>
                <c:pt idx="0">
                  <c:v>45870</c:v>
                </c:pt>
                <c:pt idx="1">
                  <c:v>45873</c:v>
                </c:pt>
                <c:pt idx="2">
                  <c:v>45874</c:v>
                </c:pt>
                <c:pt idx="3">
                  <c:v>45875</c:v>
                </c:pt>
                <c:pt idx="4">
                  <c:v>45876</c:v>
                </c:pt>
                <c:pt idx="5">
                  <c:v>45877</c:v>
                </c:pt>
                <c:pt idx="6">
                  <c:v>45880</c:v>
                </c:pt>
                <c:pt idx="7">
                  <c:v>45881</c:v>
                </c:pt>
                <c:pt idx="8">
                  <c:v>45882</c:v>
                </c:pt>
                <c:pt idx="9">
                  <c:v>45883</c:v>
                </c:pt>
                <c:pt idx="10">
                  <c:v>45884</c:v>
                </c:pt>
                <c:pt idx="11">
                  <c:v>45887</c:v>
                </c:pt>
                <c:pt idx="12">
                  <c:v>45888</c:v>
                </c:pt>
                <c:pt idx="13">
                  <c:v>45889</c:v>
                </c:pt>
                <c:pt idx="14">
                  <c:v>45890</c:v>
                </c:pt>
                <c:pt idx="15">
                  <c:v>45891</c:v>
                </c:pt>
                <c:pt idx="16">
                  <c:v>45894</c:v>
                </c:pt>
                <c:pt idx="17">
                  <c:v>45895</c:v>
                </c:pt>
                <c:pt idx="18">
                  <c:v>45896</c:v>
                </c:pt>
                <c:pt idx="19">
                  <c:v>45897</c:v>
                </c:pt>
                <c:pt idx="20">
                  <c:v>45898</c:v>
                </c:pt>
                <c:pt idx="21">
                  <c:v>45901</c:v>
                </c:pt>
                <c:pt idx="22">
                  <c:v>45902</c:v>
                </c:pt>
                <c:pt idx="23">
                  <c:v>45903</c:v>
                </c:pt>
                <c:pt idx="24">
                  <c:v>45904</c:v>
                </c:pt>
                <c:pt idx="25">
                  <c:v>45905</c:v>
                </c:pt>
                <c:pt idx="26">
                  <c:v>45908</c:v>
                </c:pt>
                <c:pt idx="27">
                  <c:v>45909</c:v>
                </c:pt>
                <c:pt idx="28">
                  <c:v>45910</c:v>
                </c:pt>
                <c:pt idx="29">
                  <c:v>45911</c:v>
                </c:pt>
                <c:pt idx="30">
                  <c:v>45912</c:v>
                </c:pt>
                <c:pt idx="31">
                  <c:v>45915</c:v>
                </c:pt>
                <c:pt idx="32">
                  <c:v>45916</c:v>
                </c:pt>
                <c:pt idx="33">
                  <c:v>45917</c:v>
                </c:pt>
                <c:pt idx="34">
                  <c:v>45918</c:v>
                </c:pt>
                <c:pt idx="35">
                  <c:v>45919</c:v>
                </c:pt>
                <c:pt idx="36">
                  <c:v>45922</c:v>
                </c:pt>
                <c:pt idx="37">
                  <c:v>45923</c:v>
                </c:pt>
                <c:pt idx="38">
                  <c:v>45924</c:v>
                </c:pt>
                <c:pt idx="39">
                  <c:v>45925</c:v>
                </c:pt>
                <c:pt idx="40">
                  <c:v>45926</c:v>
                </c:pt>
                <c:pt idx="41">
                  <c:v>45929</c:v>
                </c:pt>
                <c:pt idx="42">
                  <c:v>45930</c:v>
                </c:pt>
                <c:pt idx="43">
                  <c:v>45931</c:v>
                </c:pt>
                <c:pt idx="44">
                  <c:v>45932</c:v>
                </c:pt>
                <c:pt idx="45">
                  <c:v>45933</c:v>
                </c:pt>
                <c:pt idx="46">
                  <c:v>45936</c:v>
                </c:pt>
                <c:pt idx="47">
                  <c:v>45937</c:v>
                </c:pt>
                <c:pt idx="48">
                  <c:v>45938</c:v>
                </c:pt>
                <c:pt idx="49">
                  <c:v>45939</c:v>
                </c:pt>
                <c:pt idx="50">
                  <c:v>45940</c:v>
                </c:pt>
                <c:pt idx="51">
                  <c:v>45943</c:v>
                </c:pt>
                <c:pt idx="52">
                  <c:v>45944</c:v>
                </c:pt>
                <c:pt idx="53">
                  <c:v>45945</c:v>
                </c:pt>
                <c:pt idx="54">
                  <c:v>45946</c:v>
                </c:pt>
                <c:pt idx="55">
                  <c:v>45947</c:v>
                </c:pt>
                <c:pt idx="56">
                  <c:v>45950</c:v>
                </c:pt>
                <c:pt idx="57">
                  <c:v>45951</c:v>
                </c:pt>
                <c:pt idx="58">
                  <c:v>45952</c:v>
                </c:pt>
                <c:pt idx="59">
                  <c:v>45953</c:v>
                </c:pt>
                <c:pt idx="60">
                  <c:v>45954</c:v>
                </c:pt>
                <c:pt idx="61">
                  <c:v>45957</c:v>
                </c:pt>
                <c:pt idx="62">
                  <c:v>45958</c:v>
                </c:pt>
                <c:pt idx="63">
                  <c:v>45959</c:v>
                </c:pt>
                <c:pt idx="64">
                  <c:v>45960</c:v>
                </c:pt>
                <c:pt idx="65">
                  <c:v>45961</c:v>
                </c:pt>
                <c:pt idx="66">
                  <c:v>45964</c:v>
                </c:pt>
                <c:pt idx="67">
                  <c:v>45965</c:v>
                </c:pt>
                <c:pt idx="68">
                  <c:v>45966</c:v>
                </c:pt>
                <c:pt idx="69">
                  <c:v>45967</c:v>
                </c:pt>
                <c:pt idx="70">
                  <c:v>45968</c:v>
                </c:pt>
                <c:pt idx="71">
                  <c:v>45971</c:v>
                </c:pt>
                <c:pt idx="72">
                  <c:v>45972</c:v>
                </c:pt>
                <c:pt idx="73">
                  <c:v>45973</c:v>
                </c:pt>
                <c:pt idx="74">
                  <c:v>45974</c:v>
                </c:pt>
                <c:pt idx="75">
                  <c:v>45975</c:v>
                </c:pt>
                <c:pt idx="76">
                  <c:v>45978</c:v>
                </c:pt>
                <c:pt idx="77">
                  <c:v>45979</c:v>
                </c:pt>
                <c:pt idx="78">
                  <c:v>45980</c:v>
                </c:pt>
                <c:pt idx="79">
                  <c:v>45981</c:v>
                </c:pt>
                <c:pt idx="80">
                  <c:v>45982</c:v>
                </c:pt>
                <c:pt idx="81">
                  <c:v>45985</c:v>
                </c:pt>
                <c:pt idx="82">
                  <c:v>45986</c:v>
                </c:pt>
                <c:pt idx="83">
                  <c:v>45987</c:v>
                </c:pt>
                <c:pt idx="84">
                  <c:v>45988</c:v>
                </c:pt>
                <c:pt idx="85">
                  <c:v>45989</c:v>
                </c:pt>
                <c:pt idx="86">
                  <c:v>45992</c:v>
                </c:pt>
                <c:pt idx="87">
                  <c:v>45993</c:v>
                </c:pt>
                <c:pt idx="88">
                  <c:v>45994</c:v>
                </c:pt>
                <c:pt idx="89">
                  <c:v>45995</c:v>
                </c:pt>
                <c:pt idx="90">
                  <c:v>45996</c:v>
                </c:pt>
                <c:pt idx="91">
                  <c:v>45999</c:v>
                </c:pt>
                <c:pt idx="92">
                  <c:v>46000</c:v>
                </c:pt>
                <c:pt idx="93">
                  <c:v>46001</c:v>
                </c:pt>
                <c:pt idx="94">
                  <c:v>46002</c:v>
                </c:pt>
                <c:pt idx="95">
                  <c:v>46003</c:v>
                </c:pt>
                <c:pt idx="96">
                  <c:v>46006</c:v>
                </c:pt>
                <c:pt idx="97">
                  <c:v>46007</c:v>
                </c:pt>
                <c:pt idx="98">
                  <c:v>46008</c:v>
                </c:pt>
                <c:pt idx="99">
                  <c:v>46009</c:v>
                </c:pt>
                <c:pt idx="100">
                  <c:v>46010</c:v>
                </c:pt>
                <c:pt idx="101">
                  <c:v>46013</c:v>
                </c:pt>
                <c:pt idx="102">
                  <c:v>46014</c:v>
                </c:pt>
                <c:pt idx="103">
                  <c:v>46015</c:v>
                </c:pt>
                <c:pt idx="104">
                  <c:v>46016</c:v>
                </c:pt>
                <c:pt idx="105">
                  <c:v>46017</c:v>
                </c:pt>
                <c:pt idx="106">
                  <c:v>46020</c:v>
                </c:pt>
                <c:pt idx="107">
                  <c:v>46021</c:v>
                </c:pt>
                <c:pt idx="108">
                  <c:v>46022</c:v>
                </c:pt>
                <c:pt idx="109">
                  <c:v>46023</c:v>
                </c:pt>
                <c:pt idx="110">
                  <c:v>46024</c:v>
                </c:pt>
                <c:pt idx="111">
                  <c:v>46027</c:v>
                </c:pt>
                <c:pt idx="112">
                  <c:v>46028</c:v>
                </c:pt>
                <c:pt idx="113">
                  <c:v>46029</c:v>
                </c:pt>
                <c:pt idx="114">
                  <c:v>46030</c:v>
                </c:pt>
                <c:pt idx="115">
                  <c:v>46031</c:v>
                </c:pt>
                <c:pt idx="116">
                  <c:v>46034</c:v>
                </c:pt>
                <c:pt idx="117">
                  <c:v>46035</c:v>
                </c:pt>
                <c:pt idx="118">
                  <c:v>46036</c:v>
                </c:pt>
                <c:pt idx="119">
                  <c:v>46037</c:v>
                </c:pt>
                <c:pt idx="120">
                  <c:v>46038</c:v>
                </c:pt>
                <c:pt idx="121">
                  <c:v>46041</c:v>
                </c:pt>
                <c:pt idx="122">
                  <c:v>46042</c:v>
                </c:pt>
                <c:pt idx="123">
                  <c:v>46043</c:v>
                </c:pt>
                <c:pt idx="124">
                  <c:v>46044</c:v>
                </c:pt>
                <c:pt idx="125">
                  <c:v>46045</c:v>
                </c:pt>
                <c:pt idx="126">
                  <c:v>46048</c:v>
                </c:pt>
                <c:pt idx="127">
                  <c:v>46049</c:v>
                </c:pt>
                <c:pt idx="128">
                  <c:v>46050</c:v>
                </c:pt>
                <c:pt idx="129">
                  <c:v>46051</c:v>
                </c:pt>
                <c:pt idx="130">
                  <c:v>46052</c:v>
                </c:pt>
                <c:pt idx="131">
                  <c:v>46055</c:v>
                </c:pt>
                <c:pt idx="132">
                  <c:v>46056</c:v>
                </c:pt>
                <c:pt idx="133">
                  <c:v>46057</c:v>
                </c:pt>
                <c:pt idx="134">
                  <c:v>46058</c:v>
                </c:pt>
                <c:pt idx="135">
                  <c:v>46059</c:v>
                </c:pt>
                <c:pt idx="136">
                  <c:v>46062</c:v>
                </c:pt>
                <c:pt idx="137">
                  <c:v>46063</c:v>
                </c:pt>
                <c:pt idx="138">
                  <c:v>46064</c:v>
                </c:pt>
                <c:pt idx="139">
                  <c:v>46065</c:v>
                </c:pt>
                <c:pt idx="140">
                  <c:v>46066</c:v>
                </c:pt>
                <c:pt idx="141">
                  <c:v>46069</c:v>
                </c:pt>
                <c:pt idx="142">
                  <c:v>46070</c:v>
                </c:pt>
                <c:pt idx="143">
                  <c:v>46071</c:v>
                </c:pt>
                <c:pt idx="144">
                  <c:v>46072</c:v>
                </c:pt>
                <c:pt idx="145">
                  <c:v>46073</c:v>
                </c:pt>
                <c:pt idx="146">
                  <c:v>46076</c:v>
                </c:pt>
                <c:pt idx="147">
                  <c:v>46077</c:v>
                </c:pt>
                <c:pt idx="148">
                  <c:v>46078</c:v>
                </c:pt>
                <c:pt idx="149">
                  <c:v>46079</c:v>
                </c:pt>
                <c:pt idx="150">
                  <c:v>46080</c:v>
                </c:pt>
                <c:pt idx="151">
                  <c:v>46083</c:v>
                </c:pt>
                <c:pt idx="152">
                  <c:v>46084</c:v>
                </c:pt>
                <c:pt idx="153">
                  <c:v>46085</c:v>
                </c:pt>
                <c:pt idx="154">
                  <c:v>46086</c:v>
                </c:pt>
                <c:pt idx="155">
                  <c:v>46087</c:v>
                </c:pt>
                <c:pt idx="156">
                  <c:v>46090</c:v>
                </c:pt>
                <c:pt idx="157">
                  <c:v>46091</c:v>
                </c:pt>
                <c:pt idx="158">
                  <c:v>46092</c:v>
                </c:pt>
                <c:pt idx="159">
                  <c:v>46093</c:v>
                </c:pt>
                <c:pt idx="160">
                  <c:v>46094</c:v>
                </c:pt>
                <c:pt idx="161">
                  <c:v>46097</c:v>
                </c:pt>
                <c:pt idx="162">
                  <c:v>46098</c:v>
                </c:pt>
                <c:pt idx="163">
                  <c:v>46099</c:v>
                </c:pt>
                <c:pt idx="164">
                  <c:v>46100</c:v>
                </c:pt>
                <c:pt idx="165">
                  <c:v>46101</c:v>
                </c:pt>
                <c:pt idx="166">
                  <c:v>46104</c:v>
                </c:pt>
                <c:pt idx="167">
                  <c:v>46105</c:v>
                </c:pt>
                <c:pt idx="168">
                  <c:v>46106</c:v>
                </c:pt>
                <c:pt idx="169">
                  <c:v>46107</c:v>
                </c:pt>
                <c:pt idx="170">
                  <c:v>46108</c:v>
                </c:pt>
                <c:pt idx="171">
                  <c:v>46111</c:v>
                </c:pt>
                <c:pt idx="172">
                  <c:v>46112</c:v>
                </c:pt>
                <c:pt idx="173">
                  <c:v>46113</c:v>
                </c:pt>
                <c:pt idx="174">
                  <c:v>46114</c:v>
                </c:pt>
                <c:pt idx="175">
                  <c:v>46115</c:v>
                </c:pt>
                <c:pt idx="176">
                  <c:v>46118</c:v>
                </c:pt>
                <c:pt idx="177">
                  <c:v>46119</c:v>
                </c:pt>
                <c:pt idx="178">
                  <c:v>46120</c:v>
                </c:pt>
                <c:pt idx="179">
                  <c:v>46121</c:v>
                </c:pt>
              </c:numCache>
            </c:numRef>
          </c:cat>
          <c:val>
            <c:numRef>
              <c:f>Prices!$C$4:$C$183</c:f>
              <c:numCache>
                <c:formatCode>#,##0.00;\(#,##0.00\);\-</c:formatCode>
                <c:ptCount val="180"/>
                <c:pt idx="0">
                  <c:v>2400</c:v>
                </c:pt>
                <c:pt idx="1">
                  <c:v>2399.42</c:v>
                </c:pt>
                <c:pt idx="2">
                  <c:v>2398.15</c:v>
                </c:pt>
                <c:pt idx="3">
                  <c:v>2398.36</c:v>
                </c:pt>
                <c:pt idx="4">
                  <c:v>2418.0700000000002</c:v>
                </c:pt>
                <c:pt idx="5">
                  <c:v>2417.89</c:v>
                </c:pt>
                <c:pt idx="6">
                  <c:v>2384.59</c:v>
                </c:pt>
                <c:pt idx="7">
                  <c:v>2395.37</c:v>
                </c:pt>
                <c:pt idx="8">
                  <c:v>2391.85</c:v>
                </c:pt>
                <c:pt idx="9">
                  <c:v>2389.5300000000002</c:v>
                </c:pt>
                <c:pt idx="10">
                  <c:v>2395.16</c:v>
                </c:pt>
                <c:pt idx="11">
                  <c:v>2403.6</c:v>
                </c:pt>
                <c:pt idx="12">
                  <c:v>2434.4499999999998</c:v>
                </c:pt>
                <c:pt idx="13">
                  <c:v>2453.36</c:v>
                </c:pt>
                <c:pt idx="14">
                  <c:v>2459.0100000000002</c:v>
                </c:pt>
                <c:pt idx="15">
                  <c:v>2443.81</c:v>
                </c:pt>
                <c:pt idx="16">
                  <c:v>2421.9499999999998</c:v>
                </c:pt>
                <c:pt idx="17">
                  <c:v>2430.8200000000002</c:v>
                </c:pt>
                <c:pt idx="18">
                  <c:v>2465.61</c:v>
                </c:pt>
                <c:pt idx="19">
                  <c:v>2469.59</c:v>
                </c:pt>
                <c:pt idx="20">
                  <c:v>2469.9299999999998</c:v>
                </c:pt>
                <c:pt idx="21">
                  <c:v>2486.0300000000002</c:v>
                </c:pt>
                <c:pt idx="22">
                  <c:v>2452.88</c:v>
                </c:pt>
                <c:pt idx="23">
                  <c:v>2448.16</c:v>
                </c:pt>
                <c:pt idx="24">
                  <c:v>2463.1</c:v>
                </c:pt>
                <c:pt idx="25">
                  <c:v>2487.5700000000002</c:v>
                </c:pt>
                <c:pt idx="26">
                  <c:v>2484.5700000000002</c:v>
                </c:pt>
                <c:pt idx="27">
                  <c:v>2496.91</c:v>
                </c:pt>
                <c:pt idx="28">
                  <c:v>2506.1</c:v>
                </c:pt>
                <c:pt idx="29">
                  <c:v>2528.71</c:v>
                </c:pt>
                <c:pt idx="30">
                  <c:v>2503.6</c:v>
                </c:pt>
                <c:pt idx="31">
                  <c:v>2520.83</c:v>
                </c:pt>
                <c:pt idx="32">
                  <c:v>2485.6799999999998</c:v>
                </c:pt>
                <c:pt idx="33">
                  <c:v>2423.54</c:v>
                </c:pt>
                <c:pt idx="34">
                  <c:v>2411.7399999999998</c:v>
                </c:pt>
                <c:pt idx="35">
                  <c:v>2392.54</c:v>
                </c:pt>
                <c:pt idx="36">
                  <c:v>2416.37</c:v>
                </c:pt>
                <c:pt idx="37">
                  <c:v>2435.3200000000002</c:v>
                </c:pt>
                <c:pt idx="38">
                  <c:v>2408.56</c:v>
                </c:pt>
                <c:pt idx="39">
                  <c:v>2431.86</c:v>
                </c:pt>
                <c:pt idx="40">
                  <c:v>2410.4</c:v>
                </c:pt>
                <c:pt idx="41">
                  <c:v>2411.2199999999998</c:v>
                </c:pt>
                <c:pt idx="42">
                  <c:v>2407.02</c:v>
                </c:pt>
                <c:pt idx="43">
                  <c:v>2412.67</c:v>
                </c:pt>
                <c:pt idx="44">
                  <c:v>2435.31</c:v>
                </c:pt>
                <c:pt idx="45">
                  <c:v>2453.7800000000002</c:v>
                </c:pt>
                <c:pt idx="46">
                  <c:v>2465.31</c:v>
                </c:pt>
                <c:pt idx="47">
                  <c:v>2484.29</c:v>
                </c:pt>
                <c:pt idx="48">
                  <c:v>2499.16</c:v>
                </c:pt>
                <c:pt idx="49">
                  <c:v>2486.4899999999998</c:v>
                </c:pt>
                <c:pt idx="50">
                  <c:v>2471.64</c:v>
                </c:pt>
                <c:pt idx="51">
                  <c:v>2462.9899999999998</c:v>
                </c:pt>
                <c:pt idx="52">
                  <c:v>2478.2399999999998</c:v>
                </c:pt>
                <c:pt idx="53">
                  <c:v>2475.02</c:v>
                </c:pt>
                <c:pt idx="54">
                  <c:v>2535.8000000000002</c:v>
                </c:pt>
                <c:pt idx="55">
                  <c:v>2518.0700000000002</c:v>
                </c:pt>
                <c:pt idx="56">
                  <c:v>2493.42</c:v>
                </c:pt>
                <c:pt idx="57">
                  <c:v>2515.5700000000002</c:v>
                </c:pt>
                <c:pt idx="58">
                  <c:v>2554.36</c:v>
                </c:pt>
                <c:pt idx="59">
                  <c:v>2570.34</c:v>
                </c:pt>
                <c:pt idx="60">
                  <c:v>2594.91</c:v>
                </c:pt>
                <c:pt idx="61">
                  <c:v>2629.84</c:v>
                </c:pt>
                <c:pt idx="62">
                  <c:v>2625.27</c:v>
                </c:pt>
                <c:pt idx="63">
                  <c:v>2585.81</c:v>
                </c:pt>
                <c:pt idx="64">
                  <c:v>2569.98</c:v>
                </c:pt>
                <c:pt idx="65">
                  <c:v>2592.42</c:v>
                </c:pt>
                <c:pt idx="66">
                  <c:v>2552.92</c:v>
                </c:pt>
                <c:pt idx="67">
                  <c:v>2551.73</c:v>
                </c:pt>
                <c:pt idx="68">
                  <c:v>2556.15</c:v>
                </c:pt>
                <c:pt idx="69">
                  <c:v>2546.04</c:v>
                </c:pt>
                <c:pt idx="70">
                  <c:v>2562.4299999999998</c:v>
                </c:pt>
                <c:pt idx="71">
                  <c:v>2575.2600000000002</c:v>
                </c:pt>
                <c:pt idx="72">
                  <c:v>2632.98</c:v>
                </c:pt>
                <c:pt idx="73">
                  <c:v>2647.2</c:v>
                </c:pt>
                <c:pt idx="74">
                  <c:v>2628.95</c:v>
                </c:pt>
                <c:pt idx="75">
                  <c:v>2612.0700000000002</c:v>
                </c:pt>
                <c:pt idx="76">
                  <c:v>2588.2600000000002</c:v>
                </c:pt>
                <c:pt idx="77">
                  <c:v>2610.84</c:v>
                </c:pt>
                <c:pt idx="78">
                  <c:v>2593.9499999999998</c:v>
                </c:pt>
                <c:pt idx="79">
                  <c:v>2590.0500000000002</c:v>
                </c:pt>
                <c:pt idx="80">
                  <c:v>2607.39</c:v>
                </c:pt>
                <c:pt idx="81">
                  <c:v>2586.44</c:v>
                </c:pt>
                <c:pt idx="82">
                  <c:v>2576.7800000000002</c:v>
                </c:pt>
                <c:pt idx="83">
                  <c:v>2527.27</c:v>
                </c:pt>
                <c:pt idx="84">
                  <c:v>2497.89</c:v>
                </c:pt>
                <c:pt idx="85">
                  <c:v>2481.71</c:v>
                </c:pt>
                <c:pt idx="86">
                  <c:v>2490.04</c:v>
                </c:pt>
                <c:pt idx="87">
                  <c:v>2517.77</c:v>
                </c:pt>
                <c:pt idx="88">
                  <c:v>2515.29</c:v>
                </c:pt>
                <c:pt idx="89">
                  <c:v>2519.85</c:v>
                </c:pt>
                <c:pt idx="90">
                  <c:v>2522.0700000000002</c:v>
                </c:pt>
                <c:pt idx="91">
                  <c:v>2547.41</c:v>
                </c:pt>
                <c:pt idx="92">
                  <c:v>2568.13</c:v>
                </c:pt>
                <c:pt idx="93">
                  <c:v>2573.1</c:v>
                </c:pt>
                <c:pt idx="94">
                  <c:v>2545.0300000000002</c:v>
                </c:pt>
                <c:pt idx="95">
                  <c:v>2565.9899999999998</c:v>
                </c:pt>
                <c:pt idx="96">
                  <c:v>2573.71</c:v>
                </c:pt>
                <c:pt idx="97">
                  <c:v>2603.23</c:v>
                </c:pt>
                <c:pt idx="98">
                  <c:v>2600.37</c:v>
                </c:pt>
                <c:pt idx="99">
                  <c:v>2649.08</c:v>
                </c:pt>
                <c:pt idx="100">
                  <c:v>2637.45</c:v>
                </c:pt>
                <c:pt idx="101">
                  <c:v>2677.36</c:v>
                </c:pt>
                <c:pt idx="102">
                  <c:v>2678.3</c:v>
                </c:pt>
                <c:pt idx="103">
                  <c:v>2662.33</c:v>
                </c:pt>
                <c:pt idx="104">
                  <c:v>2630.15</c:v>
                </c:pt>
                <c:pt idx="105">
                  <c:v>2624.08</c:v>
                </c:pt>
                <c:pt idx="106">
                  <c:v>2659.33</c:v>
                </c:pt>
                <c:pt idx="107">
                  <c:v>2678.91</c:v>
                </c:pt>
                <c:pt idx="108">
                  <c:v>2695.22</c:v>
                </c:pt>
                <c:pt idx="109">
                  <c:v>2629.03</c:v>
                </c:pt>
                <c:pt idx="110">
                  <c:v>2645.62</c:v>
                </c:pt>
                <c:pt idx="111">
                  <c:v>2661.65</c:v>
                </c:pt>
                <c:pt idx="112">
                  <c:v>2648.34</c:v>
                </c:pt>
                <c:pt idx="113">
                  <c:v>2633.05</c:v>
                </c:pt>
                <c:pt idx="114">
                  <c:v>2634.31</c:v>
                </c:pt>
                <c:pt idx="115">
                  <c:v>2681.06</c:v>
                </c:pt>
                <c:pt idx="116">
                  <c:v>2654.11</c:v>
                </c:pt>
                <c:pt idx="117">
                  <c:v>2644.09</c:v>
                </c:pt>
                <c:pt idx="118">
                  <c:v>2681.42</c:v>
                </c:pt>
                <c:pt idx="119">
                  <c:v>2670.79</c:v>
                </c:pt>
                <c:pt idx="120">
                  <c:v>2662.4</c:v>
                </c:pt>
                <c:pt idx="121">
                  <c:v>2666.33</c:v>
                </c:pt>
                <c:pt idx="122">
                  <c:v>2634.57</c:v>
                </c:pt>
                <c:pt idx="123">
                  <c:v>2641.68</c:v>
                </c:pt>
                <c:pt idx="124">
                  <c:v>2611.0500000000002</c:v>
                </c:pt>
                <c:pt idx="125">
                  <c:v>2635.47</c:v>
                </c:pt>
                <c:pt idx="126">
                  <c:v>2636.87</c:v>
                </c:pt>
                <c:pt idx="127">
                  <c:v>2698.4</c:v>
                </c:pt>
                <c:pt idx="128">
                  <c:v>2707.33</c:v>
                </c:pt>
                <c:pt idx="129">
                  <c:v>2745.65</c:v>
                </c:pt>
                <c:pt idx="130">
                  <c:v>2711.24</c:v>
                </c:pt>
                <c:pt idx="131">
                  <c:v>2709.29</c:v>
                </c:pt>
                <c:pt idx="132">
                  <c:v>2719.4</c:v>
                </c:pt>
                <c:pt idx="133">
                  <c:v>2768.23</c:v>
                </c:pt>
                <c:pt idx="134">
                  <c:v>2723.08</c:v>
                </c:pt>
                <c:pt idx="135">
                  <c:v>2751.42</c:v>
                </c:pt>
                <c:pt idx="136">
                  <c:v>2769.07</c:v>
                </c:pt>
                <c:pt idx="137">
                  <c:v>2812.91</c:v>
                </c:pt>
                <c:pt idx="138">
                  <c:v>2834.36</c:v>
                </c:pt>
                <c:pt idx="139">
                  <c:v>2837.25</c:v>
                </c:pt>
                <c:pt idx="140">
                  <c:v>2823.87</c:v>
                </c:pt>
                <c:pt idx="141">
                  <c:v>2790.04</c:v>
                </c:pt>
                <c:pt idx="142">
                  <c:v>2796.88</c:v>
                </c:pt>
                <c:pt idx="143">
                  <c:v>2792.92</c:v>
                </c:pt>
                <c:pt idx="144">
                  <c:v>2850.74</c:v>
                </c:pt>
                <c:pt idx="145">
                  <c:v>2834.75</c:v>
                </c:pt>
                <c:pt idx="146">
                  <c:v>2845.25</c:v>
                </c:pt>
                <c:pt idx="147">
                  <c:v>2802.03</c:v>
                </c:pt>
                <c:pt idx="148">
                  <c:v>2792.35</c:v>
                </c:pt>
                <c:pt idx="149">
                  <c:v>2801.04</c:v>
                </c:pt>
                <c:pt idx="150">
                  <c:v>2825.52</c:v>
                </c:pt>
                <c:pt idx="151">
                  <c:v>2867.85</c:v>
                </c:pt>
                <c:pt idx="152">
                  <c:v>2868.01</c:v>
                </c:pt>
                <c:pt idx="153">
                  <c:v>2837.4</c:v>
                </c:pt>
                <c:pt idx="154">
                  <c:v>2851.81</c:v>
                </c:pt>
                <c:pt idx="155">
                  <c:v>2867.98</c:v>
                </c:pt>
                <c:pt idx="156">
                  <c:v>2883.52</c:v>
                </c:pt>
                <c:pt idx="157">
                  <c:v>2864.77</c:v>
                </c:pt>
                <c:pt idx="158">
                  <c:v>2898.67</c:v>
                </c:pt>
                <c:pt idx="159">
                  <c:v>2902.67</c:v>
                </c:pt>
                <c:pt idx="160">
                  <c:v>2924.43</c:v>
                </c:pt>
                <c:pt idx="161">
                  <c:v>2963.15</c:v>
                </c:pt>
                <c:pt idx="162">
                  <c:v>2982.69</c:v>
                </c:pt>
                <c:pt idx="163">
                  <c:v>2992.72</c:v>
                </c:pt>
                <c:pt idx="164">
                  <c:v>3058.65</c:v>
                </c:pt>
                <c:pt idx="165">
                  <c:v>3067.63</c:v>
                </c:pt>
                <c:pt idx="166">
                  <c:v>3060.09</c:v>
                </c:pt>
                <c:pt idx="167">
                  <c:v>3065.04</c:v>
                </c:pt>
                <c:pt idx="168">
                  <c:v>3112.02</c:v>
                </c:pt>
                <c:pt idx="169">
                  <c:v>3117.27</c:v>
                </c:pt>
                <c:pt idx="170">
                  <c:v>3135.02</c:v>
                </c:pt>
                <c:pt idx="171">
                  <c:v>3174.08</c:v>
                </c:pt>
                <c:pt idx="172">
                  <c:v>3159.38</c:v>
                </c:pt>
                <c:pt idx="173">
                  <c:v>3106.42</c:v>
                </c:pt>
                <c:pt idx="174">
                  <c:v>3117.27</c:v>
                </c:pt>
                <c:pt idx="175">
                  <c:v>3125.99</c:v>
                </c:pt>
                <c:pt idx="176">
                  <c:v>3108.55</c:v>
                </c:pt>
                <c:pt idx="177">
                  <c:v>3137.18</c:v>
                </c:pt>
                <c:pt idx="178">
                  <c:v>3157.81</c:v>
                </c:pt>
                <c:pt idx="179">
                  <c:v>3127.97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5C-4A62-A061-20AC7FDF33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5170927"/>
        <c:axId val="1495171407"/>
      </c:lineChart>
      <c:dateAx>
        <c:axId val="1495170927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171407"/>
        <c:crosses val="autoZero"/>
        <c:auto val="1"/>
        <c:lblOffset val="100"/>
        <c:baseTimeUnit val="days"/>
      </c:dateAx>
      <c:valAx>
        <c:axId val="1495171407"/>
        <c:scaling>
          <c:orientation val="minMax"/>
          <c:min val="1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;\(#,##0.0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170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Rules!$B$49:$B$183</c:f>
              <c:numCache>
                <c:formatCode>yyyy\-mm\-dd</c:formatCode>
                <c:ptCount val="135"/>
                <c:pt idx="0">
                  <c:v>45933</c:v>
                </c:pt>
                <c:pt idx="1">
                  <c:v>45936</c:v>
                </c:pt>
                <c:pt idx="2">
                  <c:v>45937</c:v>
                </c:pt>
                <c:pt idx="3">
                  <c:v>45938</c:v>
                </c:pt>
                <c:pt idx="4">
                  <c:v>45939</c:v>
                </c:pt>
                <c:pt idx="5">
                  <c:v>45940</c:v>
                </c:pt>
                <c:pt idx="6">
                  <c:v>45943</c:v>
                </c:pt>
                <c:pt idx="7">
                  <c:v>45944</c:v>
                </c:pt>
                <c:pt idx="8">
                  <c:v>45945</c:v>
                </c:pt>
                <c:pt idx="9">
                  <c:v>45946</c:v>
                </c:pt>
                <c:pt idx="10">
                  <c:v>45947</c:v>
                </c:pt>
                <c:pt idx="11">
                  <c:v>45950</c:v>
                </c:pt>
                <c:pt idx="12">
                  <c:v>45951</c:v>
                </c:pt>
                <c:pt idx="13">
                  <c:v>45952</c:v>
                </c:pt>
                <c:pt idx="14">
                  <c:v>45953</c:v>
                </c:pt>
                <c:pt idx="15">
                  <c:v>45954</c:v>
                </c:pt>
                <c:pt idx="16">
                  <c:v>45957</c:v>
                </c:pt>
                <c:pt idx="17">
                  <c:v>45958</c:v>
                </c:pt>
                <c:pt idx="18">
                  <c:v>45959</c:v>
                </c:pt>
                <c:pt idx="19">
                  <c:v>45960</c:v>
                </c:pt>
                <c:pt idx="20">
                  <c:v>45961</c:v>
                </c:pt>
                <c:pt idx="21">
                  <c:v>45964</c:v>
                </c:pt>
                <c:pt idx="22">
                  <c:v>45965</c:v>
                </c:pt>
                <c:pt idx="23">
                  <c:v>45966</c:v>
                </c:pt>
                <c:pt idx="24">
                  <c:v>45967</c:v>
                </c:pt>
                <c:pt idx="25">
                  <c:v>45968</c:v>
                </c:pt>
                <c:pt idx="26">
                  <c:v>45971</c:v>
                </c:pt>
                <c:pt idx="27">
                  <c:v>45972</c:v>
                </c:pt>
                <c:pt idx="28">
                  <c:v>45973</c:v>
                </c:pt>
                <c:pt idx="29">
                  <c:v>45974</c:v>
                </c:pt>
                <c:pt idx="30">
                  <c:v>45975</c:v>
                </c:pt>
                <c:pt idx="31">
                  <c:v>45978</c:v>
                </c:pt>
                <c:pt idx="32">
                  <c:v>45979</c:v>
                </c:pt>
                <c:pt idx="33">
                  <c:v>45980</c:v>
                </c:pt>
                <c:pt idx="34">
                  <c:v>45981</c:v>
                </c:pt>
                <c:pt idx="35">
                  <c:v>45982</c:v>
                </c:pt>
                <c:pt idx="36">
                  <c:v>45985</c:v>
                </c:pt>
                <c:pt idx="37">
                  <c:v>45986</c:v>
                </c:pt>
                <c:pt idx="38">
                  <c:v>45987</c:v>
                </c:pt>
                <c:pt idx="39">
                  <c:v>45988</c:v>
                </c:pt>
                <c:pt idx="40">
                  <c:v>45989</c:v>
                </c:pt>
                <c:pt idx="41">
                  <c:v>45992</c:v>
                </c:pt>
                <c:pt idx="42">
                  <c:v>45993</c:v>
                </c:pt>
                <c:pt idx="43">
                  <c:v>45994</c:v>
                </c:pt>
                <c:pt idx="44">
                  <c:v>45995</c:v>
                </c:pt>
                <c:pt idx="45">
                  <c:v>45996</c:v>
                </c:pt>
                <c:pt idx="46">
                  <c:v>45999</c:v>
                </c:pt>
                <c:pt idx="47">
                  <c:v>46000</c:v>
                </c:pt>
                <c:pt idx="48">
                  <c:v>46001</c:v>
                </c:pt>
                <c:pt idx="49">
                  <c:v>46002</c:v>
                </c:pt>
                <c:pt idx="50">
                  <c:v>46003</c:v>
                </c:pt>
                <c:pt idx="51">
                  <c:v>46006</c:v>
                </c:pt>
                <c:pt idx="52">
                  <c:v>46007</c:v>
                </c:pt>
                <c:pt idx="53">
                  <c:v>46008</c:v>
                </c:pt>
                <c:pt idx="54">
                  <c:v>46009</c:v>
                </c:pt>
                <c:pt idx="55">
                  <c:v>46010</c:v>
                </c:pt>
                <c:pt idx="56">
                  <c:v>46013</c:v>
                </c:pt>
                <c:pt idx="57">
                  <c:v>46014</c:v>
                </c:pt>
                <c:pt idx="58">
                  <c:v>46015</c:v>
                </c:pt>
                <c:pt idx="59">
                  <c:v>46016</c:v>
                </c:pt>
                <c:pt idx="60">
                  <c:v>46017</c:v>
                </c:pt>
                <c:pt idx="61">
                  <c:v>46020</c:v>
                </c:pt>
                <c:pt idx="62">
                  <c:v>46021</c:v>
                </c:pt>
                <c:pt idx="63">
                  <c:v>46022</c:v>
                </c:pt>
                <c:pt idx="64">
                  <c:v>46023</c:v>
                </c:pt>
                <c:pt idx="65">
                  <c:v>46024</c:v>
                </c:pt>
                <c:pt idx="66">
                  <c:v>46027</c:v>
                </c:pt>
                <c:pt idx="67">
                  <c:v>46028</c:v>
                </c:pt>
                <c:pt idx="68">
                  <c:v>46029</c:v>
                </c:pt>
                <c:pt idx="69">
                  <c:v>46030</c:v>
                </c:pt>
                <c:pt idx="70">
                  <c:v>46031</c:v>
                </c:pt>
                <c:pt idx="71">
                  <c:v>46034</c:v>
                </c:pt>
                <c:pt idx="72">
                  <c:v>46035</c:v>
                </c:pt>
                <c:pt idx="73">
                  <c:v>46036</c:v>
                </c:pt>
                <c:pt idx="74">
                  <c:v>46037</c:v>
                </c:pt>
                <c:pt idx="75">
                  <c:v>46038</c:v>
                </c:pt>
                <c:pt idx="76">
                  <c:v>46041</c:v>
                </c:pt>
                <c:pt idx="77">
                  <c:v>46042</c:v>
                </c:pt>
                <c:pt idx="78">
                  <c:v>46043</c:v>
                </c:pt>
                <c:pt idx="79">
                  <c:v>46044</c:v>
                </c:pt>
                <c:pt idx="80">
                  <c:v>46045</c:v>
                </c:pt>
                <c:pt idx="81">
                  <c:v>46048</c:v>
                </c:pt>
                <c:pt idx="82">
                  <c:v>46049</c:v>
                </c:pt>
                <c:pt idx="83">
                  <c:v>46050</c:v>
                </c:pt>
                <c:pt idx="84">
                  <c:v>46051</c:v>
                </c:pt>
                <c:pt idx="85">
                  <c:v>46052</c:v>
                </c:pt>
                <c:pt idx="86">
                  <c:v>46055</c:v>
                </c:pt>
                <c:pt idx="87">
                  <c:v>46056</c:v>
                </c:pt>
                <c:pt idx="88">
                  <c:v>46057</c:v>
                </c:pt>
                <c:pt idx="89">
                  <c:v>46058</c:v>
                </c:pt>
                <c:pt idx="90">
                  <c:v>46059</c:v>
                </c:pt>
                <c:pt idx="91">
                  <c:v>46062</c:v>
                </c:pt>
                <c:pt idx="92">
                  <c:v>46063</c:v>
                </c:pt>
                <c:pt idx="93">
                  <c:v>46064</c:v>
                </c:pt>
                <c:pt idx="94">
                  <c:v>46065</c:v>
                </c:pt>
                <c:pt idx="95">
                  <c:v>46066</c:v>
                </c:pt>
                <c:pt idx="96">
                  <c:v>46069</c:v>
                </c:pt>
                <c:pt idx="97">
                  <c:v>46070</c:v>
                </c:pt>
                <c:pt idx="98">
                  <c:v>46071</c:v>
                </c:pt>
                <c:pt idx="99">
                  <c:v>46072</c:v>
                </c:pt>
                <c:pt idx="100">
                  <c:v>46073</c:v>
                </c:pt>
                <c:pt idx="101">
                  <c:v>46076</c:v>
                </c:pt>
                <c:pt idx="102">
                  <c:v>46077</c:v>
                </c:pt>
                <c:pt idx="103">
                  <c:v>46078</c:v>
                </c:pt>
                <c:pt idx="104">
                  <c:v>46079</c:v>
                </c:pt>
                <c:pt idx="105">
                  <c:v>46080</c:v>
                </c:pt>
                <c:pt idx="106">
                  <c:v>46083</c:v>
                </c:pt>
                <c:pt idx="107">
                  <c:v>46084</c:v>
                </c:pt>
                <c:pt idx="108">
                  <c:v>46085</c:v>
                </c:pt>
                <c:pt idx="109">
                  <c:v>46086</c:v>
                </c:pt>
                <c:pt idx="110">
                  <c:v>46087</c:v>
                </c:pt>
                <c:pt idx="111">
                  <c:v>46090</c:v>
                </c:pt>
                <c:pt idx="112">
                  <c:v>46091</c:v>
                </c:pt>
                <c:pt idx="113">
                  <c:v>46092</c:v>
                </c:pt>
                <c:pt idx="114">
                  <c:v>46093</c:v>
                </c:pt>
                <c:pt idx="115">
                  <c:v>46094</c:v>
                </c:pt>
                <c:pt idx="116">
                  <c:v>46097</c:v>
                </c:pt>
                <c:pt idx="117">
                  <c:v>46098</c:v>
                </c:pt>
                <c:pt idx="118">
                  <c:v>46099</c:v>
                </c:pt>
                <c:pt idx="119">
                  <c:v>46100</c:v>
                </c:pt>
                <c:pt idx="120">
                  <c:v>46101</c:v>
                </c:pt>
                <c:pt idx="121">
                  <c:v>46104</c:v>
                </c:pt>
                <c:pt idx="122">
                  <c:v>46105</c:v>
                </c:pt>
                <c:pt idx="123">
                  <c:v>46106</c:v>
                </c:pt>
                <c:pt idx="124">
                  <c:v>46107</c:v>
                </c:pt>
                <c:pt idx="125">
                  <c:v>46108</c:v>
                </c:pt>
                <c:pt idx="126">
                  <c:v>46111</c:v>
                </c:pt>
                <c:pt idx="127">
                  <c:v>46112</c:v>
                </c:pt>
                <c:pt idx="128">
                  <c:v>46113</c:v>
                </c:pt>
                <c:pt idx="129">
                  <c:v>46114</c:v>
                </c:pt>
                <c:pt idx="130">
                  <c:v>46115</c:v>
                </c:pt>
                <c:pt idx="131">
                  <c:v>46118</c:v>
                </c:pt>
                <c:pt idx="132">
                  <c:v>46119</c:v>
                </c:pt>
                <c:pt idx="133">
                  <c:v>46120</c:v>
                </c:pt>
                <c:pt idx="134">
                  <c:v>46121</c:v>
                </c:pt>
              </c:numCache>
            </c:numRef>
          </c:cat>
          <c:val>
            <c:numRef>
              <c:f>Rules!$C$49:$C$183</c:f>
              <c:numCache>
                <c:formatCode>#,##0.00;\(#,##0.00\);\-</c:formatCode>
                <c:ptCount val="135"/>
                <c:pt idx="0">
                  <c:v>2453.7800000000002</c:v>
                </c:pt>
                <c:pt idx="1">
                  <c:v>2465.31</c:v>
                </c:pt>
                <c:pt idx="2">
                  <c:v>2484.29</c:v>
                </c:pt>
                <c:pt idx="3">
                  <c:v>2499.16</c:v>
                </c:pt>
                <c:pt idx="4">
                  <c:v>2486.4899999999998</c:v>
                </c:pt>
                <c:pt idx="5">
                  <c:v>2471.64</c:v>
                </c:pt>
                <c:pt idx="6">
                  <c:v>2462.9899999999998</c:v>
                </c:pt>
                <c:pt idx="7">
                  <c:v>2478.2399999999998</c:v>
                </c:pt>
                <c:pt idx="8">
                  <c:v>2475.02</c:v>
                </c:pt>
                <c:pt idx="9">
                  <c:v>2535.8000000000002</c:v>
                </c:pt>
                <c:pt idx="10">
                  <c:v>2518.0700000000002</c:v>
                </c:pt>
                <c:pt idx="11">
                  <c:v>2493.42</c:v>
                </c:pt>
                <c:pt idx="12">
                  <c:v>2515.5700000000002</c:v>
                </c:pt>
                <c:pt idx="13">
                  <c:v>2554.36</c:v>
                </c:pt>
                <c:pt idx="14">
                  <c:v>2570.34</c:v>
                </c:pt>
                <c:pt idx="15">
                  <c:v>2594.91</c:v>
                </c:pt>
                <c:pt idx="16">
                  <c:v>2629.84</c:v>
                </c:pt>
                <c:pt idx="17">
                  <c:v>2625.27</c:v>
                </c:pt>
                <c:pt idx="18">
                  <c:v>2585.81</c:v>
                </c:pt>
                <c:pt idx="19">
                  <c:v>2569.98</c:v>
                </c:pt>
                <c:pt idx="20">
                  <c:v>2592.42</c:v>
                </c:pt>
                <c:pt idx="21">
                  <c:v>2552.92</c:v>
                </c:pt>
                <c:pt idx="22">
                  <c:v>2551.73</c:v>
                </c:pt>
                <c:pt idx="23">
                  <c:v>2556.15</c:v>
                </c:pt>
                <c:pt idx="24">
                  <c:v>2546.04</c:v>
                </c:pt>
                <c:pt idx="25">
                  <c:v>2562.4299999999998</c:v>
                </c:pt>
                <c:pt idx="26">
                  <c:v>2575.2600000000002</c:v>
                </c:pt>
                <c:pt idx="27">
                  <c:v>2632.98</c:v>
                </c:pt>
                <c:pt idx="28">
                  <c:v>2647.2</c:v>
                </c:pt>
                <c:pt idx="29">
                  <c:v>2628.95</c:v>
                </c:pt>
                <c:pt idx="30">
                  <c:v>2612.0700000000002</c:v>
                </c:pt>
                <c:pt idx="31">
                  <c:v>2588.2600000000002</c:v>
                </c:pt>
                <c:pt idx="32">
                  <c:v>2610.84</c:v>
                </c:pt>
                <c:pt idx="33">
                  <c:v>2593.9499999999998</c:v>
                </c:pt>
                <c:pt idx="34">
                  <c:v>2590.0500000000002</c:v>
                </c:pt>
                <c:pt idx="35">
                  <c:v>2607.39</c:v>
                </c:pt>
                <c:pt idx="36">
                  <c:v>2586.44</c:v>
                </c:pt>
                <c:pt idx="37">
                  <c:v>2576.7800000000002</c:v>
                </c:pt>
                <c:pt idx="38">
                  <c:v>2527.27</c:v>
                </c:pt>
                <c:pt idx="39">
                  <c:v>2497.89</c:v>
                </c:pt>
                <c:pt idx="40">
                  <c:v>2481.71</c:v>
                </c:pt>
                <c:pt idx="41">
                  <c:v>2490.04</c:v>
                </c:pt>
                <c:pt idx="42">
                  <c:v>2517.77</c:v>
                </c:pt>
                <c:pt idx="43">
                  <c:v>2515.29</c:v>
                </c:pt>
                <c:pt idx="44">
                  <c:v>2519.85</c:v>
                </c:pt>
                <c:pt idx="45">
                  <c:v>2522.0700000000002</c:v>
                </c:pt>
                <c:pt idx="46">
                  <c:v>2547.41</c:v>
                </c:pt>
                <c:pt idx="47">
                  <c:v>2568.13</c:v>
                </c:pt>
                <c:pt idx="48">
                  <c:v>2573.1</c:v>
                </c:pt>
                <c:pt idx="49">
                  <c:v>2545.0300000000002</c:v>
                </c:pt>
                <c:pt idx="50">
                  <c:v>2565.9899999999998</c:v>
                </c:pt>
                <c:pt idx="51">
                  <c:v>2573.71</c:v>
                </c:pt>
                <c:pt idx="52">
                  <c:v>2603.23</c:v>
                </c:pt>
                <c:pt idx="53">
                  <c:v>2600.37</c:v>
                </c:pt>
                <c:pt idx="54">
                  <c:v>2649.08</c:v>
                </c:pt>
                <c:pt idx="55">
                  <c:v>2637.45</c:v>
                </c:pt>
                <c:pt idx="56">
                  <c:v>2677.36</c:v>
                </c:pt>
                <c:pt idx="57">
                  <c:v>2678.3</c:v>
                </c:pt>
                <c:pt idx="58">
                  <c:v>2662.33</c:v>
                </c:pt>
                <c:pt idx="59">
                  <c:v>2630.15</c:v>
                </c:pt>
                <c:pt idx="60">
                  <c:v>2624.08</c:v>
                </c:pt>
                <c:pt idx="61">
                  <c:v>2659.33</c:v>
                </c:pt>
                <c:pt idx="62">
                  <c:v>2678.91</c:v>
                </c:pt>
                <c:pt idx="63">
                  <c:v>2695.22</c:v>
                </c:pt>
                <c:pt idx="64">
                  <c:v>2629.03</c:v>
                </c:pt>
                <c:pt idx="65">
                  <c:v>2645.62</c:v>
                </c:pt>
                <c:pt idx="66">
                  <c:v>2661.65</c:v>
                </c:pt>
                <c:pt idx="67">
                  <c:v>2648.34</c:v>
                </c:pt>
                <c:pt idx="68">
                  <c:v>2633.05</c:v>
                </c:pt>
                <c:pt idx="69">
                  <c:v>2634.31</c:v>
                </c:pt>
                <c:pt idx="70">
                  <c:v>2681.06</c:v>
                </c:pt>
                <c:pt idx="71">
                  <c:v>2654.11</c:v>
                </c:pt>
                <c:pt idx="72">
                  <c:v>2644.09</c:v>
                </c:pt>
                <c:pt idx="73">
                  <c:v>2681.42</c:v>
                </c:pt>
                <c:pt idx="74">
                  <c:v>2670.79</c:v>
                </c:pt>
                <c:pt idx="75">
                  <c:v>2662.4</c:v>
                </c:pt>
                <c:pt idx="76">
                  <c:v>2666.33</c:v>
                </c:pt>
                <c:pt idx="77">
                  <c:v>2634.57</c:v>
                </c:pt>
                <c:pt idx="78">
                  <c:v>2641.68</c:v>
                </c:pt>
                <c:pt idx="79">
                  <c:v>2611.0500000000002</c:v>
                </c:pt>
                <c:pt idx="80">
                  <c:v>2635.47</c:v>
                </c:pt>
                <c:pt idx="81">
                  <c:v>2636.87</c:v>
                </c:pt>
                <c:pt idx="82">
                  <c:v>2698.4</c:v>
                </c:pt>
                <c:pt idx="83">
                  <c:v>2707.33</c:v>
                </c:pt>
                <c:pt idx="84">
                  <c:v>2745.65</c:v>
                </c:pt>
                <c:pt idx="85">
                  <c:v>2711.24</c:v>
                </c:pt>
                <c:pt idx="86">
                  <c:v>2709.29</c:v>
                </c:pt>
                <c:pt idx="87">
                  <c:v>2719.4</c:v>
                </c:pt>
                <c:pt idx="88">
                  <c:v>2768.23</c:v>
                </c:pt>
                <c:pt idx="89">
                  <c:v>2723.08</c:v>
                </c:pt>
                <c:pt idx="90">
                  <c:v>2751.42</c:v>
                </c:pt>
                <c:pt idx="91">
                  <c:v>2769.07</c:v>
                </c:pt>
                <c:pt idx="92">
                  <c:v>2812.91</c:v>
                </c:pt>
                <c:pt idx="93">
                  <c:v>2834.36</c:v>
                </c:pt>
                <c:pt idx="94">
                  <c:v>2837.25</c:v>
                </c:pt>
                <c:pt idx="95">
                  <c:v>2823.87</c:v>
                </c:pt>
                <c:pt idx="96">
                  <c:v>2790.04</c:v>
                </c:pt>
                <c:pt idx="97">
                  <c:v>2796.88</c:v>
                </c:pt>
                <c:pt idx="98">
                  <c:v>2792.92</c:v>
                </c:pt>
                <c:pt idx="99">
                  <c:v>2850.74</c:v>
                </c:pt>
                <c:pt idx="100">
                  <c:v>2834.75</c:v>
                </c:pt>
                <c:pt idx="101">
                  <c:v>2845.25</c:v>
                </c:pt>
                <c:pt idx="102">
                  <c:v>2802.03</c:v>
                </c:pt>
                <c:pt idx="103">
                  <c:v>2792.35</c:v>
                </c:pt>
                <c:pt idx="104">
                  <c:v>2801.04</c:v>
                </c:pt>
                <c:pt idx="105">
                  <c:v>2825.52</c:v>
                </c:pt>
                <c:pt idx="106">
                  <c:v>2867.85</c:v>
                </c:pt>
                <c:pt idx="107">
                  <c:v>2868.01</c:v>
                </c:pt>
                <c:pt idx="108">
                  <c:v>2837.4</c:v>
                </c:pt>
                <c:pt idx="109">
                  <c:v>2851.81</c:v>
                </c:pt>
                <c:pt idx="110">
                  <c:v>2867.98</c:v>
                </c:pt>
                <c:pt idx="111">
                  <c:v>2883.52</c:v>
                </c:pt>
                <c:pt idx="112">
                  <c:v>2864.77</c:v>
                </c:pt>
                <c:pt idx="113">
                  <c:v>2898.67</c:v>
                </c:pt>
                <c:pt idx="114">
                  <c:v>2902.67</c:v>
                </c:pt>
                <c:pt idx="115">
                  <c:v>2924.43</c:v>
                </c:pt>
                <c:pt idx="116">
                  <c:v>2963.15</c:v>
                </c:pt>
                <c:pt idx="117">
                  <c:v>2982.69</c:v>
                </c:pt>
                <c:pt idx="118">
                  <c:v>2992.72</c:v>
                </c:pt>
                <c:pt idx="119">
                  <c:v>3058.65</c:v>
                </c:pt>
                <c:pt idx="120">
                  <c:v>3067.63</c:v>
                </c:pt>
                <c:pt idx="121">
                  <c:v>3060.09</c:v>
                </c:pt>
                <c:pt idx="122">
                  <c:v>3065.04</c:v>
                </c:pt>
                <c:pt idx="123">
                  <c:v>3112.02</c:v>
                </c:pt>
                <c:pt idx="124">
                  <c:v>3117.27</c:v>
                </c:pt>
                <c:pt idx="125">
                  <c:v>3135.02</c:v>
                </c:pt>
                <c:pt idx="126">
                  <c:v>3174.08</c:v>
                </c:pt>
                <c:pt idx="127">
                  <c:v>3159.38</c:v>
                </c:pt>
                <c:pt idx="128">
                  <c:v>3106.42</c:v>
                </c:pt>
                <c:pt idx="129">
                  <c:v>3117.27</c:v>
                </c:pt>
                <c:pt idx="130">
                  <c:v>3125.99</c:v>
                </c:pt>
                <c:pt idx="131">
                  <c:v>3108.55</c:v>
                </c:pt>
                <c:pt idx="132">
                  <c:v>3137.18</c:v>
                </c:pt>
                <c:pt idx="133">
                  <c:v>3157.81</c:v>
                </c:pt>
                <c:pt idx="134">
                  <c:v>3127.97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26-4AE9-BFA0-4937E3F578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1875616"/>
        <c:axId val="834865952"/>
      </c:lineChart>
      <c:lineChart>
        <c:grouping val="standard"/>
        <c:varyColors val="0"/>
        <c:ser>
          <c:idx val="1"/>
          <c:order val="1"/>
          <c:tx>
            <c:strRef>
              <c:f>Rules!$R$3</c:f>
              <c:strCache>
                <c:ptCount val="1"/>
                <c:pt idx="0">
                  <c:v>Breakout40: capped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Rules!$R$49:$R$183</c:f>
              <c:numCache>
                <c:formatCode>#,##0.00;\(#,##0.00\);\-</c:formatCode>
                <c:ptCount val="135"/>
                <c:pt idx="0">
                  <c:v>2.0793089092424513</c:v>
                </c:pt>
                <c:pt idx="1">
                  <c:v>4.0667193562294477</c:v>
                </c:pt>
                <c:pt idx="2">
                  <c:v>7.4378646357236446</c:v>
                </c:pt>
                <c:pt idx="3">
                  <c:v>9.889675240695615</c:v>
                </c:pt>
                <c:pt idx="4">
                  <c:v>7.0045751633986901</c:v>
                </c:pt>
                <c:pt idx="5">
                  <c:v>3.5578835279429759</c:v>
                </c:pt>
                <c:pt idx="6">
                  <c:v>1.4739223030035287</c:v>
                </c:pt>
                <c:pt idx="7">
                  <c:v>4.3846001321876864</c:v>
                </c:pt>
                <c:pt idx="8">
                  <c:v>3.6111404861568821</c:v>
                </c:pt>
                <c:pt idx="9">
                  <c:v>14.93659081390477</c:v>
                </c:pt>
                <c:pt idx="10">
                  <c:v>11.108432221136315</c:v>
                </c:pt>
                <c:pt idx="11">
                  <c:v>5.9414002512912285</c:v>
                </c:pt>
                <c:pt idx="12">
                  <c:v>9.8564847131089852</c:v>
                </c:pt>
                <c:pt idx="13">
                  <c:v>15.053979730564773</c:v>
                </c:pt>
                <c:pt idx="14">
                  <c:v>15.820866141732209</c:v>
                </c:pt>
                <c:pt idx="15">
                  <c:v>16.86724316845369</c:v>
                </c:pt>
                <c:pt idx="16">
                  <c:v>18.081740412979322</c:v>
                </c:pt>
                <c:pt idx="17">
                  <c:v>17.033982300884869</c:v>
                </c:pt>
                <c:pt idx="18">
                  <c:v>11.97188790560465</c:v>
                </c:pt>
                <c:pt idx="19">
                  <c:v>9.7887610619468397</c:v>
                </c:pt>
                <c:pt idx="20">
                  <c:v>12.127256637168118</c:v>
                </c:pt>
                <c:pt idx="21">
                  <c:v>7.2648672566371753</c:v>
                </c:pt>
                <c:pt idx="22">
                  <c:v>6.9627433628319144</c:v>
                </c:pt>
                <c:pt idx="23">
                  <c:v>7.3366371681416807</c:v>
                </c:pt>
                <c:pt idx="24">
                  <c:v>6.0925958702065577</c:v>
                </c:pt>
                <c:pt idx="25">
                  <c:v>7.8529793510325065</c:v>
                </c:pt>
                <c:pt idx="26">
                  <c:v>9.2062831858408298</c:v>
                </c:pt>
                <c:pt idx="27">
                  <c:v>15.378892863084509</c:v>
                </c:pt>
                <c:pt idx="28">
                  <c:v>15.468856514568591</c:v>
                </c:pt>
                <c:pt idx="29">
                  <c:v>12.865200659703291</c:v>
                </c:pt>
                <c:pt idx="30">
                  <c:v>11.033145973853113</c:v>
                </c:pt>
                <c:pt idx="31">
                  <c:v>7.7564243484055275</c:v>
                </c:pt>
                <c:pt idx="32">
                  <c:v>9.8772337413608131</c:v>
                </c:pt>
                <c:pt idx="33">
                  <c:v>7.3678949121493815</c:v>
                </c:pt>
                <c:pt idx="34">
                  <c:v>6.4521941876927276</c:v>
                </c:pt>
                <c:pt idx="35">
                  <c:v>7.8995545007911865</c:v>
                </c:pt>
                <c:pt idx="36">
                  <c:v>4.9465442584729198</c:v>
                </c:pt>
                <c:pt idx="37">
                  <c:v>3.4057434016971766</c:v>
                </c:pt>
                <c:pt idx="38">
                  <c:v>-3.1514040303930111</c:v>
                </c:pt>
                <c:pt idx="39">
                  <c:v>-7.9319460241960096</c:v>
                </c:pt>
                <c:pt idx="40">
                  <c:v>-10.894023125780329</c:v>
                </c:pt>
                <c:pt idx="41">
                  <c:v>-9.7218337766679124</c:v>
                </c:pt>
                <c:pt idx="42">
                  <c:v>-5.6340860973888951</c:v>
                </c:pt>
                <c:pt idx="43">
                  <c:v>-6.072341349546738</c:v>
                </c:pt>
                <c:pt idx="44">
                  <c:v>-5.5059877313935255</c:v>
                </c:pt>
                <c:pt idx="45">
                  <c:v>-5.360181314803782</c:v>
                </c:pt>
                <c:pt idx="46">
                  <c:v>-1.9570972238356388</c:v>
                </c:pt>
                <c:pt idx="47">
                  <c:v>1.0469508653733159</c:v>
                </c:pt>
                <c:pt idx="48">
                  <c:v>1.5153060607889648</c:v>
                </c:pt>
                <c:pt idx="49">
                  <c:v>-3.2730255604569405</c:v>
                </c:pt>
                <c:pt idx="50">
                  <c:v>7.0596410659095013E-2</c:v>
                </c:pt>
                <c:pt idx="51">
                  <c:v>1.0371623663059872</c:v>
                </c:pt>
                <c:pt idx="52">
                  <c:v>5.6609946220314269</c:v>
                </c:pt>
                <c:pt idx="53">
                  <c:v>4.9824823252159405</c:v>
                </c:pt>
                <c:pt idx="54">
                  <c:v>12.746089502300224</c:v>
                </c:pt>
                <c:pt idx="55">
                  <c:v>10.622542869092308</c:v>
                </c:pt>
                <c:pt idx="56">
                  <c:v>14.628729874776363</c:v>
                </c:pt>
                <c:pt idx="57">
                  <c:v>14.503840480187113</c:v>
                </c:pt>
                <c:pt idx="58">
                  <c:v>11.956793326211862</c:v>
                </c:pt>
                <c:pt idx="59">
                  <c:v>7.1591993488987065</c:v>
                </c:pt>
                <c:pt idx="60">
                  <c:v>6.18192685284086</c:v>
                </c:pt>
                <c:pt idx="61">
                  <c:v>10.823632941655154</c:v>
                </c:pt>
                <c:pt idx="62">
                  <c:v>13.118823529411745</c:v>
                </c:pt>
                <c:pt idx="63">
                  <c:v>13.799648728396798</c:v>
                </c:pt>
                <c:pt idx="64">
                  <c:v>4.8473139431408532</c:v>
                </c:pt>
                <c:pt idx="65">
                  <c:v>6.7502084211513482</c:v>
                </c:pt>
                <c:pt idx="66">
                  <c:v>8.5691724041029609</c:v>
                </c:pt>
                <c:pt idx="67">
                  <c:v>6.7733220926420836</c:v>
                </c:pt>
                <c:pt idx="68">
                  <c:v>4.8145613788582162</c:v>
                </c:pt>
                <c:pt idx="69">
                  <c:v>4.9622265936022236</c:v>
                </c:pt>
                <c:pt idx="70">
                  <c:v>10.866900847735543</c:v>
                </c:pt>
                <c:pt idx="71">
                  <c:v>7.1167486300408118</c:v>
                </c:pt>
                <c:pt idx="72">
                  <c:v>5.6937005292492575</c:v>
                </c:pt>
                <c:pt idx="73">
                  <c:v>10.302435483115602</c:v>
                </c:pt>
                <c:pt idx="74">
                  <c:v>8.643693503817234</c:v>
                </c:pt>
                <c:pt idx="75">
                  <c:v>7.3630649618285773</c:v>
                </c:pt>
                <c:pt idx="76">
                  <c:v>7.6165284998360985</c:v>
                </c:pt>
                <c:pt idx="77">
                  <c:v>3.262011147018971</c:v>
                </c:pt>
                <c:pt idx="78">
                  <c:v>3.8193293054189801</c:v>
                </c:pt>
                <c:pt idx="79">
                  <c:v>-0.56853074797428615</c:v>
                </c:pt>
                <c:pt idx="80">
                  <c:v>2.2163027585535198</c:v>
                </c:pt>
                <c:pt idx="81">
                  <c:v>2.1739565386539623</c:v>
                </c:pt>
                <c:pt idx="82">
                  <c:v>10.85445360712146</c:v>
                </c:pt>
                <c:pt idx="83">
                  <c:v>11.218108598250527</c:v>
                </c:pt>
                <c:pt idx="84">
                  <c:v>13.498841577958798</c:v>
                </c:pt>
                <c:pt idx="85">
                  <c:v>9.581158408932362</c:v>
                </c:pt>
                <c:pt idx="86">
                  <c:v>8.7441730635032133</c:v>
                </c:pt>
                <c:pt idx="87">
                  <c:v>9.6273900907188494</c:v>
                </c:pt>
                <c:pt idx="88">
                  <c:v>14.167096774193647</c:v>
                </c:pt>
                <c:pt idx="89">
                  <c:v>8.7681022547468981</c:v>
                </c:pt>
                <c:pt idx="90">
                  <c:v>12.52817191034352</c:v>
                </c:pt>
                <c:pt idx="91">
                  <c:v>16.564481327800866</c:v>
                </c:pt>
                <c:pt idx="92">
                  <c:v>18.232671497129999</c:v>
                </c:pt>
                <c:pt idx="93">
                  <c:v>19.309386055259548</c:v>
                </c:pt>
                <c:pt idx="94">
                  <c:v>18.838107869142416</c:v>
                </c:pt>
                <c:pt idx="95">
                  <c:v>16.604977895667606</c:v>
                </c:pt>
                <c:pt idx="96">
                  <c:v>12.06865605658715</c:v>
                </c:pt>
                <c:pt idx="97">
                  <c:v>12.548381962864736</c:v>
                </c:pt>
                <c:pt idx="98">
                  <c:v>11.654071618037168</c:v>
                </c:pt>
                <c:pt idx="99">
                  <c:v>17.108339939087973</c:v>
                </c:pt>
                <c:pt idx="100">
                  <c:v>14.625178355375724</c:v>
                </c:pt>
                <c:pt idx="101">
                  <c:v>15.308794693145277</c:v>
                </c:pt>
                <c:pt idx="102">
                  <c:v>9.9003754850014403</c:v>
                </c:pt>
                <c:pt idx="103">
                  <c:v>8.4859193124451409</c:v>
                </c:pt>
                <c:pt idx="104">
                  <c:v>8.9987191789393943</c:v>
                </c:pt>
                <c:pt idx="105">
                  <c:v>11.333025991906103</c:v>
                </c:pt>
                <c:pt idx="106">
                  <c:v>14.63128115264789</c:v>
                </c:pt>
                <c:pt idx="107">
                  <c:v>14.04118929016186</c:v>
                </c:pt>
                <c:pt idx="108">
                  <c:v>10.149046544209183</c:v>
                </c:pt>
                <c:pt idx="109">
                  <c:v>11.126747353673725</c:v>
                </c:pt>
                <c:pt idx="110">
                  <c:v>12.379533779576622</c:v>
                </c:pt>
                <c:pt idx="111">
                  <c:v>12.682416412816064</c:v>
                </c:pt>
                <c:pt idx="112">
                  <c:v>10.188651961683799</c:v>
                </c:pt>
                <c:pt idx="113">
                  <c:v>12.42343022042972</c:v>
                </c:pt>
                <c:pt idx="114">
                  <c:v>12.080484877580441</c:v>
                </c:pt>
                <c:pt idx="115">
                  <c:v>12.600580764567004</c:v>
                </c:pt>
                <c:pt idx="116">
                  <c:v>13.703936381709799</c:v>
                </c:pt>
                <c:pt idx="117">
                  <c:v>13.799892368959261</c:v>
                </c:pt>
                <c:pt idx="118">
                  <c:v>13.529237299237582</c:v>
                </c:pt>
                <c:pt idx="119">
                  <c:v>15.824055957275904</c:v>
                </c:pt>
                <c:pt idx="120">
                  <c:v>15.427040579441027</c:v>
                </c:pt>
                <c:pt idx="121">
                  <c:v>16.623725049427243</c:v>
                </c:pt>
                <c:pt idx="122">
                  <c:v>16.708104357479971</c:v>
                </c:pt>
                <c:pt idx="123">
                  <c:v>17.510706925235343</c:v>
                </c:pt>
                <c:pt idx="124">
                  <c:v>17.008071474091935</c:v>
                </c:pt>
                <c:pt idx="125">
                  <c:v>16.7695652173913</c:v>
                </c:pt>
                <c:pt idx="126">
                  <c:v>17.39164687252574</c:v>
                </c:pt>
                <c:pt idx="127">
                  <c:v>15.938022172949022</c:v>
                </c:pt>
                <c:pt idx="128">
                  <c:v>12.12513303769404</c:v>
                </c:pt>
                <c:pt idx="129">
                  <c:v>13.004074196753921</c:v>
                </c:pt>
                <c:pt idx="130">
                  <c:v>13.526241327374647</c:v>
                </c:pt>
                <c:pt idx="131">
                  <c:v>12.374510467659617</c:v>
                </c:pt>
                <c:pt idx="132">
                  <c:v>13.870841579002199</c:v>
                </c:pt>
                <c:pt idx="133">
                  <c:v>14.785394750546816</c:v>
                </c:pt>
                <c:pt idx="134">
                  <c:v>12.079884907822088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26-4AE9-BFA0-4937E3F578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8196415"/>
        <c:axId val="1638194015"/>
      </c:lineChart>
      <c:dateAx>
        <c:axId val="831875616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865952"/>
        <c:crosses val="autoZero"/>
        <c:auto val="1"/>
        <c:lblOffset val="100"/>
        <c:baseTimeUnit val="days"/>
      </c:dateAx>
      <c:valAx>
        <c:axId val="83486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;\(#,##0.0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875616"/>
        <c:crosses val="autoZero"/>
        <c:crossBetween val="between"/>
      </c:valAx>
      <c:valAx>
        <c:axId val="1638194015"/>
        <c:scaling>
          <c:orientation val="minMax"/>
        </c:scaling>
        <c:delete val="0"/>
        <c:axPos val="r"/>
        <c:numFmt formatCode="#,##0.00;\(#,##0.00\);\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196415"/>
        <c:crosses val="max"/>
        <c:crossBetween val="between"/>
      </c:valAx>
      <c:catAx>
        <c:axId val="1638196415"/>
        <c:scaling>
          <c:orientation val="minMax"/>
        </c:scaling>
        <c:delete val="1"/>
        <c:axPos val="b"/>
        <c:majorTickMark val="out"/>
        <c:minorTickMark val="none"/>
        <c:tickLblPos val="nextTo"/>
        <c:crossAx val="1638194015"/>
        <c:auto val="1"/>
        <c:lblAlgn val="ctr"/>
        <c:lblOffset val="100"/>
        <c:tickLblSkip val="1"/>
        <c:tickMarkSkip val="1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466731</xdr:colOff>
      <xdr:row>169</xdr:row>
      <xdr:rowOff>76206</xdr:rowOff>
    </xdr:from>
    <xdr:to>
      <xdr:col>15</xdr:col>
      <xdr:colOff>390531</xdr:colOff>
      <xdr:row>183</xdr:row>
      <xdr:rowOff>152406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C83B45-66B0-D483-6B3A-B652F3A314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933449</xdr:colOff>
      <xdr:row>189</xdr:row>
      <xdr:rowOff>190499</xdr:rowOff>
    </xdr:from>
    <xdr:to>
      <xdr:col>11</xdr:col>
      <xdr:colOff>828674</xdr:colOff>
      <xdr:row>209</xdr:row>
      <xdr:rowOff>104774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7ACF2E-4E4B-4FB0-A153-319EBCCA0B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5"/>
  <sheetViews>
    <sheetView topLeftCell="A11" zoomScaleNormal="100" workbookViewId="0">
      <selection activeCell="A28" sqref="A28"/>
    </sheetView>
  </sheetViews>
  <sheetFormatPr defaultColWidth="8.7109375" defaultRowHeight="15" x14ac:dyDescent="0.25"/>
  <cols>
    <col min="1" max="1" width="90" customWidth="1"/>
  </cols>
  <sheetData>
    <row r="1" spans="1:1" ht="19.5" customHeight="1" x14ac:dyDescent="0.25">
      <c r="A1" s="1" t="s">
        <v>0</v>
      </c>
    </row>
    <row r="2" spans="1:1" x14ac:dyDescent="0.25">
      <c r="A2" s="2"/>
    </row>
    <row r="3" spans="1:1" x14ac:dyDescent="0.25">
      <c r="A3" s="2" t="s">
        <v>1</v>
      </c>
    </row>
    <row r="4" spans="1:1" x14ac:dyDescent="0.25">
      <c r="A4" s="3" t="s">
        <v>2</v>
      </c>
    </row>
    <row r="5" spans="1:1" x14ac:dyDescent="0.25">
      <c r="A5" s="3" t="s">
        <v>3</v>
      </c>
    </row>
    <row r="6" spans="1:1" x14ac:dyDescent="0.25">
      <c r="A6" s="3" t="s">
        <v>4</v>
      </c>
    </row>
    <row r="7" spans="1:1" x14ac:dyDescent="0.25">
      <c r="A7" s="3"/>
    </row>
    <row r="8" spans="1:1" x14ac:dyDescent="0.25">
      <c r="A8" s="2" t="s">
        <v>5</v>
      </c>
    </row>
    <row r="9" spans="1:1" x14ac:dyDescent="0.25">
      <c r="A9" s="3" t="s">
        <v>6</v>
      </c>
    </row>
    <row r="10" spans="1:1" x14ac:dyDescent="0.25">
      <c r="A10" s="3" t="s">
        <v>7</v>
      </c>
    </row>
    <row r="11" spans="1:1" x14ac:dyDescent="0.25">
      <c r="A11" s="3" t="s">
        <v>8</v>
      </c>
    </row>
    <row r="12" spans="1:1" x14ac:dyDescent="0.25">
      <c r="A12" s="3" t="s">
        <v>9</v>
      </c>
    </row>
    <row r="13" spans="1:1" x14ac:dyDescent="0.25">
      <c r="A13" s="3" t="s">
        <v>10</v>
      </c>
    </row>
    <row r="14" spans="1:1" x14ac:dyDescent="0.25">
      <c r="A14" s="3" t="s">
        <v>11</v>
      </c>
    </row>
    <row r="15" spans="1:1" x14ac:dyDescent="0.25">
      <c r="A15" s="3" t="s">
        <v>12</v>
      </c>
    </row>
    <row r="16" spans="1:1" x14ac:dyDescent="0.25">
      <c r="A16" s="3" t="s">
        <v>13</v>
      </c>
    </row>
    <row r="17" spans="1:1" x14ac:dyDescent="0.25">
      <c r="A17" s="3"/>
    </row>
    <row r="18" spans="1:1" x14ac:dyDescent="0.25">
      <c r="A18" s="2" t="s">
        <v>14</v>
      </c>
    </row>
    <row r="19" spans="1:1" x14ac:dyDescent="0.25">
      <c r="A19" s="3" t="s">
        <v>15</v>
      </c>
    </row>
    <row r="20" spans="1:1" x14ac:dyDescent="0.25">
      <c r="A20" s="3"/>
    </row>
    <row r="21" spans="1:1" x14ac:dyDescent="0.25">
      <c r="A21" s="3" t="s">
        <v>16</v>
      </c>
    </row>
    <row r="22" spans="1:1" x14ac:dyDescent="0.25">
      <c r="A22" s="3" t="s">
        <v>17</v>
      </c>
    </row>
    <row r="23" spans="1:1" x14ac:dyDescent="0.25">
      <c r="A23" s="3"/>
    </row>
    <row r="24" spans="1:1" x14ac:dyDescent="0.25">
      <c r="A24" s="2" t="s">
        <v>18</v>
      </c>
    </row>
    <row r="25" spans="1:1" x14ac:dyDescent="0.25">
      <c r="A25" s="3" t="s">
        <v>19</v>
      </c>
    </row>
    <row r="26" spans="1:1" x14ac:dyDescent="0.25">
      <c r="A26" s="3" t="s">
        <v>20</v>
      </c>
    </row>
    <row r="27" spans="1:1" x14ac:dyDescent="0.25">
      <c r="A27" s="3" t="s">
        <v>21</v>
      </c>
    </row>
    <row r="28" spans="1:1" x14ac:dyDescent="0.25">
      <c r="A28" s="3" t="s">
        <v>22</v>
      </c>
    </row>
    <row r="29" spans="1:1" x14ac:dyDescent="0.25">
      <c r="A29" s="3" t="s">
        <v>23</v>
      </c>
    </row>
    <row r="30" spans="1:1" x14ac:dyDescent="0.25">
      <c r="A30" s="3" t="s">
        <v>24</v>
      </c>
    </row>
    <row r="31" spans="1:1" x14ac:dyDescent="0.25">
      <c r="A31" s="3"/>
    </row>
    <row r="32" spans="1:1" x14ac:dyDescent="0.25">
      <c r="A32" s="2" t="s">
        <v>25</v>
      </c>
    </row>
    <row r="33" spans="1:1" x14ac:dyDescent="0.25">
      <c r="A33" s="3" t="s">
        <v>26</v>
      </c>
    </row>
    <row r="34" spans="1:1" x14ac:dyDescent="0.25">
      <c r="A34" s="3" t="s">
        <v>27</v>
      </c>
    </row>
    <row r="35" spans="1:1" x14ac:dyDescent="0.25">
      <c r="A35" s="3" t="s">
        <v>28</v>
      </c>
    </row>
    <row r="36" spans="1:1" x14ac:dyDescent="0.25">
      <c r="A36" s="3" t="s">
        <v>29</v>
      </c>
    </row>
    <row r="37" spans="1:1" x14ac:dyDescent="0.25">
      <c r="A37" s="3" t="s">
        <v>30</v>
      </c>
    </row>
    <row r="38" spans="1:1" x14ac:dyDescent="0.25">
      <c r="A38" s="3" t="s">
        <v>31</v>
      </c>
    </row>
    <row r="39" spans="1:1" x14ac:dyDescent="0.25">
      <c r="A39" s="3" t="s">
        <v>32</v>
      </c>
    </row>
    <row r="40" spans="1:1" x14ac:dyDescent="0.25">
      <c r="A40" s="3" t="s">
        <v>33</v>
      </c>
    </row>
    <row r="41" spans="1:1" x14ac:dyDescent="0.25">
      <c r="A41" s="3" t="s">
        <v>34</v>
      </c>
    </row>
    <row r="42" spans="1:1" x14ac:dyDescent="0.25">
      <c r="A42" s="3" t="s">
        <v>35</v>
      </c>
    </row>
    <row r="43" spans="1:1" x14ac:dyDescent="0.25">
      <c r="A43" s="3"/>
    </row>
    <row r="44" spans="1:1" x14ac:dyDescent="0.25">
      <c r="A44" s="2" t="s">
        <v>36</v>
      </c>
    </row>
    <row r="45" spans="1:1" x14ac:dyDescent="0.25">
      <c r="A45" s="3" t="s">
        <v>37</v>
      </c>
    </row>
    <row r="46" spans="1:1" x14ac:dyDescent="0.25">
      <c r="A46" s="3" t="s">
        <v>38</v>
      </c>
    </row>
    <row r="47" spans="1:1" x14ac:dyDescent="0.25">
      <c r="A47" s="3" t="s">
        <v>39</v>
      </c>
    </row>
    <row r="48" spans="1:1" x14ac:dyDescent="0.25">
      <c r="A48" s="3"/>
    </row>
    <row r="49" spans="1:1" x14ac:dyDescent="0.25">
      <c r="A49" s="2" t="s">
        <v>40</v>
      </c>
    </row>
    <row r="50" spans="1:1" x14ac:dyDescent="0.25">
      <c r="A50" s="3" t="s">
        <v>41</v>
      </c>
    </row>
    <row r="51" spans="1:1" x14ac:dyDescent="0.25">
      <c r="A51" s="3" t="s">
        <v>42</v>
      </c>
    </row>
    <row r="52" spans="1:1" x14ac:dyDescent="0.25">
      <c r="A52" s="3" t="s">
        <v>43</v>
      </c>
    </row>
    <row r="53" spans="1:1" x14ac:dyDescent="0.25">
      <c r="A53" s="3" t="s">
        <v>44</v>
      </c>
    </row>
    <row r="54" spans="1:1" x14ac:dyDescent="0.25">
      <c r="A54" s="3" t="s">
        <v>45</v>
      </c>
    </row>
    <row r="55" spans="1:1" x14ac:dyDescent="0.25">
      <c r="A55" s="3" t="s">
        <v>46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0"/>
  <sheetViews>
    <sheetView topLeftCell="A34" zoomScaleNormal="100" workbookViewId="0">
      <selection activeCell="B37" sqref="B37"/>
    </sheetView>
  </sheetViews>
  <sheetFormatPr defaultColWidth="8.7109375" defaultRowHeight="15" x14ac:dyDescent="0.25"/>
  <cols>
    <col min="1" max="1" width="32" customWidth="1"/>
    <col min="2" max="3" width="14" customWidth="1"/>
    <col min="4" max="4" width="50" customWidth="1"/>
  </cols>
  <sheetData>
    <row r="1" spans="1:4" ht="19.5" customHeight="1" x14ac:dyDescent="0.25">
      <c r="A1" s="1" t="s">
        <v>47</v>
      </c>
      <c r="B1" s="4"/>
      <c r="C1" s="4"/>
      <c r="D1" s="4"/>
    </row>
    <row r="3" spans="1:4" x14ac:dyDescent="0.25">
      <c r="A3" s="2" t="s">
        <v>48</v>
      </c>
    </row>
    <row r="4" spans="1:4" x14ac:dyDescent="0.25">
      <c r="A4" s="5" t="s">
        <v>49</v>
      </c>
      <c r="B4" s="6">
        <v>1000000</v>
      </c>
      <c r="D4" s="7" t="s">
        <v>50</v>
      </c>
    </row>
    <row r="5" spans="1:4" x14ac:dyDescent="0.25">
      <c r="A5" s="5" t="s">
        <v>51</v>
      </c>
      <c r="B5" s="8">
        <v>0.2</v>
      </c>
      <c r="D5" s="7" t="s">
        <v>52</v>
      </c>
    </row>
    <row r="6" spans="1:4" x14ac:dyDescent="0.25">
      <c r="A6" s="5" t="s">
        <v>53</v>
      </c>
      <c r="B6" s="9">
        <v>256</v>
      </c>
      <c r="D6" s="7" t="s">
        <v>54</v>
      </c>
    </row>
    <row r="7" spans="1:4" x14ac:dyDescent="0.25">
      <c r="A7" s="5" t="s">
        <v>55</v>
      </c>
      <c r="B7" s="9">
        <v>10</v>
      </c>
      <c r="D7" s="7" t="s">
        <v>56</v>
      </c>
    </row>
    <row r="8" spans="1:4" x14ac:dyDescent="0.25">
      <c r="A8" s="5" t="s">
        <v>57</v>
      </c>
      <c r="B8" s="9">
        <v>20</v>
      </c>
      <c r="D8" s="7" t="s">
        <v>58</v>
      </c>
    </row>
    <row r="10" spans="1:4" x14ac:dyDescent="0.25">
      <c r="A10" s="2" t="s">
        <v>59</v>
      </c>
    </row>
    <row r="11" spans="1:4" x14ac:dyDescent="0.25">
      <c r="A11" s="5" t="s">
        <v>60</v>
      </c>
      <c r="B11" s="10">
        <v>100</v>
      </c>
    </row>
    <row r="12" spans="1:4" x14ac:dyDescent="0.25">
      <c r="A12" s="5" t="s">
        <v>61</v>
      </c>
      <c r="B12" s="11">
        <v>1</v>
      </c>
    </row>
    <row r="13" spans="1:4" x14ac:dyDescent="0.25">
      <c r="A13" s="5" t="s">
        <v>62</v>
      </c>
      <c r="B13" s="10">
        <v>1</v>
      </c>
    </row>
    <row r="15" spans="1:4" x14ac:dyDescent="0.25">
      <c r="A15" s="2" t="s">
        <v>63</v>
      </c>
    </row>
    <row r="16" spans="1:4" x14ac:dyDescent="0.25">
      <c r="A16" s="5" t="s">
        <v>64</v>
      </c>
      <c r="B16" s="9">
        <v>35</v>
      </c>
    </row>
    <row r="17" spans="1:2" x14ac:dyDescent="0.25">
      <c r="A17" s="5" t="s">
        <v>65</v>
      </c>
      <c r="B17" s="8">
        <v>0.7</v>
      </c>
    </row>
    <row r="18" spans="1:2" x14ac:dyDescent="0.25">
      <c r="A18" s="5" t="s">
        <v>66</v>
      </c>
      <c r="B18" s="9">
        <v>180</v>
      </c>
    </row>
    <row r="20" spans="1:2" ht="25.5" x14ac:dyDescent="0.25">
      <c r="A20" s="2" t="s">
        <v>67</v>
      </c>
    </row>
    <row r="21" spans="1:2" x14ac:dyDescent="0.25">
      <c r="A21" s="5" t="s">
        <v>68</v>
      </c>
      <c r="B21" s="9">
        <v>64</v>
      </c>
    </row>
    <row r="22" spans="1:2" x14ac:dyDescent="0.25">
      <c r="A22" s="5" t="s">
        <v>69</v>
      </c>
      <c r="B22" s="9">
        <v>256</v>
      </c>
    </row>
    <row r="23" spans="1:2" x14ac:dyDescent="0.25">
      <c r="A23" s="5" t="s">
        <v>70</v>
      </c>
      <c r="B23" s="9">
        <v>16</v>
      </c>
    </row>
    <row r="24" spans="1:2" x14ac:dyDescent="0.25">
      <c r="A24" s="5" t="s">
        <v>71</v>
      </c>
      <c r="B24" s="9">
        <v>64</v>
      </c>
    </row>
    <row r="25" spans="1:2" x14ac:dyDescent="0.25">
      <c r="A25" s="5" t="s">
        <v>72</v>
      </c>
      <c r="B25" s="9">
        <v>40</v>
      </c>
    </row>
    <row r="26" spans="1:2" x14ac:dyDescent="0.25">
      <c r="A26" s="5" t="s">
        <v>73</v>
      </c>
      <c r="B26" s="9">
        <v>90</v>
      </c>
    </row>
    <row r="28" spans="1:2" ht="25.5" x14ac:dyDescent="0.25">
      <c r="A28" s="2" t="s">
        <v>74</v>
      </c>
    </row>
    <row r="29" spans="1:2" x14ac:dyDescent="0.25">
      <c r="A29" s="5" t="s">
        <v>75</v>
      </c>
      <c r="B29" s="10">
        <v>1.87</v>
      </c>
    </row>
    <row r="30" spans="1:2" x14ac:dyDescent="0.25">
      <c r="A30" s="5" t="s">
        <v>76</v>
      </c>
      <c r="B30" s="10">
        <v>3.75</v>
      </c>
    </row>
    <row r="31" spans="1:2" x14ac:dyDescent="0.25">
      <c r="A31" s="5" t="s">
        <v>77</v>
      </c>
      <c r="B31" s="10">
        <v>30</v>
      </c>
    </row>
    <row r="32" spans="1:2" x14ac:dyDescent="0.25">
      <c r="A32" s="5" t="s">
        <v>78</v>
      </c>
      <c r="B32" s="10">
        <v>0.7</v>
      </c>
    </row>
    <row r="34" spans="1:2" x14ac:dyDescent="0.25">
      <c r="A34" s="2" t="s">
        <v>79</v>
      </c>
    </row>
    <row r="35" spans="1:2" x14ac:dyDescent="0.25">
      <c r="A35" s="5" t="s">
        <v>80</v>
      </c>
      <c r="B35" s="8">
        <v>0.25</v>
      </c>
    </row>
    <row r="36" spans="1:2" x14ac:dyDescent="0.25">
      <c r="A36" s="5" t="s">
        <v>81</v>
      </c>
      <c r="B36" s="8">
        <v>0.25</v>
      </c>
    </row>
    <row r="37" spans="1:2" x14ac:dyDescent="0.25">
      <c r="A37" s="5" t="s">
        <v>82</v>
      </c>
      <c r="B37" s="8">
        <v>0.35</v>
      </c>
    </row>
    <row r="38" spans="1:2" x14ac:dyDescent="0.25">
      <c r="A38" s="5" t="s">
        <v>83</v>
      </c>
      <c r="B38" s="8">
        <v>0.15</v>
      </c>
    </row>
    <row r="39" spans="1:2" x14ac:dyDescent="0.25">
      <c r="A39" s="5" t="s">
        <v>84</v>
      </c>
      <c r="B39" s="12">
        <f>SUM(B35:B38)</f>
        <v>1</v>
      </c>
    </row>
    <row r="40" spans="1:2" ht="25.5" x14ac:dyDescent="0.25">
      <c r="A40" s="5" t="s">
        <v>85</v>
      </c>
      <c r="B40" s="10">
        <v>1.31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3"/>
  <sheetViews>
    <sheetView zoomScaleNormal="100" workbookViewId="0">
      <pane xSplit="3" ySplit="3" topLeftCell="D91" activePane="bottomRight" state="frozen"/>
      <selection pane="topRight" activeCell="D1" sqref="D1"/>
      <selection pane="bottomLeft" activeCell="A4" sqref="A4"/>
      <selection pane="bottomRight" activeCell="H103" sqref="H103"/>
    </sheetView>
  </sheetViews>
  <sheetFormatPr defaultColWidth="8.7109375" defaultRowHeight="15" x14ac:dyDescent="0.25"/>
  <cols>
    <col min="1" max="3" width="12" customWidth="1"/>
    <col min="4" max="7" width="14" customWidth="1"/>
  </cols>
  <sheetData>
    <row r="1" spans="1:7" ht="19.5" customHeight="1" x14ac:dyDescent="0.25">
      <c r="A1" s="1" t="s">
        <v>86</v>
      </c>
      <c r="B1" s="4"/>
      <c r="C1" s="4"/>
      <c r="D1" s="4"/>
      <c r="E1" s="4"/>
      <c r="F1" s="4"/>
      <c r="G1" s="4"/>
    </row>
    <row r="3" spans="1:7" ht="25.5" x14ac:dyDescent="0.25">
      <c r="A3" s="13" t="s">
        <v>87</v>
      </c>
      <c r="B3" s="13" t="s">
        <v>88</v>
      </c>
      <c r="C3" s="13" t="s">
        <v>89</v>
      </c>
      <c r="D3" s="13" t="s">
        <v>90</v>
      </c>
      <c r="E3" s="13" t="s">
        <v>91</v>
      </c>
      <c r="F3" s="13" t="s">
        <v>92</v>
      </c>
      <c r="G3" s="13" t="s">
        <v>93</v>
      </c>
    </row>
    <row r="4" spans="1:7" x14ac:dyDescent="0.25">
      <c r="A4" s="14">
        <v>1</v>
      </c>
      <c r="B4" s="15">
        <v>45870</v>
      </c>
      <c r="C4" s="10">
        <v>2400</v>
      </c>
      <c r="D4" s="12"/>
      <c r="E4" s="12"/>
      <c r="F4" s="12"/>
      <c r="G4" s="12"/>
    </row>
    <row r="5" spans="1:7" x14ac:dyDescent="0.25">
      <c r="A5" s="14">
        <v>2</v>
      </c>
      <c r="B5" s="15">
        <v>45873</v>
      </c>
      <c r="C5" s="10">
        <v>2399.42</v>
      </c>
      <c r="D5" s="12">
        <f t="shared" ref="D5:D36" si="0">C5/C4-1</f>
        <v>-2.4166666666658454E-4</v>
      </c>
      <c r="E5" s="12"/>
      <c r="F5" s="12"/>
      <c r="G5" s="12"/>
    </row>
    <row r="6" spans="1:7" x14ac:dyDescent="0.25">
      <c r="A6" s="14">
        <v>3</v>
      </c>
      <c r="B6" s="15">
        <v>45874</v>
      </c>
      <c r="C6" s="10">
        <v>2398.15</v>
      </c>
      <c r="D6" s="12">
        <f t="shared" si="0"/>
        <v>-5.292945795233317E-4</v>
      </c>
      <c r="E6" s="12"/>
      <c r="F6" s="12"/>
      <c r="G6" s="12"/>
    </row>
    <row r="7" spans="1:7" x14ac:dyDescent="0.25">
      <c r="A7" s="14">
        <v>4</v>
      </c>
      <c r="B7" s="15">
        <v>45875</v>
      </c>
      <c r="C7" s="10">
        <v>2398.36</v>
      </c>
      <c r="D7" s="12">
        <f t="shared" si="0"/>
        <v>8.7567499947871497E-5</v>
      </c>
      <c r="E7" s="12"/>
      <c r="F7" s="12"/>
      <c r="G7" s="12"/>
    </row>
    <row r="8" spans="1:7" x14ac:dyDescent="0.25">
      <c r="A8" s="14">
        <v>5</v>
      </c>
      <c r="B8" s="15">
        <v>45876</v>
      </c>
      <c r="C8" s="10">
        <v>2418.0700000000002</v>
      </c>
      <c r="D8" s="12">
        <f t="shared" si="0"/>
        <v>8.2181157124034954E-3</v>
      </c>
      <c r="E8" s="12"/>
      <c r="F8" s="12"/>
      <c r="G8" s="12"/>
    </row>
    <row r="9" spans="1:7" x14ac:dyDescent="0.25">
      <c r="A9" s="14">
        <v>6</v>
      </c>
      <c r="B9" s="15">
        <v>45877</v>
      </c>
      <c r="C9" s="10">
        <v>2417.89</v>
      </c>
      <c r="D9" s="12">
        <f t="shared" si="0"/>
        <v>-7.4439532354420024E-5</v>
      </c>
      <c r="E9" s="12"/>
      <c r="F9" s="12"/>
      <c r="G9" s="12"/>
    </row>
    <row r="10" spans="1:7" x14ac:dyDescent="0.25">
      <c r="A10" s="14">
        <v>7</v>
      </c>
      <c r="B10" s="15">
        <v>45880</v>
      </c>
      <c r="C10" s="10">
        <v>2384.59</v>
      </c>
      <c r="D10" s="12">
        <f t="shared" si="0"/>
        <v>-1.3772338691999897E-2</v>
      </c>
      <c r="E10" s="12"/>
      <c r="F10" s="12"/>
      <c r="G10" s="12"/>
    </row>
    <row r="11" spans="1:7" x14ac:dyDescent="0.25">
      <c r="A11" s="14">
        <v>8</v>
      </c>
      <c r="B11" s="15">
        <v>45881</v>
      </c>
      <c r="C11" s="10">
        <v>2395.37</v>
      </c>
      <c r="D11" s="12">
        <f t="shared" si="0"/>
        <v>4.5206932847994263E-3</v>
      </c>
      <c r="E11" s="12"/>
      <c r="F11" s="12"/>
      <c r="G11" s="12"/>
    </row>
    <row r="12" spans="1:7" x14ac:dyDescent="0.25">
      <c r="A12" s="14">
        <v>9</v>
      </c>
      <c r="B12" s="15">
        <v>45882</v>
      </c>
      <c r="C12" s="10">
        <v>2391.85</v>
      </c>
      <c r="D12" s="12">
        <f t="shared" si="0"/>
        <v>-1.4695015801317046E-3</v>
      </c>
      <c r="E12" s="12"/>
      <c r="F12" s="12"/>
      <c r="G12" s="12"/>
    </row>
    <row r="13" spans="1:7" x14ac:dyDescent="0.25">
      <c r="A13" s="14">
        <v>10</v>
      </c>
      <c r="B13" s="15">
        <v>45883</v>
      </c>
      <c r="C13" s="10">
        <v>2389.5300000000002</v>
      </c>
      <c r="D13" s="12">
        <f t="shared" si="0"/>
        <v>-9.6996049083331037E-4</v>
      </c>
      <c r="E13" s="12"/>
      <c r="F13" s="12"/>
      <c r="G13" s="12"/>
    </row>
    <row r="14" spans="1:7" x14ac:dyDescent="0.25">
      <c r="A14" s="14">
        <v>11</v>
      </c>
      <c r="B14" s="15">
        <v>45884</v>
      </c>
      <c r="C14" s="10">
        <v>2395.16</v>
      </c>
      <c r="D14" s="12">
        <f t="shared" si="0"/>
        <v>2.3561118713719686E-3</v>
      </c>
      <c r="E14" s="12">
        <f ca="1">STDEV(OFFSET(D14,-MIN(Inputs!$B$16-1,14-5),0,MIN(Inputs!$B$16,14-4+1),1))</f>
        <v>5.4664837936294784E-3</v>
      </c>
      <c r="F14" s="12">
        <f>STDEV(D$5:D14)</f>
        <v>5.6401658562656772E-3</v>
      </c>
      <c r="G14" s="12">
        <f ca="1">Inputs!$B$17*E14+(1-Inputs!$B$17)*F14</f>
        <v>5.518588412420338E-3</v>
      </c>
    </row>
    <row r="15" spans="1:7" x14ac:dyDescent="0.25">
      <c r="A15" s="14">
        <v>12</v>
      </c>
      <c r="B15" s="15">
        <v>45887</v>
      </c>
      <c r="C15" s="10">
        <v>2403.6</v>
      </c>
      <c r="D15" s="12">
        <f t="shared" si="0"/>
        <v>3.5237729420998232E-3</v>
      </c>
      <c r="E15" s="12">
        <f ca="1">STDEV(OFFSET(D15,-MIN(Inputs!$B$16-1,15-5),0,MIN(Inputs!$B$16,15-4+1),1))</f>
        <v>6.3698477807245168E-3</v>
      </c>
      <c r="F15" s="12">
        <f>STDEV(D$5:D15)</f>
        <v>5.4664837936294784E-3</v>
      </c>
      <c r="G15" s="12">
        <f ca="1">Inputs!$B$17*E15+(1-Inputs!$B$17)*F15</f>
        <v>6.0988385845960049E-3</v>
      </c>
    </row>
    <row r="16" spans="1:7" x14ac:dyDescent="0.25">
      <c r="A16" s="14">
        <v>13</v>
      </c>
      <c r="B16" s="15">
        <v>45888</v>
      </c>
      <c r="C16" s="10">
        <v>2434.4499999999998</v>
      </c>
      <c r="D16" s="12">
        <f t="shared" si="0"/>
        <v>1.2834914295223765E-2</v>
      </c>
      <c r="E16" s="12">
        <f ca="1">STDEV(OFFSET(D16,-MIN(Inputs!$B$16-1,16-5),0,MIN(Inputs!$B$16,16-4+1),1))</f>
        <v>6.3643277405999992E-3</v>
      </c>
      <c r="F16" s="12">
        <f>STDEV(D$5:D16)</f>
        <v>6.3698477807245168E-3</v>
      </c>
      <c r="G16" s="12">
        <f ca="1">Inputs!$B$17*E16+(1-Inputs!$B$17)*F16</f>
        <v>6.3659837526373548E-3</v>
      </c>
    </row>
    <row r="17" spans="1:7" x14ac:dyDescent="0.25">
      <c r="A17" s="14">
        <v>14</v>
      </c>
      <c r="B17" s="15">
        <v>45889</v>
      </c>
      <c r="C17" s="10">
        <v>2453.36</v>
      </c>
      <c r="D17" s="12">
        <f t="shared" si="0"/>
        <v>7.767668261825289E-3</v>
      </c>
      <c r="E17" s="12">
        <f ca="1">STDEV(OFFSET(D17,-MIN(Inputs!$B$16-1,17-5),0,MIN(Inputs!$B$16,17-4+1),1))</f>
        <v>6.1166901056106636E-3</v>
      </c>
      <c r="F17" s="12">
        <f>STDEV(D$5:D17)</f>
        <v>6.3643277405999992E-3</v>
      </c>
      <c r="G17" s="12">
        <f ca="1">Inputs!$B$17*E17+(1-Inputs!$B$17)*F17</f>
        <v>6.1909813961074645E-3</v>
      </c>
    </row>
    <row r="18" spans="1:7" x14ac:dyDescent="0.25">
      <c r="A18" s="14">
        <v>15</v>
      </c>
      <c r="B18" s="15">
        <v>45890</v>
      </c>
      <c r="C18" s="10">
        <v>2459.0100000000002</v>
      </c>
      <c r="D18" s="12">
        <f t="shared" si="0"/>
        <v>2.3029640982163979E-3</v>
      </c>
      <c r="E18" s="12">
        <f ca="1">STDEV(OFFSET(D18,-MIN(Inputs!$B$16-1,18-5),0,MIN(Inputs!$B$16,18-4+1),1))</f>
        <v>6.2401406981892034E-3</v>
      </c>
      <c r="F18" s="12">
        <f>STDEV(D$5:D18)</f>
        <v>6.1166901056106636E-3</v>
      </c>
      <c r="G18" s="12">
        <f ca="1">Inputs!$B$17*E18+(1-Inputs!$B$17)*F18</f>
        <v>6.2031055204156416E-3</v>
      </c>
    </row>
    <row r="19" spans="1:7" x14ac:dyDescent="0.25">
      <c r="A19" s="14">
        <v>16</v>
      </c>
      <c r="B19" s="15">
        <v>45891</v>
      </c>
      <c r="C19" s="10">
        <v>2443.81</v>
      </c>
      <c r="D19" s="12">
        <f t="shared" si="0"/>
        <v>-6.1813494048419404E-3</v>
      </c>
      <c r="E19" s="12">
        <f ca="1">STDEV(OFFSET(D19,-MIN(Inputs!$B$16-1,19-5),0,MIN(Inputs!$B$16,19-4+1),1))</f>
        <v>6.5427532119594961E-3</v>
      </c>
      <c r="F19" s="12">
        <f>STDEV(D$5:D19)</f>
        <v>6.2401406981892034E-3</v>
      </c>
      <c r="G19" s="12">
        <f ca="1">Inputs!$B$17*E19+(1-Inputs!$B$17)*F19</f>
        <v>6.451969457828409E-3</v>
      </c>
    </row>
    <row r="20" spans="1:7" x14ac:dyDescent="0.25">
      <c r="A20" s="14">
        <v>17</v>
      </c>
      <c r="B20" s="15">
        <v>45894</v>
      </c>
      <c r="C20" s="10">
        <v>2421.9499999999998</v>
      </c>
      <c r="D20" s="12">
        <f t="shared" si="0"/>
        <v>-8.9450489195150862E-3</v>
      </c>
      <c r="E20" s="12">
        <f ca="1">STDEV(OFFSET(D20,-MIN(Inputs!$B$16-1,20-5),0,MIN(Inputs!$B$16,20-4+1),1))</f>
        <v>6.3786879915707024E-3</v>
      </c>
      <c r="F20" s="12">
        <f>STDEV(D$5:D20)</f>
        <v>6.5427532119594961E-3</v>
      </c>
      <c r="G20" s="12">
        <f ca="1">Inputs!$B$17*E20+(1-Inputs!$B$17)*F20</f>
        <v>6.4279075576873399E-3</v>
      </c>
    </row>
    <row r="21" spans="1:7" x14ac:dyDescent="0.25">
      <c r="A21" s="14">
        <v>18</v>
      </c>
      <c r="B21" s="15">
        <v>45895</v>
      </c>
      <c r="C21" s="10">
        <v>2430.8200000000002</v>
      </c>
      <c r="D21" s="12">
        <f t="shared" si="0"/>
        <v>3.6623381985592118E-3</v>
      </c>
      <c r="E21" s="12">
        <f ca="1">STDEV(OFFSET(D21,-MIN(Inputs!$B$16-1,21-5),0,MIN(Inputs!$B$16,21-4+1),1))</f>
        <v>6.9629291840326213E-3</v>
      </c>
      <c r="F21" s="12">
        <f>STDEV(D$5:D21)</f>
        <v>6.3786879915707024E-3</v>
      </c>
      <c r="G21" s="12">
        <f ca="1">Inputs!$B$17*E21+(1-Inputs!$B$17)*F21</f>
        <v>6.7876568262940458E-3</v>
      </c>
    </row>
    <row r="22" spans="1:7" x14ac:dyDescent="0.25">
      <c r="A22" s="14">
        <v>19</v>
      </c>
      <c r="B22" s="15">
        <v>45896</v>
      </c>
      <c r="C22" s="10">
        <v>2465.61</v>
      </c>
      <c r="D22" s="12">
        <f t="shared" si="0"/>
        <v>1.431204284973786E-2</v>
      </c>
      <c r="E22" s="12">
        <f ca="1">STDEV(OFFSET(D22,-MIN(Inputs!$B$16-1,22-5),0,MIN(Inputs!$B$16,22-4+1),1))</f>
        <v>6.766783654354621E-3</v>
      </c>
      <c r="F22" s="12">
        <f>STDEV(D$5:D22)</f>
        <v>6.9629291840326213E-3</v>
      </c>
      <c r="G22" s="12">
        <f ca="1">Inputs!$B$17*E22+(1-Inputs!$B$17)*F22</f>
        <v>6.825627313258021E-3</v>
      </c>
    </row>
    <row r="23" spans="1:7" x14ac:dyDescent="0.25">
      <c r="A23" s="14">
        <v>20</v>
      </c>
      <c r="B23" s="15">
        <v>45897</v>
      </c>
      <c r="C23" s="10">
        <v>2469.59</v>
      </c>
      <c r="D23" s="12">
        <f t="shared" si="0"/>
        <v>1.6142050040355294E-3</v>
      </c>
      <c r="E23" s="12">
        <f ca="1">STDEV(OFFSET(D23,-MIN(Inputs!$B$16-1,23-5),0,MIN(Inputs!$B$16,23-4+1),1))</f>
        <v>6.5936282609670481E-3</v>
      </c>
      <c r="F23" s="12">
        <f>STDEV(D$5:D23)</f>
        <v>6.766783654354621E-3</v>
      </c>
      <c r="G23" s="12">
        <f ca="1">Inputs!$B$17*E23+(1-Inputs!$B$17)*F23</f>
        <v>6.6455748789833197E-3</v>
      </c>
    </row>
    <row r="24" spans="1:7" x14ac:dyDescent="0.25">
      <c r="A24" s="14">
        <v>21</v>
      </c>
      <c r="B24" s="15">
        <v>45898</v>
      </c>
      <c r="C24" s="10">
        <v>2469.9299999999998</v>
      </c>
      <c r="D24" s="12">
        <f t="shared" si="0"/>
        <v>1.3767467474345985E-4</v>
      </c>
      <c r="E24" s="12">
        <f ca="1">STDEV(OFFSET(D24,-MIN(Inputs!$B$16-1,24-5),0,MIN(Inputs!$B$16,24-4+1),1))</f>
        <v>6.5208652558658353E-3</v>
      </c>
      <c r="F24" s="12">
        <f>STDEV(D$5:D24)</f>
        <v>6.5936282609670481E-3</v>
      </c>
      <c r="G24" s="12">
        <f ca="1">Inputs!$B$17*E24+(1-Inputs!$B$17)*F24</f>
        <v>6.5426941573961984E-3</v>
      </c>
    </row>
    <row r="25" spans="1:7" x14ac:dyDescent="0.25">
      <c r="A25" s="14">
        <v>22</v>
      </c>
      <c r="B25" s="15">
        <v>45901</v>
      </c>
      <c r="C25" s="10">
        <v>2486.0300000000002</v>
      </c>
      <c r="D25" s="12">
        <f t="shared" si="0"/>
        <v>6.5184033555607535E-3</v>
      </c>
      <c r="E25" s="12">
        <f ca="1">STDEV(OFFSET(D25,-MIN(Inputs!$B$16-1,25-5),0,MIN(Inputs!$B$16,25-4+1),1))</f>
        <v>7.1252695730553497E-3</v>
      </c>
      <c r="F25" s="12">
        <f>STDEV(D$5:D25)</f>
        <v>6.5208652558658353E-3</v>
      </c>
      <c r="G25" s="12">
        <f ca="1">Inputs!$B$17*E25+(1-Inputs!$B$17)*F25</f>
        <v>6.943948277898496E-3</v>
      </c>
    </row>
    <row r="26" spans="1:7" x14ac:dyDescent="0.25">
      <c r="A26" s="14">
        <v>23</v>
      </c>
      <c r="B26" s="15">
        <v>45902</v>
      </c>
      <c r="C26" s="10">
        <v>2452.88</v>
      </c>
      <c r="D26" s="12">
        <f t="shared" si="0"/>
        <v>-1.3334513260097491E-2</v>
      </c>
      <c r="E26" s="12">
        <f ca="1">STDEV(OFFSET(D26,-MIN(Inputs!$B$16-1,26-5),0,MIN(Inputs!$B$16,26-4+1),1))</f>
        <v>6.9883819531146949E-3</v>
      </c>
      <c r="F26" s="12">
        <f>STDEV(D$5:D26)</f>
        <v>7.1252695730553497E-3</v>
      </c>
      <c r="G26" s="12">
        <f ca="1">Inputs!$B$17*E26+(1-Inputs!$B$17)*F26</f>
        <v>7.0294482390968922E-3</v>
      </c>
    </row>
    <row r="27" spans="1:7" x14ac:dyDescent="0.25">
      <c r="A27" s="14">
        <v>24</v>
      </c>
      <c r="B27" s="15">
        <v>45903</v>
      </c>
      <c r="C27" s="10">
        <v>2448.16</v>
      </c>
      <c r="D27" s="12">
        <f t="shared" si="0"/>
        <v>-1.9242686148528421E-3</v>
      </c>
      <c r="E27" s="12">
        <f ca="1">STDEV(OFFSET(D27,-MIN(Inputs!$B$16-1,27-5),0,MIN(Inputs!$B$16,27-4+1),1))</f>
        <v>6.9171726817688732E-3</v>
      </c>
      <c r="F27" s="12">
        <f>STDEV(D$5:D27)</f>
        <v>6.9883819531146949E-3</v>
      </c>
      <c r="G27" s="12">
        <f ca="1">Inputs!$B$17*E27+(1-Inputs!$B$17)*F27</f>
        <v>6.9385354631726192E-3</v>
      </c>
    </row>
    <row r="28" spans="1:7" x14ac:dyDescent="0.25">
      <c r="A28" s="14">
        <v>25</v>
      </c>
      <c r="B28" s="15">
        <v>45904</v>
      </c>
      <c r="C28" s="10">
        <v>2463.1</v>
      </c>
      <c r="D28" s="12">
        <f t="shared" si="0"/>
        <v>6.1025423174956295E-3</v>
      </c>
      <c r="E28" s="12">
        <f ca="1">STDEV(OFFSET(D28,-MIN(Inputs!$B$16-1,28-5),0,MIN(Inputs!$B$16,28-4+1),1))</f>
        <v>6.9980167734410266E-3</v>
      </c>
      <c r="F28" s="12">
        <f>STDEV(D$5:D28)</f>
        <v>6.9171726817688732E-3</v>
      </c>
      <c r="G28" s="12">
        <f ca="1">Inputs!$B$17*E28+(1-Inputs!$B$17)*F28</f>
        <v>6.9737635459393805E-3</v>
      </c>
    </row>
    <row r="29" spans="1:7" x14ac:dyDescent="0.25">
      <c r="A29" s="14">
        <v>26</v>
      </c>
      <c r="B29" s="15">
        <v>45905</v>
      </c>
      <c r="C29" s="10">
        <v>2487.5700000000002</v>
      </c>
      <c r="D29" s="12">
        <f t="shared" si="0"/>
        <v>9.9346352157851925E-3</v>
      </c>
      <c r="E29" s="12">
        <f ca="1">STDEV(OFFSET(D29,-MIN(Inputs!$B$16-1,29-5),0,MIN(Inputs!$B$16,29-4+1),1))</f>
        <v>6.8765046619514696E-3</v>
      </c>
      <c r="F29" s="12">
        <f>STDEV(D$5:D29)</f>
        <v>6.9980167734410266E-3</v>
      </c>
      <c r="G29" s="12">
        <f ca="1">Inputs!$B$17*E29+(1-Inputs!$B$17)*F29</f>
        <v>6.9129582953983363E-3</v>
      </c>
    </row>
    <row r="30" spans="1:7" x14ac:dyDescent="0.25">
      <c r="A30" s="14">
        <v>27</v>
      </c>
      <c r="B30" s="15">
        <v>45908</v>
      </c>
      <c r="C30" s="10">
        <v>2484.5700000000002</v>
      </c>
      <c r="D30" s="12">
        <f t="shared" si="0"/>
        <v>-1.205996213171856E-3</v>
      </c>
      <c r="E30" s="12">
        <f ca="1">STDEV(OFFSET(D30,-MIN(Inputs!$B$16-1,30-5),0,MIN(Inputs!$B$16,30-4+1),1))</f>
        <v>6.7786847970791536E-3</v>
      </c>
      <c r="F30" s="12">
        <f>STDEV(D$5:D30)</f>
        <v>6.8765046619514696E-3</v>
      </c>
      <c r="G30" s="12">
        <f ca="1">Inputs!$B$17*E30+(1-Inputs!$B$17)*F30</f>
        <v>6.8080307565408487E-3</v>
      </c>
    </row>
    <row r="31" spans="1:7" x14ac:dyDescent="0.25">
      <c r="A31" s="14">
        <v>28</v>
      </c>
      <c r="B31" s="15">
        <v>45909</v>
      </c>
      <c r="C31" s="10">
        <v>2496.91</v>
      </c>
      <c r="D31" s="12">
        <f t="shared" si="0"/>
        <v>4.9666541896584704E-3</v>
      </c>
      <c r="E31" s="12">
        <f ca="1">STDEV(OFFSET(D31,-MIN(Inputs!$B$16-1,31-5),0,MIN(Inputs!$B$16,31-4+1),1))</f>
        <v>6.6648461845159315E-3</v>
      </c>
      <c r="F31" s="12">
        <f>STDEV(D$5:D31)</f>
        <v>6.7786847970791536E-3</v>
      </c>
      <c r="G31" s="12">
        <f ca="1">Inputs!$B$17*E31+(1-Inputs!$B$17)*F31</f>
        <v>6.6989977682848974E-3</v>
      </c>
    </row>
    <row r="32" spans="1:7" x14ac:dyDescent="0.25">
      <c r="A32" s="14">
        <v>29</v>
      </c>
      <c r="B32" s="15">
        <v>45910</v>
      </c>
      <c r="C32" s="10">
        <v>2506.1</v>
      </c>
      <c r="D32" s="12">
        <f t="shared" si="0"/>
        <v>3.6805491587601491E-3</v>
      </c>
      <c r="E32" s="12">
        <f ca="1">STDEV(OFFSET(D32,-MIN(Inputs!$B$16-1,32-5),0,MIN(Inputs!$B$16,32-4+1),1))</f>
        <v>6.6895350715387505E-3</v>
      </c>
      <c r="F32" s="12">
        <f>STDEV(D$5:D32)</f>
        <v>6.6648461845159315E-3</v>
      </c>
      <c r="G32" s="12">
        <f ca="1">Inputs!$B$17*E32+(1-Inputs!$B$17)*F32</f>
        <v>6.682128405431904E-3</v>
      </c>
    </row>
    <row r="33" spans="1:7" x14ac:dyDescent="0.25">
      <c r="A33" s="14">
        <v>30</v>
      </c>
      <c r="B33" s="15">
        <v>45911</v>
      </c>
      <c r="C33" s="10">
        <v>2528.71</v>
      </c>
      <c r="D33" s="12">
        <f t="shared" si="0"/>
        <v>9.0219863532980948E-3</v>
      </c>
      <c r="E33" s="12">
        <f ca="1">STDEV(OFFSET(D33,-MIN(Inputs!$B$16-1,33-5),0,MIN(Inputs!$B$16,33-4+1),1))</f>
        <v>6.9146560470330441E-3</v>
      </c>
      <c r="F33" s="12">
        <f>STDEV(D$5:D33)</f>
        <v>6.6895350715387505E-3</v>
      </c>
      <c r="G33" s="12">
        <f ca="1">Inputs!$B$17*E33+(1-Inputs!$B$17)*F33</f>
        <v>6.8471197543847565E-3</v>
      </c>
    </row>
    <row r="34" spans="1:7" x14ac:dyDescent="0.25">
      <c r="A34" s="14">
        <v>31</v>
      </c>
      <c r="B34" s="15">
        <v>45912</v>
      </c>
      <c r="C34" s="10">
        <v>2503.6</v>
      </c>
      <c r="D34" s="12">
        <f t="shared" si="0"/>
        <v>-9.9299642900926299E-3</v>
      </c>
      <c r="E34" s="12">
        <f ca="1">STDEV(OFFSET(D34,-MIN(Inputs!$B$16-1,34-5),0,MIN(Inputs!$B$16,34-4+1),1))</f>
        <v>6.8685230538453271E-3</v>
      </c>
      <c r="F34" s="12">
        <f>STDEV(D$5:D34)</f>
        <v>6.9146560470330441E-3</v>
      </c>
      <c r="G34" s="12">
        <f ca="1">Inputs!$B$17*E34+(1-Inputs!$B$17)*F34</f>
        <v>6.8823629518016422E-3</v>
      </c>
    </row>
    <row r="35" spans="1:7" x14ac:dyDescent="0.25">
      <c r="A35" s="14">
        <v>32</v>
      </c>
      <c r="B35" s="15">
        <v>45915</v>
      </c>
      <c r="C35" s="10">
        <v>2520.83</v>
      </c>
      <c r="D35" s="12">
        <f t="shared" si="0"/>
        <v>6.8820897907013734E-3</v>
      </c>
      <c r="E35" s="12">
        <f ca="1">STDEV(OFFSET(D35,-MIN(Inputs!$B$16-1,35-5),0,MIN(Inputs!$B$16,35-4+1),1))</f>
        <v>7.2947558401461193E-3</v>
      </c>
      <c r="F35" s="12">
        <f>STDEV(D$5:D35)</f>
        <v>6.8685230538453271E-3</v>
      </c>
      <c r="G35" s="12">
        <f ca="1">Inputs!$B$17*E35+(1-Inputs!$B$17)*F35</f>
        <v>7.1668860042558812E-3</v>
      </c>
    </row>
    <row r="36" spans="1:7" x14ac:dyDescent="0.25">
      <c r="A36" s="14">
        <v>33</v>
      </c>
      <c r="B36" s="15">
        <v>45916</v>
      </c>
      <c r="C36" s="10">
        <v>2485.6799999999998</v>
      </c>
      <c r="D36" s="12">
        <f t="shared" si="0"/>
        <v>-1.3943820091001813E-2</v>
      </c>
      <c r="E36" s="12">
        <f ca="1">STDEV(OFFSET(D36,-MIN(Inputs!$B$16-1,36-5),0,MIN(Inputs!$B$16,36-4+1),1))</f>
        <v>8.498690407059627E-3</v>
      </c>
      <c r="F36" s="12">
        <f>STDEV(D$5:D36)</f>
        <v>7.2947558401461193E-3</v>
      </c>
      <c r="G36" s="12">
        <f ca="1">Inputs!$B$17*E36+(1-Inputs!$B$17)*F36</f>
        <v>8.1375100369855749E-3</v>
      </c>
    </row>
    <row r="37" spans="1:7" x14ac:dyDescent="0.25">
      <c r="A37" s="14">
        <v>34</v>
      </c>
      <c r="B37" s="15">
        <v>45917</v>
      </c>
      <c r="C37" s="10">
        <v>2423.54</v>
      </c>
      <c r="D37" s="12">
        <f t="shared" ref="D37:D68" si="1">C37/C36-1</f>
        <v>-2.4999195391200768E-2</v>
      </c>
      <c r="E37" s="12">
        <f ca="1">STDEV(OFFSET(D37,-MIN(Inputs!$B$16-1,37-5),0,MIN(Inputs!$B$16,37-4+1),1))</f>
        <v>8.4163110328310635E-3</v>
      </c>
      <c r="F37" s="12">
        <f>STDEV(D$5:D37)</f>
        <v>8.498690407059627E-3</v>
      </c>
      <c r="G37" s="12">
        <f ca="1">Inputs!$B$17*E37+(1-Inputs!$B$17)*F37</f>
        <v>8.4410248450996327E-3</v>
      </c>
    </row>
    <row r="38" spans="1:7" x14ac:dyDescent="0.25">
      <c r="A38" s="14">
        <v>35</v>
      </c>
      <c r="B38" s="15">
        <v>45918</v>
      </c>
      <c r="C38" s="10">
        <v>2411.7399999999998</v>
      </c>
      <c r="D38" s="12">
        <f t="shared" si="1"/>
        <v>-4.868910766894774E-3</v>
      </c>
      <c r="E38" s="12">
        <f ca="1">STDEV(OFFSET(D38,-MIN(Inputs!$B$16-1,38-5),0,MIN(Inputs!$B$16,38-4+1),1))</f>
        <v>8.404978238144168E-3</v>
      </c>
      <c r="F38" s="12">
        <f>STDEV(D$5:D38)</f>
        <v>8.4163110328310635E-3</v>
      </c>
      <c r="G38" s="12">
        <f ca="1">Inputs!$B$17*E38+(1-Inputs!$B$17)*F38</f>
        <v>8.408378076550236E-3</v>
      </c>
    </row>
    <row r="39" spans="1:7" x14ac:dyDescent="0.25">
      <c r="A39" s="14">
        <v>36</v>
      </c>
      <c r="B39" s="15">
        <v>45919</v>
      </c>
      <c r="C39" s="10">
        <v>2392.54</v>
      </c>
      <c r="D39" s="12">
        <f t="shared" si="1"/>
        <v>-7.9610571620488679E-3</v>
      </c>
      <c r="E39" s="12">
        <f ca="1">STDEV(OFFSET(D39,-MIN(Inputs!$B$16-1,39-5),0,MIN(Inputs!$B$16,39-4+1),1))</f>
        <v>8.404978238144168E-3</v>
      </c>
      <c r="F39" s="12">
        <f>STDEV(D$5:D39)</f>
        <v>8.404978238144168E-3</v>
      </c>
      <c r="G39" s="12">
        <f ca="1">Inputs!$B$17*E39+(1-Inputs!$B$17)*F39</f>
        <v>8.404978238144168E-3</v>
      </c>
    </row>
    <row r="40" spans="1:7" x14ac:dyDescent="0.25">
      <c r="A40" s="14">
        <v>37</v>
      </c>
      <c r="B40" s="15">
        <v>45922</v>
      </c>
      <c r="C40" s="10">
        <v>2416.37</v>
      </c>
      <c r="D40" s="12">
        <f t="shared" si="1"/>
        <v>9.9601260584984974E-3</v>
      </c>
      <c r="E40" s="12">
        <f ca="1">STDEV(OFFSET(D40,-MIN(Inputs!$B$16-1,40-5),0,MIN(Inputs!$B$16,40-4+1),1))</f>
        <v>8.5735020236837566E-3</v>
      </c>
      <c r="F40" s="12">
        <f>STDEV(D$5:D40)</f>
        <v>8.4505124512782356E-3</v>
      </c>
      <c r="G40" s="12">
        <f ca="1">Inputs!$B$17*E40+(1-Inputs!$B$17)*F40</f>
        <v>8.5366051519621001E-3</v>
      </c>
    </row>
    <row r="41" spans="1:7" x14ac:dyDescent="0.25">
      <c r="A41" s="14">
        <v>38</v>
      </c>
      <c r="B41" s="15">
        <v>45923</v>
      </c>
      <c r="C41" s="10">
        <v>2435.3200000000002</v>
      </c>
      <c r="D41" s="12">
        <f t="shared" si="1"/>
        <v>7.8423420254349896E-3</v>
      </c>
      <c r="E41" s="12">
        <f ca="1">STDEV(OFFSET(D41,-MIN(Inputs!$B$16-1,41-5),0,MIN(Inputs!$B$16,41-4+1),1))</f>
        <v>8.6677551171030331E-3</v>
      </c>
      <c r="F41" s="12">
        <f>STDEV(D$5:D41)</f>
        <v>8.4259278479622626E-3</v>
      </c>
      <c r="G41" s="12">
        <f ca="1">Inputs!$B$17*E41+(1-Inputs!$B$17)*F41</f>
        <v>8.5952069363608025E-3</v>
      </c>
    </row>
    <row r="42" spans="1:7" x14ac:dyDescent="0.25">
      <c r="A42" s="14">
        <v>39</v>
      </c>
      <c r="B42" s="15">
        <v>45924</v>
      </c>
      <c r="C42" s="10">
        <v>2408.56</v>
      </c>
      <c r="D42" s="12">
        <f t="shared" si="1"/>
        <v>-1.098828901335358E-2</v>
      </c>
      <c r="E42" s="12">
        <f ca="1">STDEV(OFFSET(D42,-MIN(Inputs!$B$16-1,42-5),0,MIN(Inputs!$B$16,42-4+1),1))</f>
        <v>8.8819012662672437E-3</v>
      </c>
      <c r="F42" s="12">
        <f>STDEV(D$5:D42)</f>
        <v>8.5151745867438865E-3</v>
      </c>
      <c r="G42" s="12">
        <f ca="1">Inputs!$B$17*E42+(1-Inputs!$B$17)*F42</f>
        <v>8.7718832624102371E-3</v>
      </c>
    </row>
    <row r="43" spans="1:7" x14ac:dyDescent="0.25">
      <c r="A43" s="14">
        <v>40</v>
      </c>
      <c r="B43" s="15">
        <v>45925</v>
      </c>
      <c r="C43" s="10">
        <v>2431.86</v>
      </c>
      <c r="D43" s="12">
        <f t="shared" si="1"/>
        <v>9.6738300063108351E-3</v>
      </c>
      <c r="E43" s="12">
        <f ca="1">STDEV(OFFSET(D43,-MIN(Inputs!$B$16-1,43-5),0,MIN(Inputs!$B$16,43-4+1),1))</f>
        <v>8.9240549083436545E-3</v>
      </c>
      <c r="F43" s="12">
        <f>STDEV(D$5:D43)</f>
        <v>8.5402580543004931E-3</v>
      </c>
      <c r="G43" s="12">
        <f ca="1">Inputs!$B$17*E43+(1-Inputs!$B$17)*F43</f>
        <v>8.8089158521307068E-3</v>
      </c>
    </row>
    <row r="44" spans="1:7" x14ac:dyDescent="0.25">
      <c r="A44" s="14">
        <v>41</v>
      </c>
      <c r="B44" s="15">
        <v>45926</v>
      </c>
      <c r="C44" s="10">
        <v>2410.4</v>
      </c>
      <c r="D44" s="12">
        <f t="shared" si="1"/>
        <v>-8.8245211484213604E-3</v>
      </c>
      <c r="E44" s="12">
        <f ca="1">STDEV(OFFSET(D44,-MIN(Inputs!$B$16-1,44-5),0,MIN(Inputs!$B$16,44-4+1),1))</f>
        <v>9.0536315005429711E-3</v>
      </c>
      <c r="F44" s="12">
        <f>STDEV(D$5:D44)</f>
        <v>8.5545965207998662E-3</v>
      </c>
      <c r="G44" s="12">
        <f ca="1">Inputs!$B$17*E44+(1-Inputs!$B$17)*F44</f>
        <v>8.90392100662004E-3</v>
      </c>
    </row>
    <row r="45" spans="1:7" x14ac:dyDescent="0.25">
      <c r="A45" s="14">
        <v>42</v>
      </c>
      <c r="B45" s="15">
        <v>45929</v>
      </c>
      <c r="C45" s="10">
        <v>2411.2199999999998</v>
      </c>
      <c r="D45" s="12">
        <f t="shared" si="1"/>
        <v>3.4019249917016658E-4</v>
      </c>
      <c r="E45" s="12">
        <f ca="1">STDEV(OFFSET(D45,-MIN(Inputs!$B$16-1,45-5),0,MIN(Inputs!$B$16,45-4+1),1))</f>
        <v>8.7330370196409268E-3</v>
      </c>
      <c r="F45" s="12">
        <f>STDEV(D$5:D45)</f>
        <v>8.4470428616104029E-3</v>
      </c>
      <c r="G45" s="12">
        <f ca="1">Inputs!$B$17*E45+(1-Inputs!$B$17)*F45</f>
        <v>8.6472387722317696E-3</v>
      </c>
    </row>
    <row r="46" spans="1:7" x14ac:dyDescent="0.25">
      <c r="A46" s="14">
        <v>43</v>
      </c>
      <c r="B46" s="15">
        <v>45930</v>
      </c>
      <c r="C46" s="10">
        <v>2407.02</v>
      </c>
      <c r="D46" s="12">
        <f t="shared" si="1"/>
        <v>-1.7418568193693362E-3</v>
      </c>
      <c r="E46" s="12">
        <f ca="1">STDEV(OFFSET(D46,-MIN(Inputs!$B$16-1,46-5),0,MIN(Inputs!$B$16,46-4+1),1))</f>
        <v>8.7092909412156572E-3</v>
      </c>
      <c r="F46" s="12">
        <f>STDEV(D$5:D46)</f>
        <v>8.34849260786019E-3</v>
      </c>
      <c r="G46" s="12">
        <f ca="1">Inputs!$B$17*E46+(1-Inputs!$B$17)*F46</f>
        <v>8.6010514412090174E-3</v>
      </c>
    </row>
    <row r="47" spans="1:7" x14ac:dyDescent="0.25">
      <c r="A47" s="14">
        <v>44</v>
      </c>
      <c r="B47" s="15">
        <v>45931</v>
      </c>
      <c r="C47" s="10">
        <v>2412.67</v>
      </c>
      <c r="D47" s="12">
        <f t="shared" si="1"/>
        <v>2.3473008117922411E-3</v>
      </c>
      <c r="E47" s="12">
        <f ca="1">STDEV(OFFSET(D47,-MIN(Inputs!$B$16-1,47-5),0,MIN(Inputs!$B$16,47-4+1),1))</f>
        <v>8.7119812372327046E-3</v>
      </c>
      <c r="F47" s="12">
        <f>STDEV(D$5:D47)</f>
        <v>8.2556000614267891E-3</v>
      </c>
      <c r="G47" s="12">
        <f ca="1">Inputs!$B$17*E47+(1-Inputs!$B$17)*F47</f>
        <v>8.5750668844909311E-3</v>
      </c>
    </row>
    <row r="48" spans="1:7" x14ac:dyDescent="0.25">
      <c r="A48" s="14">
        <v>45</v>
      </c>
      <c r="B48" s="15">
        <v>45932</v>
      </c>
      <c r="C48" s="10">
        <v>2435.31</v>
      </c>
      <c r="D48" s="12">
        <f t="shared" si="1"/>
        <v>9.383794717056082E-3</v>
      </c>
      <c r="E48" s="12">
        <f ca="1">STDEV(OFFSET(D48,-MIN(Inputs!$B$16-1,48-5),0,MIN(Inputs!$B$16,48-4+1),1))</f>
        <v>8.8429267266415534E-3</v>
      </c>
      <c r="F48" s="12">
        <f>STDEV(D$5:D48)</f>
        <v>8.2767905942816508E-3</v>
      </c>
      <c r="G48" s="12">
        <f ca="1">Inputs!$B$17*E48+(1-Inputs!$B$17)*F48</f>
        <v>8.6730858869335826E-3</v>
      </c>
    </row>
    <row r="49" spans="1:7" x14ac:dyDescent="0.25">
      <c r="A49" s="14">
        <v>46</v>
      </c>
      <c r="B49" s="15">
        <v>45933</v>
      </c>
      <c r="C49" s="10">
        <v>2453.7800000000002</v>
      </c>
      <c r="D49" s="12">
        <f t="shared" si="1"/>
        <v>7.5842500544078817E-3</v>
      </c>
      <c r="E49" s="12">
        <f ca="1">STDEV(OFFSET(D49,-MIN(Inputs!$B$16-1,49-5),0,MIN(Inputs!$B$16,49-4+1),1))</f>
        <v>8.9176441311256214E-3</v>
      </c>
      <c r="F49" s="12">
        <f>STDEV(D$5:D49)</f>
        <v>8.2526540948819494E-3</v>
      </c>
      <c r="G49" s="12">
        <f ca="1">Inputs!$B$17*E49+(1-Inputs!$B$17)*F49</f>
        <v>8.7181471202525205E-3</v>
      </c>
    </row>
    <row r="50" spans="1:7" x14ac:dyDescent="0.25">
      <c r="A50" s="14">
        <v>47</v>
      </c>
      <c r="B50" s="15">
        <v>45936</v>
      </c>
      <c r="C50" s="10">
        <v>2465.31</v>
      </c>
      <c r="D50" s="12">
        <f t="shared" si="1"/>
        <v>4.6988727595789204E-3</v>
      </c>
      <c r="E50" s="12">
        <f ca="1">STDEV(OFFSET(D50,-MIN(Inputs!$B$16-1,50-5),0,MIN(Inputs!$B$16,50-4+1),1))</f>
        <v>8.9306749079680545E-3</v>
      </c>
      <c r="F50" s="12">
        <f>STDEV(D$5:D50)</f>
        <v>8.1836033480712153E-3</v>
      </c>
      <c r="G50" s="12">
        <f ca="1">Inputs!$B$17*E50+(1-Inputs!$B$17)*F50</f>
        <v>8.7065534399990013E-3</v>
      </c>
    </row>
    <row r="51" spans="1:7" x14ac:dyDescent="0.25">
      <c r="A51" s="14">
        <v>48</v>
      </c>
      <c r="B51" s="15">
        <v>45937</v>
      </c>
      <c r="C51" s="10">
        <v>2484.29</v>
      </c>
      <c r="D51" s="12">
        <f t="shared" si="1"/>
        <v>7.6988289505173224E-3</v>
      </c>
      <c r="E51" s="12">
        <f ca="1">STDEV(OFFSET(D51,-MIN(Inputs!$B$16-1,51-5),0,MIN(Inputs!$B$16,51-4+1),1))</f>
        <v>8.7671880476656271E-3</v>
      </c>
      <c r="F51" s="12">
        <f>STDEV(D$5:D51)</f>
        <v>8.1598171379933908E-3</v>
      </c>
      <c r="G51" s="12">
        <f ca="1">Inputs!$B$17*E51+(1-Inputs!$B$17)*F51</f>
        <v>8.5849767747639555E-3</v>
      </c>
    </row>
    <row r="52" spans="1:7" x14ac:dyDescent="0.25">
      <c r="A52" s="14">
        <v>49</v>
      </c>
      <c r="B52" s="15">
        <v>45938</v>
      </c>
      <c r="C52" s="10">
        <v>2499.16</v>
      </c>
      <c r="D52" s="12">
        <f t="shared" si="1"/>
        <v>5.98561359583627E-3</v>
      </c>
      <c r="E52" s="12">
        <f ca="1">STDEV(OFFSET(D52,-MIN(Inputs!$B$16-1,52-5),0,MIN(Inputs!$B$16,52-4+1),1))</f>
        <v>8.7295308213434317E-3</v>
      </c>
      <c r="F52" s="12">
        <f>STDEV(D$5:D52)</f>
        <v>8.1076043151599615E-3</v>
      </c>
      <c r="G52" s="12">
        <f ca="1">Inputs!$B$17*E52+(1-Inputs!$B$17)*F52</f>
        <v>8.5429528694883905E-3</v>
      </c>
    </row>
    <row r="53" spans="1:7" x14ac:dyDescent="0.25">
      <c r="A53" s="14">
        <v>50</v>
      </c>
      <c r="B53" s="15">
        <v>45939</v>
      </c>
      <c r="C53" s="10">
        <v>2486.4899999999998</v>
      </c>
      <c r="D53" s="12">
        <f t="shared" si="1"/>
        <v>-5.0697034203492919E-3</v>
      </c>
      <c r="E53" s="12">
        <f ca="1">STDEV(OFFSET(D53,-MIN(Inputs!$B$16-1,53-5),0,MIN(Inputs!$B$16,53-4+1),1))</f>
        <v>8.7752123744282949E-3</v>
      </c>
      <c r="F53" s="12">
        <f>STDEV(D$5:D53)</f>
        <v>8.0675456473370283E-3</v>
      </c>
      <c r="G53" s="12">
        <f ca="1">Inputs!$B$17*E53+(1-Inputs!$B$17)*F53</f>
        <v>8.5629123563009148E-3</v>
      </c>
    </row>
    <row r="54" spans="1:7" x14ac:dyDescent="0.25">
      <c r="A54" s="14">
        <v>51</v>
      </c>
      <c r="B54" s="15">
        <v>45940</v>
      </c>
      <c r="C54" s="10">
        <v>2471.64</v>
      </c>
      <c r="D54" s="12">
        <f t="shared" si="1"/>
        <v>-5.9722741696125459E-3</v>
      </c>
      <c r="E54" s="12">
        <f ca="1">STDEV(OFFSET(D54,-MIN(Inputs!$B$16-1,54-5),0,MIN(Inputs!$B$16,54-4+1),1))</f>
        <v>8.7707019039971676E-3</v>
      </c>
      <c r="F54" s="12">
        <f>STDEV(D$5:D54)</f>
        <v>8.0412740004399963E-3</v>
      </c>
      <c r="G54" s="12">
        <f ca="1">Inputs!$B$17*E54+(1-Inputs!$B$17)*F54</f>
        <v>8.5518735329300159E-3</v>
      </c>
    </row>
    <row r="55" spans="1:7" x14ac:dyDescent="0.25">
      <c r="A55" s="14">
        <v>52</v>
      </c>
      <c r="B55" s="15">
        <v>45943</v>
      </c>
      <c r="C55" s="10">
        <v>2462.9899999999998</v>
      </c>
      <c r="D55" s="12">
        <f t="shared" si="1"/>
        <v>-3.4997006036477929E-3</v>
      </c>
      <c r="E55" s="12">
        <f ca="1">STDEV(OFFSET(D55,-MIN(Inputs!$B$16-1,55-5),0,MIN(Inputs!$B$16,55-4+1),1))</f>
        <v>8.6482083711759417E-3</v>
      </c>
      <c r="F55" s="12">
        <f>STDEV(D$5:D55)</f>
        <v>7.9813324659283088E-3</v>
      </c>
      <c r="G55" s="12">
        <f ca="1">Inputs!$B$17*E55+(1-Inputs!$B$17)*F55</f>
        <v>8.448145599601652E-3</v>
      </c>
    </row>
    <row r="56" spans="1:7" x14ac:dyDescent="0.25">
      <c r="A56" s="14">
        <v>53</v>
      </c>
      <c r="B56" s="15">
        <v>45944</v>
      </c>
      <c r="C56" s="10">
        <v>2478.2399999999998</v>
      </c>
      <c r="D56" s="12">
        <f t="shared" si="1"/>
        <v>6.191661354694844E-3</v>
      </c>
      <c r="E56" s="12">
        <f ca="1">STDEV(OFFSET(D56,-MIN(Inputs!$B$16-1,56-5),0,MIN(Inputs!$B$16,56-4+1),1))</f>
        <v>8.6857535110693353E-3</v>
      </c>
      <c r="F56" s="12">
        <f>STDEV(D$5:D56)</f>
        <v>7.941472692698506E-3</v>
      </c>
      <c r="G56" s="12">
        <f ca="1">Inputs!$B$17*E56+(1-Inputs!$B$17)*F56</f>
        <v>8.4624692655580862E-3</v>
      </c>
    </row>
    <row r="57" spans="1:7" x14ac:dyDescent="0.25">
      <c r="A57" s="14">
        <v>54</v>
      </c>
      <c r="B57" s="15">
        <v>45945</v>
      </c>
      <c r="C57" s="10">
        <v>2475.02</v>
      </c>
      <c r="D57" s="12">
        <f t="shared" si="1"/>
        <v>-1.299309187165032E-3</v>
      </c>
      <c r="E57" s="12">
        <f ca="1">STDEV(OFFSET(D57,-MIN(Inputs!$B$16-1,57-5),0,MIN(Inputs!$B$16,57-4+1),1))</f>
        <v>8.3548469594215951E-3</v>
      </c>
      <c r="F57" s="12">
        <f>STDEV(D$5:D57)</f>
        <v>7.8692897169217874E-3</v>
      </c>
      <c r="G57" s="12">
        <f ca="1">Inputs!$B$17*E57+(1-Inputs!$B$17)*F57</f>
        <v>8.2091797866716519E-3</v>
      </c>
    </row>
    <row r="58" spans="1:7" x14ac:dyDescent="0.25">
      <c r="A58" s="14">
        <v>55</v>
      </c>
      <c r="B58" s="15">
        <v>45946</v>
      </c>
      <c r="C58" s="10">
        <v>2535.8000000000002</v>
      </c>
      <c r="D58" s="12">
        <f t="shared" si="1"/>
        <v>2.4557377314122775E-2</v>
      </c>
      <c r="E58" s="12">
        <f ca="1">STDEV(OFFSET(D58,-MIN(Inputs!$B$16-1,58-5),0,MIN(Inputs!$B$16,58-4+1),1))</f>
        <v>9.3181973993283831E-3</v>
      </c>
      <c r="F58" s="12">
        <f>STDEV(D$5:D58)</f>
        <v>8.4484319237115215E-3</v>
      </c>
      <c r="G58" s="12">
        <f ca="1">Inputs!$B$17*E58+(1-Inputs!$B$17)*F58</f>
        <v>9.0572677566433252E-3</v>
      </c>
    </row>
    <row r="59" spans="1:7" x14ac:dyDescent="0.25">
      <c r="A59" s="14">
        <v>56</v>
      </c>
      <c r="B59" s="15">
        <v>45947</v>
      </c>
      <c r="C59" s="10">
        <v>2518.0700000000002</v>
      </c>
      <c r="D59" s="12">
        <f t="shared" si="1"/>
        <v>-6.9918763309408938E-3</v>
      </c>
      <c r="E59" s="12">
        <f ca="1">STDEV(OFFSET(D59,-MIN(Inputs!$B$16-1,59-5),0,MIN(Inputs!$B$16,59-4+1),1))</f>
        <v>9.4105375693206827E-3</v>
      </c>
      <c r="F59" s="12">
        <f>STDEV(D$5:D59)</f>
        <v>8.4398752731821708E-3</v>
      </c>
      <c r="G59" s="12">
        <f ca="1">Inputs!$B$17*E59+(1-Inputs!$B$17)*F59</f>
        <v>9.1193388804791282E-3</v>
      </c>
    </row>
    <row r="60" spans="1:7" x14ac:dyDescent="0.25">
      <c r="A60" s="14">
        <v>57</v>
      </c>
      <c r="B60" s="15">
        <v>45950</v>
      </c>
      <c r="C60" s="10">
        <v>2493.42</v>
      </c>
      <c r="D60" s="12">
        <f t="shared" si="1"/>
        <v>-9.7892433490729402E-3</v>
      </c>
      <c r="E60" s="12">
        <f ca="1">STDEV(OFFSET(D60,-MIN(Inputs!$B$16-1,60-5),0,MIN(Inputs!$B$16,60-4+1),1))</f>
        <v>9.5117857955657192E-3</v>
      </c>
      <c r="F60" s="12">
        <f>STDEV(D$5:D60)</f>
        <v>8.4841026484213881E-3</v>
      </c>
      <c r="G60" s="12">
        <f ca="1">Inputs!$B$17*E60+(1-Inputs!$B$17)*F60</f>
        <v>9.2034808514224187E-3</v>
      </c>
    </row>
    <row r="61" spans="1:7" x14ac:dyDescent="0.25">
      <c r="A61" s="14">
        <v>58</v>
      </c>
      <c r="B61" s="15">
        <v>45951</v>
      </c>
      <c r="C61" s="10">
        <v>2515.5700000000002</v>
      </c>
      <c r="D61" s="12">
        <f t="shared" si="1"/>
        <v>8.8833810589472595E-3</v>
      </c>
      <c r="E61" s="12">
        <f ca="1">STDEV(OFFSET(D61,-MIN(Inputs!$B$16-1,61-5),0,MIN(Inputs!$B$16,61-4+1),1))</f>
        <v>9.3264270205860016E-3</v>
      </c>
      <c r="F61" s="12">
        <f>STDEV(D$5:D61)</f>
        <v>8.4772925098647242E-3</v>
      </c>
      <c r="G61" s="12">
        <f ca="1">Inputs!$B$17*E61+(1-Inputs!$B$17)*F61</f>
        <v>9.0716866673696186E-3</v>
      </c>
    </row>
    <row r="62" spans="1:7" x14ac:dyDescent="0.25">
      <c r="A62" s="14">
        <v>59</v>
      </c>
      <c r="B62" s="15">
        <v>45952</v>
      </c>
      <c r="C62" s="10">
        <v>2554.36</v>
      </c>
      <c r="D62" s="12">
        <f t="shared" si="1"/>
        <v>1.5419964461334867E-2</v>
      </c>
      <c r="E62" s="12">
        <f ca="1">STDEV(OFFSET(D62,-MIN(Inputs!$B$16-1,62-5),0,MIN(Inputs!$B$16,62-4+1),1))</f>
        <v>9.6350854065618066E-3</v>
      </c>
      <c r="F62" s="12">
        <f>STDEV(D$5:D62)</f>
        <v>8.6173291075866427E-3</v>
      </c>
      <c r="G62" s="12">
        <f ca="1">Inputs!$B$17*E62+(1-Inputs!$B$17)*F62</f>
        <v>9.329758516869258E-3</v>
      </c>
    </row>
    <row r="63" spans="1:7" x14ac:dyDescent="0.25">
      <c r="A63" s="14">
        <v>60</v>
      </c>
      <c r="B63" s="15">
        <v>45953</v>
      </c>
      <c r="C63" s="10">
        <v>2570.34</v>
      </c>
      <c r="D63" s="12">
        <f t="shared" si="1"/>
        <v>6.2559701843123428E-3</v>
      </c>
      <c r="E63" s="12">
        <f ca="1">STDEV(OFFSET(D63,-MIN(Inputs!$B$16-1,63-5),0,MIN(Inputs!$B$16,63-4+1),1))</f>
        <v>9.6373884321624727E-3</v>
      </c>
      <c r="F63" s="12">
        <f>STDEV(D$5:D63)</f>
        <v>8.5689299922653284E-3</v>
      </c>
      <c r="G63" s="12">
        <f ca="1">Inputs!$B$17*E63+(1-Inputs!$B$17)*F63</f>
        <v>9.3168509001933294E-3</v>
      </c>
    </row>
    <row r="64" spans="1:7" x14ac:dyDescent="0.25">
      <c r="A64" s="14">
        <v>61</v>
      </c>
      <c r="B64" s="15">
        <v>45954</v>
      </c>
      <c r="C64" s="10">
        <v>2594.91</v>
      </c>
      <c r="D64" s="12">
        <f t="shared" si="1"/>
        <v>9.5590466630872672E-3</v>
      </c>
      <c r="E64" s="12">
        <f ca="1">STDEV(OFFSET(D64,-MIN(Inputs!$B$16-1,64-5),0,MIN(Inputs!$B$16,64-4+1),1))</f>
        <v>9.6276534933333029E-3</v>
      </c>
      <c r="F64" s="12">
        <f>STDEV(D$5:D64)</f>
        <v>8.56427965655524E-3</v>
      </c>
      <c r="G64" s="12">
        <f ca="1">Inputs!$B$17*E64+(1-Inputs!$B$17)*F64</f>
        <v>9.3086413422998841E-3</v>
      </c>
    </row>
    <row r="65" spans="1:7" x14ac:dyDescent="0.25">
      <c r="A65" s="14">
        <v>62</v>
      </c>
      <c r="B65" s="15">
        <v>45957</v>
      </c>
      <c r="C65" s="10">
        <v>2629.84</v>
      </c>
      <c r="D65" s="12">
        <f t="shared" si="1"/>
        <v>1.3460967817766401E-2</v>
      </c>
      <c r="E65" s="12">
        <f ca="1">STDEV(OFFSET(D65,-MIN(Inputs!$B$16-1,65-5),0,MIN(Inputs!$B$16,65-4+1),1))</f>
        <v>9.8344614776374288E-3</v>
      </c>
      <c r="F65" s="12">
        <f>STDEV(D$5:D65)</f>
        <v>8.6332840764764742E-3</v>
      </c>
      <c r="G65" s="12">
        <f ca="1">Inputs!$B$17*E65+(1-Inputs!$B$17)*F65</f>
        <v>9.4741082572891416E-3</v>
      </c>
    </row>
    <row r="66" spans="1:7" x14ac:dyDescent="0.25">
      <c r="A66" s="14">
        <v>63</v>
      </c>
      <c r="B66" s="15">
        <v>45958</v>
      </c>
      <c r="C66" s="10">
        <v>2625.27</v>
      </c>
      <c r="D66" s="12">
        <f t="shared" si="1"/>
        <v>-1.7377483040793562E-3</v>
      </c>
      <c r="E66" s="12">
        <f ca="1">STDEV(OFFSET(D66,-MIN(Inputs!$B$16-1,66-5),0,MIN(Inputs!$B$16,66-4+1),1))</f>
        <v>9.833692085353004E-3</v>
      </c>
      <c r="F66" s="12">
        <f>STDEV(D$5:D66)</f>
        <v>8.5723220257071329E-3</v>
      </c>
      <c r="G66" s="12">
        <f ca="1">Inputs!$B$17*E66+(1-Inputs!$B$17)*F66</f>
        <v>9.4552810674592425E-3</v>
      </c>
    </row>
    <row r="67" spans="1:7" x14ac:dyDescent="0.25">
      <c r="A67" s="14">
        <v>64</v>
      </c>
      <c r="B67" s="15">
        <v>45959</v>
      </c>
      <c r="C67" s="10">
        <v>2585.81</v>
      </c>
      <c r="D67" s="12">
        <f t="shared" si="1"/>
        <v>-1.5030834923645986E-2</v>
      </c>
      <c r="E67" s="12">
        <f ca="1">STDEV(OFFSET(D67,-MIN(Inputs!$B$16-1,67-5),0,MIN(Inputs!$B$16,67-4+1),1))</f>
        <v>1.0211908212514918E-2</v>
      </c>
      <c r="F67" s="12">
        <f>STDEV(D$5:D67)</f>
        <v>8.7537874059034227E-3</v>
      </c>
      <c r="G67" s="12">
        <f ca="1">Inputs!$B$17*E67+(1-Inputs!$B$17)*F67</f>
        <v>9.7744719705314693E-3</v>
      </c>
    </row>
    <row r="68" spans="1:7" x14ac:dyDescent="0.25">
      <c r="A68" s="14">
        <v>65</v>
      </c>
      <c r="B68" s="15">
        <v>45960</v>
      </c>
      <c r="C68" s="10">
        <v>2569.98</v>
      </c>
      <c r="D68" s="12">
        <f t="shared" si="1"/>
        <v>-6.1218728367513631E-3</v>
      </c>
      <c r="E68" s="12">
        <f ca="1">STDEV(OFFSET(D68,-MIN(Inputs!$B$16-1,68-5),0,MIN(Inputs!$B$16,68-4+1),1))</f>
        <v>1.0180425119839812E-2</v>
      </c>
      <c r="F68" s="12">
        <f>STDEV(D$5:D68)</f>
        <v>8.7324211824450944E-3</v>
      </c>
      <c r="G68" s="12">
        <f ca="1">Inputs!$B$17*E68+(1-Inputs!$B$17)*F68</f>
        <v>9.7460239386213971E-3</v>
      </c>
    </row>
    <row r="69" spans="1:7" x14ac:dyDescent="0.25">
      <c r="A69" s="14">
        <v>66</v>
      </c>
      <c r="B69" s="15">
        <v>45961</v>
      </c>
      <c r="C69" s="10">
        <v>2592.42</v>
      </c>
      <c r="D69" s="12">
        <f t="shared" ref="D69:D100" si="2">C69/C68-1</f>
        <v>8.7315854598091214E-3</v>
      </c>
      <c r="E69" s="12">
        <f ca="1">STDEV(OFFSET(D69,-MIN(Inputs!$B$16-1,69-5),0,MIN(Inputs!$B$16,69-4+1),1))</f>
        <v>1.0105815122156442E-2</v>
      </c>
      <c r="F69" s="12">
        <f>STDEV(D$5:D69)</f>
        <v>8.7153878955944682E-3</v>
      </c>
      <c r="G69" s="12">
        <f ca="1">Inputs!$B$17*E69+(1-Inputs!$B$17)*F69</f>
        <v>9.6886869541878487E-3</v>
      </c>
    </row>
    <row r="70" spans="1:7" x14ac:dyDescent="0.25">
      <c r="A70" s="14">
        <v>67</v>
      </c>
      <c r="B70" s="15">
        <v>45964</v>
      </c>
      <c r="C70" s="10">
        <v>2552.92</v>
      </c>
      <c r="D70" s="12">
        <f t="shared" si="2"/>
        <v>-1.5236728616505046E-2</v>
      </c>
      <c r="E70" s="12">
        <f ca="1">STDEV(OFFSET(D70,-MIN(Inputs!$B$16-1,70-5),0,MIN(Inputs!$B$16,70-4+1),1))</f>
        <v>1.0416944286531435E-2</v>
      </c>
      <c r="F70" s="12">
        <f>STDEV(D$5:D70)</f>
        <v>8.8822918078835279E-3</v>
      </c>
      <c r="G70" s="12">
        <f ca="1">Inputs!$B$17*E70+(1-Inputs!$B$17)*F70</f>
        <v>9.9565485429370625E-3</v>
      </c>
    </row>
    <row r="71" spans="1:7" x14ac:dyDescent="0.25">
      <c r="A71" s="14">
        <v>68</v>
      </c>
      <c r="B71" s="15">
        <v>45965</v>
      </c>
      <c r="C71" s="10">
        <v>2551.73</v>
      </c>
      <c r="D71" s="12">
        <f t="shared" si="2"/>
        <v>-4.6613289879826603E-4</v>
      </c>
      <c r="E71" s="12">
        <f ca="1">STDEV(OFFSET(D71,-MIN(Inputs!$B$16-1,71-5),0,MIN(Inputs!$B$16,71-4+1),1))</f>
        <v>1.0115311872826849E-2</v>
      </c>
      <c r="F71" s="12">
        <f>STDEV(D$5:D71)</f>
        <v>8.8165035544451736E-3</v>
      </c>
      <c r="G71" s="12">
        <f ca="1">Inputs!$B$17*E71+(1-Inputs!$B$17)*F71</f>
        <v>9.7256693773123456E-3</v>
      </c>
    </row>
    <row r="72" spans="1:7" x14ac:dyDescent="0.25">
      <c r="A72" s="14">
        <v>69</v>
      </c>
      <c r="B72" s="15">
        <v>45966</v>
      </c>
      <c r="C72" s="10">
        <v>2556.15</v>
      </c>
      <c r="D72" s="12">
        <f t="shared" si="2"/>
        <v>1.7321581828799726E-3</v>
      </c>
      <c r="E72" s="12">
        <f ca="1">STDEV(OFFSET(D72,-MIN(Inputs!$B$16-1,72-5),0,MIN(Inputs!$B$16,72-4+1),1))</f>
        <v>9.0647269503836541E-3</v>
      </c>
      <c r="F72" s="12">
        <f>STDEV(D$5:D72)</f>
        <v>8.7509705850402283E-3</v>
      </c>
      <c r="G72" s="12">
        <f ca="1">Inputs!$B$17*E72+(1-Inputs!$B$17)*F72</f>
        <v>8.9706000407806259E-3</v>
      </c>
    </row>
    <row r="73" spans="1:7" x14ac:dyDescent="0.25">
      <c r="A73" s="14">
        <v>70</v>
      </c>
      <c r="B73" s="15">
        <v>45967</v>
      </c>
      <c r="C73" s="10">
        <v>2546.04</v>
      </c>
      <c r="D73" s="12">
        <f t="shared" si="2"/>
        <v>-3.9551669502964071E-3</v>
      </c>
      <c r="E73" s="12">
        <f ca="1">STDEV(OFFSET(D73,-MIN(Inputs!$B$16-1,73-5),0,MIN(Inputs!$B$16,73-4+1),1))</f>
        <v>9.0469560358359142E-3</v>
      </c>
      <c r="F73" s="12">
        <f>STDEV(D$5:D73)</f>
        <v>8.7065596572948739E-3</v>
      </c>
      <c r="G73" s="12">
        <f ca="1">Inputs!$B$17*E73+(1-Inputs!$B$17)*F73</f>
        <v>8.9448371222736016E-3</v>
      </c>
    </row>
    <row r="74" spans="1:7" x14ac:dyDescent="0.25">
      <c r="A74" s="14">
        <v>71</v>
      </c>
      <c r="B74" s="15">
        <v>45968</v>
      </c>
      <c r="C74" s="10">
        <v>2562.4299999999998</v>
      </c>
      <c r="D74" s="12">
        <f t="shared" si="2"/>
        <v>6.4374479583981792E-3</v>
      </c>
      <c r="E74" s="12">
        <f ca="1">STDEV(OFFSET(D74,-MIN(Inputs!$B$16-1,74-5),0,MIN(Inputs!$B$16,74-4+1),1))</f>
        <v>8.9264769412813246E-3</v>
      </c>
      <c r="F74" s="12">
        <f>STDEV(D$5:D74)</f>
        <v>8.668597981200803E-3</v>
      </c>
      <c r="G74" s="12">
        <f ca="1">Inputs!$B$17*E74+(1-Inputs!$B$17)*F74</f>
        <v>8.8491132532571674E-3</v>
      </c>
    </row>
    <row r="75" spans="1:7" x14ac:dyDescent="0.25">
      <c r="A75" s="14">
        <v>72</v>
      </c>
      <c r="B75" s="15">
        <v>45971</v>
      </c>
      <c r="C75" s="10">
        <v>2575.2600000000002</v>
      </c>
      <c r="D75" s="12">
        <f t="shared" si="2"/>
        <v>5.006966043950678E-3</v>
      </c>
      <c r="E75" s="12">
        <f ca="1">STDEV(OFFSET(D75,-MIN(Inputs!$B$16-1,75-5),0,MIN(Inputs!$B$16,75-4+1),1))</f>
        <v>8.8353741860249125E-3</v>
      </c>
      <c r="F75" s="12">
        <f>STDEV(D$5:D75)</f>
        <v>8.6197614446531217E-3</v>
      </c>
      <c r="G75" s="12">
        <f ca="1">Inputs!$B$17*E75+(1-Inputs!$B$17)*F75</f>
        <v>8.7706903636133749E-3</v>
      </c>
    </row>
    <row r="76" spans="1:7" x14ac:dyDescent="0.25">
      <c r="A76" s="14">
        <v>73</v>
      </c>
      <c r="B76" s="15">
        <v>45972</v>
      </c>
      <c r="C76" s="10">
        <v>2632.98</v>
      </c>
      <c r="D76" s="12">
        <f t="shared" si="2"/>
        <v>2.2413270893036019E-2</v>
      </c>
      <c r="E76" s="12">
        <f ca="1">STDEV(OFFSET(D76,-MIN(Inputs!$B$16-1,76-5),0,MIN(Inputs!$B$16,76-4+1),1))</f>
        <v>9.4476592110059269E-3</v>
      </c>
      <c r="F76" s="12">
        <f>STDEV(D$5:D76)</f>
        <v>8.9221355531294115E-3</v>
      </c>
      <c r="G76" s="12">
        <f ca="1">Inputs!$B$17*E76+(1-Inputs!$B$17)*F76</f>
        <v>9.2900021136429721E-3</v>
      </c>
    </row>
    <row r="77" spans="1:7" x14ac:dyDescent="0.25">
      <c r="A77" s="14">
        <v>74</v>
      </c>
      <c r="B77" s="15">
        <v>45973</v>
      </c>
      <c r="C77" s="10">
        <v>2647.2</v>
      </c>
      <c r="D77" s="12">
        <f t="shared" si="2"/>
        <v>5.4007246541940557E-3</v>
      </c>
      <c r="E77" s="12">
        <f ca="1">STDEV(OFFSET(D77,-MIN(Inputs!$B$16-1,77-5),0,MIN(Inputs!$B$16,77-4+1),1))</f>
        <v>9.1730913851454758E-3</v>
      </c>
      <c r="F77" s="12">
        <f>STDEV(D$5:D77)</f>
        <v>8.8727804707876851E-3</v>
      </c>
      <c r="G77" s="12">
        <f ca="1">Inputs!$B$17*E77+(1-Inputs!$B$17)*F77</f>
        <v>9.0829981108381391E-3</v>
      </c>
    </row>
    <row r="78" spans="1:7" x14ac:dyDescent="0.25">
      <c r="A78" s="14">
        <v>75</v>
      </c>
      <c r="B78" s="15">
        <v>45974</v>
      </c>
      <c r="C78" s="10">
        <v>2628.95</v>
      </c>
      <c r="D78" s="12">
        <f t="shared" si="2"/>
        <v>-6.894076760350587E-3</v>
      </c>
      <c r="E78" s="12">
        <f ca="1">STDEV(OFFSET(D78,-MIN(Inputs!$B$16-1,78-5),0,MIN(Inputs!$B$16,78-4+1),1))</f>
        <v>9.2322401975240675E-3</v>
      </c>
      <c r="F78" s="12">
        <f>STDEV(D$5:D78)</f>
        <v>8.864170913534036E-3</v>
      </c>
      <c r="G78" s="12">
        <f ca="1">Inputs!$B$17*E78+(1-Inputs!$B$17)*F78</f>
        <v>9.1218194123270577E-3</v>
      </c>
    </row>
    <row r="79" spans="1:7" x14ac:dyDescent="0.25">
      <c r="A79" s="14">
        <v>76</v>
      </c>
      <c r="B79" s="15">
        <v>45975</v>
      </c>
      <c r="C79" s="10">
        <v>2612.0700000000002</v>
      </c>
      <c r="D79" s="12">
        <f t="shared" si="2"/>
        <v>-6.4208143935789996E-3</v>
      </c>
      <c r="E79" s="12">
        <f ca="1">STDEV(OFFSET(D79,-MIN(Inputs!$B$16-1,79-5),0,MIN(Inputs!$B$16,79-4+1),1))</f>
        <v>9.1559052613990333E-3</v>
      </c>
      <c r="F79" s="12">
        <f>STDEV(D$5:D79)</f>
        <v>8.8487590124891775E-3</v>
      </c>
      <c r="G79" s="12">
        <f ca="1">Inputs!$B$17*E79+(1-Inputs!$B$17)*F79</f>
        <v>9.0637613867260765E-3</v>
      </c>
    </row>
    <row r="80" spans="1:7" x14ac:dyDescent="0.25">
      <c r="A80" s="14">
        <v>77</v>
      </c>
      <c r="B80" s="15">
        <v>45978</v>
      </c>
      <c r="C80" s="10">
        <v>2588.2600000000002</v>
      </c>
      <c r="D80" s="12">
        <f t="shared" si="2"/>
        <v>-9.1153759279039015E-3</v>
      </c>
      <c r="E80" s="12">
        <f ca="1">STDEV(OFFSET(D80,-MIN(Inputs!$B$16-1,80-5),0,MIN(Inputs!$B$16,80-4+1),1))</f>
        <v>9.3539734029057815E-3</v>
      </c>
      <c r="F80" s="12">
        <f>STDEV(D$5:D80)</f>
        <v>8.8683717005889236E-3</v>
      </c>
      <c r="G80" s="12">
        <f ca="1">Inputs!$B$17*E80+(1-Inputs!$B$17)*F80</f>
        <v>9.2082928922107236E-3</v>
      </c>
    </row>
    <row r="81" spans="1:7" x14ac:dyDescent="0.25">
      <c r="A81" s="14">
        <v>78</v>
      </c>
      <c r="B81" s="15">
        <v>45979</v>
      </c>
      <c r="C81" s="10">
        <v>2610.84</v>
      </c>
      <c r="D81" s="12">
        <f t="shared" si="2"/>
        <v>8.7240076344725637E-3</v>
      </c>
      <c r="E81" s="12">
        <f ca="1">STDEV(OFFSET(D81,-MIN(Inputs!$B$16-1,81-5),0,MIN(Inputs!$B$16,81-4+1),1))</f>
        <v>9.3957654326136605E-3</v>
      </c>
      <c r="F81" s="12">
        <f>STDEV(D$5:D81)</f>
        <v>8.8533263828189743E-3</v>
      </c>
      <c r="G81" s="12">
        <f ca="1">Inputs!$B$17*E81+(1-Inputs!$B$17)*F81</f>
        <v>9.2330337176752542E-3</v>
      </c>
    </row>
    <row r="82" spans="1:7" x14ac:dyDescent="0.25">
      <c r="A82" s="14">
        <v>79</v>
      </c>
      <c r="B82" s="15">
        <v>45980</v>
      </c>
      <c r="C82" s="10">
        <v>2593.9499999999998</v>
      </c>
      <c r="D82" s="12">
        <f t="shared" si="2"/>
        <v>-6.4691823321231245E-3</v>
      </c>
      <c r="E82" s="12">
        <f ca="1">STDEV(OFFSET(D82,-MIN(Inputs!$B$16-1,82-5),0,MIN(Inputs!$B$16,82-4+1),1))</f>
        <v>9.513774079898658E-3</v>
      </c>
      <c r="F82" s="12">
        <f>STDEV(D$5:D82)</f>
        <v>8.8376666928014855E-3</v>
      </c>
      <c r="G82" s="12">
        <f ca="1">Inputs!$B$17*E82+(1-Inputs!$B$17)*F82</f>
        <v>9.310941863769507E-3</v>
      </c>
    </row>
    <row r="83" spans="1:7" x14ac:dyDescent="0.25">
      <c r="A83" s="14">
        <v>80</v>
      </c>
      <c r="B83" s="15">
        <v>45981</v>
      </c>
      <c r="C83" s="10">
        <v>2590.0500000000002</v>
      </c>
      <c r="D83" s="12">
        <f t="shared" si="2"/>
        <v>-1.5034985254147593E-3</v>
      </c>
      <c r="E83" s="12">
        <f ca="1">STDEV(OFFSET(D83,-MIN(Inputs!$B$16-1,83-5),0,MIN(Inputs!$B$16,83-4+1),1))</f>
        <v>9.4469029964599719E-3</v>
      </c>
      <c r="F83" s="12">
        <f>STDEV(D$5:D83)</f>
        <v>8.7854770824862347E-3</v>
      </c>
      <c r="G83" s="12">
        <f ca="1">Inputs!$B$17*E83+(1-Inputs!$B$17)*F83</f>
        <v>9.2484752222678508E-3</v>
      </c>
    </row>
    <row r="84" spans="1:7" x14ac:dyDescent="0.25">
      <c r="A84" s="14">
        <v>81</v>
      </c>
      <c r="B84" s="15">
        <v>45982</v>
      </c>
      <c r="C84" s="10">
        <v>2607.39</v>
      </c>
      <c r="D84" s="12">
        <f t="shared" si="2"/>
        <v>6.6948514507441104E-3</v>
      </c>
      <c r="E84" s="12">
        <f ca="1">STDEV(OFFSET(D84,-MIN(Inputs!$B$16-1,84-5),0,MIN(Inputs!$B$16,84-4+1),1))</f>
        <v>9.4320841363438723E-3</v>
      </c>
      <c r="F84" s="12">
        <f>STDEV(D$5:D84)</f>
        <v>8.7528577800487176E-3</v>
      </c>
      <c r="G84" s="12">
        <f ca="1">Inputs!$B$17*E84+(1-Inputs!$B$17)*F84</f>
        <v>9.2283162294553266E-3</v>
      </c>
    </row>
    <row r="85" spans="1:7" x14ac:dyDescent="0.25">
      <c r="A85" s="14">
        <v>82</v>
      </c>
      <c r="B85" s="15">
        <v>45985</v>
      </c>
      <c r="C85" s="10">
        <v>2586.44</v>
      </c>
      <c r="D85" s="12">
        <f t="shared" si="2"/>
        <v>-8.0348547781496915E-3</v>
      </c>
      <c r="E85" s="12">
        <f ca="1">STDEV(OFFSET(D85,-MIN(Inputs!$B$16-1,85-5),0,MIN(Inputs!$B$16,85-4+1),1))</f>
        <v>9.5608681219328008E-3</v>
      </c>
      <c r="F85" s="12">
        <f>STDEV(D$5:D85)</f>
        <v>8.7566707834793311E-3</v>
      </c>
      <c r="G85" s="12">
        <f ca="1">Inputs!$B$17*E85+(1-Inputs!$B$17)*F85</f>
        <v>9.3196089203967589E-3</v>
      </c>
    </row>
    <row r="86" spans="1:7" x14ac:dyDescent="0.25">
      <c r="A86" s="14">
        <v>83</v>
      </c>
      <c r="B86" s="15">
        <v>45986</v>
      </c>
      <c r="C86" s="10">
        <v>2576.7800000000002</v>
      </c>
      <c r="D86" s="12">
        <f t="shared" si="2"/>
        <v>-3.7348633643153883E-3</v>
      </c>
      <c r="E86" s="12">
        <f ca="1">STDEV(OFFSET(D86,-MIN(Inputs!$B$16-1,86-5),0,MIN(Inputs!$B$16,86-4+1),1))</f>
        <v>9.5351664671325456E-3</v>
      </c>
      <c r="F86" s="12">
        <f>STDEV(D$5:D86)</f>
        <v>8.717892313908784E-3</v>
      </c>
      <c r="G86" s="12">
        <f ca="1">Inputs!$B$17*E86+(1-Inputs!$B$17)*F86</f>
        <v>9.289984221165417E-3</v>
      </c>
    </row>
    <row r="87" spans="1:7" x14ac:dyDescent="0.25">
      <c r="A87" s="14">
        <v>84</v>
      </c>
      <c r="B87" s="15">
        <v>45987</v>
      </c>
      <c r="C87" s="10">
        <v>2527.27</v>
      </c>
      <c r="D87" s="12">
        <f t="shared" si="2"/>
        <v>-1.9213902622653212E-2</v>
      </c>
      <c r="E87" s="12">
        <f ca="1">STDEV(OFFSET(D87,-MIN(Inputs!$B$16-1,87-5),0,MIN(Inputs!$B$16,87-4+1),1))</f>
        <v>1.0089806465216036E-2</v>
      </c>
      <c r="F87" s="12">
        <f>STDEV(D$5:D87)</f>
        <v>8.9415530446990289E-3</v>
      </c>
      <c r="G87" s="12">
        <f ca="1">Inputs!$B$17*E87+(1-Inputs!$B$17)*F87</f>
        <v>9.7453304390609334E-3</v>
      </c>
    </row>
    <row r="88" spans="1:7" x14ac:dyDescent="0.25">
      <c r="A88" s="14">
        <v>85</v>
      </c>
      <c r="B88" s="15">
        <v>45988</v>
      </c>
      <c r="C88" s="10">
        <v>2497.89</v>
      </c>
      <c r="D88" s="12">
        <f t="shared" si="2"/>
        <v>-1.1625192401286788E-2</v>
      </c>
      <c r="E88" s="12">
        <f ca="1">STDEV(OFFSET(D88,-MIN(Inputs!$B$16-1,88-5),0,MIN(Inputs!$B$16,88-4+1),1))</f>
        <v>1.0253256136405256E-2</v>
      </c>
      <c r="F88" s="12">
        <f>STDEV(D$5:D88)</f>
        <v>8.9880751827588218E-3</v>
      </c>
      <c r="G88" s="12">
        <f ca="1">Inputs!$B$17*E88+(1-Inputs!$B$17)*F88</f>
        <v>9.8737018503113252E-3</v>
      </c>
    </row>
    <row r="89" spans="1:7" x14ac:dyDescent="0.25">
      <c r="A89" s="14">
        <v>86</v>
      </c>
      <c r="B89" s="15">
        <v>45989</v>
      </c>
      <c r="C89" s="10">
        <v>2481.71</v>
      </c>
      <c r="D89" s="12">
        <f t="shared" si="2"/>
        <v>-6.4774669821328068E-3</v>
      </c>
      <c r="E89" s="12">
        <f ca="1">STDEV(OFFSET(D89,-MIN(Inputs!$B$16-1,89-5),0,MIN(Inputs!$B$16,89-4+1),1))</f>
        <v>1.0262525521165751E-2</v>
      </c>
      <c r="F89" s="12">
        <f>STDEV(D$5:D89)</f>
        <v>8.9665574674291856E-3</v>
      </c>
      <c r="G89" s="12">
        <f ca="1">Inputs!$B$17*E89+(1-Inputs!$B$17)*F89</f>
        <v>9.8737351050447817E-3</v>
      </c>
    </row>
    <row r="90" spans="1:7" x14ac:dyDescent="0.25">
      <c r="A90" s="14">
        <v>87</v>
      </c>
      <c r="B90" s="15">
        <v>45992</v>
      </c>
      <c r="C90" s="10">
        <v>2490.04</v>
      </c>
      <c r="D90" s="12">
        <f t="shared" si="2"/>
        <v>3.3565565678503884E-3</v>
      </c>
      <c r="E90" s="12">
        <f ca="1">STDEV(OFFSET(D90,-MIN(Inputs!$B$16-1,90-5),0,MIN(Inputs!$B$16,90-4+1),1))</f>
        <v>1.0255907257789109E-2</v>
      </c>
      <c r="F90" s="12">
        <f>STDEV(D$5:D90)</f>
        <v>8.9192275098624579E-3</v>
      </c>
      <c r="G90" s="12">
        <f ca="1">Inputs!$B$17*E90+(1-Inputs!$B$17)*F90</f>
        <v>9.8549033334111146E-3</v>
      </c>
    </row>
    <row r="91" spans="1:7" x14ac:dyDescent="0.25">
      <c r="A91" s="14">
        <v>88</v>
      </c>
      <c r="B91" s="15">
        <v>45993</v>
      </c>
      <c r="C91" s="10">
        <v>2517.77</v>
      </c>
      <c r="D91" s="12">
        <f t="shared" si="2"/>
        <v>1.1136367287272408E-2</v>
      </c>
      <c r="E91" s="12">
        <f ca="1">STDEV(OFFSET(D91,-MIN(Inputs!$B$16-1,91-5),0,MIN(Inputs!$B$16,91-4+1),1))</f>
        <v>1.0371959270642536E-2</v>
      </c>
      <c r="F91" s="12">
        <f>STDEV(D$5:D91)</f>
        <v>8.9406865379787585E-3</v>
      </c>
      <c r="G91" s="12">
        <f ca="1">Inputs!$B$17*E91+(1-Inputs!$B$17)*F91</f>
        <v>9.9425774508434019E-3</v>
      </c>
    </row>
    <row r="92" spans="1:7" x14ac:dyDescent="0.25">
      <c r="A92" s="14">
        <v>89</v>
      </c>
      <c r="B92" s="15">
        <v>45994</v>
      </c>
      <c r="C92" s="10">
        <v>2515.29</v>
      </c>
      <c r="D92" s="12">
        <f t="shared" si="2"/>
        <v>-9.8499862973977503E-4</v>
      </c>
      <c r="E92" s="12">
        <f ca="1">STDEV(OFFSET(D92,-MIN(Inputs!$B$16-1,92-5),0,MIN(Inputs!$B$16,92-4+1),1))</f>
        <v>1.0370487644596303E-2</v>
      </c>
      <c r="F92" s="12">
        <f>STDEV(D$5:D92)</f>
        <v>8.8907408243867319E-3</v>
      </c>
      <c r="G92" s="12">
        <f ca="1">Inputs!$B$17*E92+(1-Inputs!$B$17)*F92</f>
        <v>9.9265635985334322E-3</v>
      </c>
    </row>
    <row r="93" spans="1:7" x14ac:dyDescent="0.25">
      <c r="A93" s="14">
        <v>90</v>
      </c>
      <c r="B93" s="15">
        <v>45995</v>
      </c>
      <c r="C93" s="10">
        <v>2519.85</v>
      </c>
      <c r="D93" s="12">
        <f t="shared" si="2"/>
        <v>1.8129122288086386E-3</v>
      </c>
      <c r="E93" s="12">
        <f ca="1">STDEV(OFFSET(D93,-MIN(Inputs!$B$16-1,93-5),0,MIN(Inputs!$B$16,93-4+1),1))</f>
        <v>9.4951864186091969E-3</v>
      </c>
      <c r="F93" s="12">
        <f>STDEV(D$5:D93)</f>
        <v>8.8410588300636365E-3</v>
      </c>
      <c r="G93" s="12">
        <f ca="1">Inputs!$B$17*E93+(1-Inputs!$B$17)*F93</f>
        <v>9.2989481420455294E-3</v>
      </c>
    </row>
    <row r="94" spans="1:7" x14ac:dyDescent="0.25">
      <c r="A94" s="14">
        <v>91</v>
      </c>
      <c r="B94" s="15">
        <v>45996</v>
      </c>
      <c r="C94" s="10">
        <v>2522.0700000000002</v>
      </c>
      <c r="D94" s="12">
        <f t="shared" si="2"/>
        <v>8.8100482171560301E-4</v>
      </c>
      <c r="E94" s="12">
        <f ca="1">STDEV(OFFSET(D94,-MIN(Inputs!$B$16-1,94-5),0,MIN(Inputs!$B$16,94-4+1),1))</f>
        <v>9.4209708075843855E-3</v>
      </c>
      <c r="F94" s="12">
        <f>STDEV(D$5:D94)</f>
        <v>8.7913045202608585E-3</v>
      </c>
      <c r="G94" s="12">
        <f ca="1">Inputs!$B$17*E94+(1-Inputs!$B$17)*F94</f>
        <v>9.2320709213873278E-3</v>
      </c>
    </row>
    <row r="95" spans="1:7" x14ac:dyDescent="0.25">
      <c r="A95" s="14">
        <v>92</v>
      </c>
      <c r="B95" s="15">
        <v>45999</v>
      </c>
      <c r="C95" s="10">
        <v>2547.41</v>
      </c>
      <c r="D95" s="12">
        <f t="shared" si="2"/>
        <v>1.0047302414286641E-2</v>
      </c>
      <c r="E95" s="12">
        <f ca="1">STDEV(OFFSET(D95,-MIN(Inputs!$B$16-1,95-5),0,MIN(Inputs!$B$16,95-4+1),1))</f>
        <v>9.4059234605342861E-3</v>
      </c>
      <c r="F95" s="12">
        <f>STDEV(D$5:D95)</f>
        <v>8.798365383734047E-3</v>
      </c>
      <c r="G95" s="12">
        <f ca="1">Inputs!$B$17*E95+(1-Inputs!$B$17)*F95</f>
        <v>9.2236560374942145E-3</v>
      </c>
    </row>
    <row r="96" spans="1:7" x14ac:dyDescent="0.25">
      <c r="A96" s="14">
        <v>93</v>
      </c>
      <c r="B96" s="15">
        <v>46000</v>
      </c>
      <c r="C96" s="10">
        <v>2568.13</v>
      </c>
      <c r="D96" s="12">
        <f t="shared" si="2"/>
        <v>8.1337515358737011E-3</v>
      </c>
      <c r="E96" s="12">
        <f ca="1">STDEV(OFFSET(D96,-MIN(Inputs!$B$16-1,96-5),0,MIN(Inputs!$B$16,96-4+1),1))</f>
        <v>9.3874715841468243E-3</v>
      </c>
      <c r="F96" s="12">
        <f>STDEV(D$5:D96)</f>
        <v>8.7842053224925481E-3</v>
      </c>
      <c r="G96" s="12">
        <f ca="1">Inputs!$B$17*E96+(1-Inputs!$B$17)*F96</f>
        <v>9.2064917056505421E-3</v>
      </c>
    </row>
    <row r="97" spans="1:7" x14ac:dyDescent="0.25">
      <c r="A97" s="14">
        <v>94</v>
      </c>
      <c r="B97" s="15">
        <v>46001</v>
      </c>
      <c r="C97" s="10">
        <v>2573.1</v>
      </c>
      <c r="D97" s="12">
        <f t="shared" si="2"/>
        <v>1.9352602866675728E-3</v>
      </c>
      <c r="E97" s="12">
        <f ca="1">STDEV(OFFSET(D97,-MIN(Inputs!$B$16-1,97-5),0,MIN(Inputs!$B$16,97-4+1),1))</f>
        <v>9.0327904358115229E-3</v>
      </c>
      <c r="F97" s="12">
        <f>STDEV(D$5:D97)</f>
        <v>8.737163882433719E-3</v>
      </c>
      <c r="G97" s="12">
        <f ca="1">Inputs!$B$17*E97+(1-Inputs!$B$17)*F97</f>
        <v>8.9441024697981819E-3</v>
      </c>
    </row>
    <row r="98" spans="1:7" x14ac:dyDescent="0.25">
      <c r="A98" s="14">
        <v>95</v>
      </c>
      <c r="B98" s="15">
        <v>46002</v>
      </c>
      <c r="C98" s="10">
        <v>2545.0300000000002</v>
      </c>
      <c r="D98" s="12">
        <f t="shared" si="2"/>
        <v>-1.0909020247949819E-2</v>
      </c>
      <c r="E98" s="12">
        <f ca="1">STDEV(OFFSET(D98,-MIN(Inputs!$B$16-1,98-5),0,MIN(Inputs!$B$16,98-4+1),1))</f>
        <v>9.1620807567061712E-3</v>
      </c>
      <c r="F98" s="12">
        <f>STDEV(D$5:D98)</f>
        <v>8.7733947309695179E-3</v>
      </c>
      <c r="G98" s="12">
        <f ca="1">Inputs!$B$17*E98+(1-Inputs!$B$17)*F98</f>
        <v>9.0454749489851747E-3</v>
      </c>
    </row>
    <row r="99" spans="1:7" x14ac:dyDescent="0.25">
      <c r="A99" s="14">
        <v>96</v>
      </c>
      <c r="B99" s="15">
        <v>46003</v>
      </c>
      <c r="C99" s="10">
        <v>2565.9899999999998</v>
      </c>
      <c r="D99" s="12">
        <f t="shared" si="2"/>
        <v>8.2356593046053472E-3</v>
      </c>
      <c r="E99" s="12">
        <f ca="1">STDEV(OFFSET(D99,-MIN(Inputs!$B$16-1,99-5),0,MIN(Inputs!$B$16,99-4+1),1))</f>
        <v>9.1230911736792999E-3</v>
      </c>
      <c r="F99" s="12">
        <f>STDEV(D$5:D99)</f>
        <v>8.7611252717896305E-3</v>
      </c>
      <c r="G99" s="12">
        <f ca="1">Inputs!$B$17*E99+(1-Inputs!$B$17)*F99</f>
        <v>9.0145014031123988E-3</v>
      </c>
    </row>
    <row r="100" spans="1:7" x14ac:dyDescent="0.25">
      <c r="A100" s="14">
        <v>97</v>
      </c>
      <c r="B100" s="15">
        <v>46006</v>
      </c>
      <c r="C100" s="10">
        <v>2573.71</v>
      </c>
      <c r="D100" s="12">
        <f t="shared" si="2"/>
        <v>3.0085853803016871E-3</v>
      </c>
      <c r="E100" s="12">
        <f ca="1">STDEV(OFFSET(D100,-MIN(Inputs!$B$16-1,100-5),0,MIN(Inputs!$B$16,100-4+1),1))</f>
        <v>8.8263167044836648E-3</v>
      </c>
      <c r="F100" s="12">
        <f>STDEV(D$5:D100)</f>
        <v>8.7179613323630344E-3</v>
      </c>
      <c r="G100" s="12">
        <f ca="1">Inputs!$B$17*E100+(1-Inputs!$B$17)*F100</f>
        <v>8.7938100928474754E-3</v>
      </c>
    </row>
    <row r="101" spans="1:7" x14ac:dyDescent="0.25">
      <c r="A101" s="14">
        <v>98</v>
      </c>
      <c r="B101" s="15">
        <v>46007</v>
      </c>
      <c r="C101" s="10">
        <v>2603.23</v>
      </c>
      <c r="D101" s="12">
        <f t="shared" ref="D101:D132" si="3">C101/C100-1</f>
        <v>1.1469823717512817E-2</v>
      </c>
      <c r="E101" s="12">
        <f ca="1">STDEV(OFFSET(D101,-MIN(Inputs!$B$16-1,101-5),0,MIN(Inputs!$B$16,101-4+1),1))</f>
        <v>9.0546747060085229E-3</v>
      </c>
      <c r="F101" s="12">
        <f>STDEV(D$5:D101)</f>
        <v>8.7402717385150278E-3</v>
      </c>
      <c r="G101" s="12">
        <f ca="1">Inputs!$B$17*E101+(1-Inputs!$B$17)*F101</f>
        <v>8.9603538157604738E-3</v>
      </c>
    </row>
    <row r="102" spans="1:7" x14ac:dyDescent="0.25">
      <c r="A102" s="14">
        <v>99</v>
      </c>
      <c r="B102" s="15">
        <v>46008</v>
      </c>
      <c r="C102" s="10">
        <v>2600.37</v>
      </c>
      <c r="D102" s="12">
        <f t="shared" si="3"/>
        <v>-1.0986351570932973E-3</v>
      </c>
      <c r="E102" s="12">
        <f ca="1">STDEV(OFFSET(D102,-MIN(Inputs!$B$16-1,102-5),0,MIN(Inputs!$B$16,102-4+1),1))</f>
        <v>8.6821300685669817E-3</v>
      </c>
      <c r="F102" s="12">
        <f>STDEV(D$5:D102)</f>
        <v>8.6973900582681014E-3</v>
      </c>
      <c r="G102" s="12">
        <f ca="1">Inputs!$B$17*E102+(1-Inputs!$B$17)*F102</f>
        <v>8.6867080654773176E-3</v>
      </c>
    </row>
    <row r="103" spans="1:7" x14ac:dyDescent="0.25">
      <c r="A103" s="14">
        <v>100</v>
      </c>
      <c r="B103" s="15">
        <v>46009</v>
      </c>
      <c r="C103" s="10">
        <v>2649.08</v>
      </c>
      <c r="D103" s="12">
        <f t="shared" si="3"/>
        <v>1.8731949684083427E-2</v>
      </c>
      <c r="E103" s="12">
        <f ca="1">STDEV(OFFSET(D103,-MIN(Inputs!$B$16-1,103-5),0,MIN(Inputs!$B$16,103-4+1),1))</f>
        <v>9.1536945621803287E-3</v>
      </c>
      <c r="F103" s="12">
        <f>STDEV(D$5:D103)</f>
        <v>8.8374477602282536E-3</v>
      </c>
      <c r="G103" s="12">
        <f ca="1">Inputs!$B$17*E103+(1-Inputs!$B$17)*F103</f>
        <v>9.0588205215947071E-3</v>
      </c>
    </row>
    <row r="104" spans="1:7" x14ac:dyDescent="0.25">
      <c r="A104" s="14">
        <v>101</v>
      </c>
      <c r="B104" s="15">
        <v>46010</v>
      </c>
      <c r="C104" s="10">
        <v>2637.45</v>
      </c>
      <c r="D104" s="12">
        <f t="shared" si="3"/>
        <v>-4.3902033913660876E-3</v>
      </c>
      <c r="E104" s="12">
        <f ca="1">STDEV(OFFSET(D104,-MIN(Inputs!$B$16-1,104-5),0,MIN(Inputs!$B$16,104-4+1),1))</f>
        <v>9.0923124204248546E-3</v>
      </c>
      <c r="F104" s="12">
        <f>STDEV(D$5:D104)</f>
        <v>8.8094317385256273E-3</v>
      </c>
      <c r="G104" s="12">
        <f ca="1">Inputs!$B$17*E104+(1-Inputs!$B$17)*F104</f>
        <v>9.0074482158550868E-3</v>
      </c>
    </row>
    <row r="105" spans="1:7" x14ac:dyDescent="0.25">
      <c r="A105" s="14">
        <v>102</v>
      </c>
      <c r="B105" s="15">
        <v>46013</v>
      </c>
      <c r="C105" s="10">
        <v>2677.36</v>
      </c>
      <c r="D105" s="12">
        <f t="shared" si="3"/>
        <v>1.5132040417827897E-2</v>
      </c>
      <c r="E105" s="12">
        <f ca="1">STDEV(OFFSET(D105,-MIN(Inputs!$B$16-1,105-5),0,MIN(Inputs!$B$16,105-4+1),1))</f>
        <v>8.9917089917329503E-3</v>
      </c>
      <c r="F105" s="12">
        <f>STDEV(D$5:D105)</f>
        <v>8.8776322876161998E-3</v>
      </c>
      <c r="G105" s="12">
        <f ca="1">Inputs!$B$17*E105+(1-Inputs!$B$17)*F105</f>
        <v>8.9574859804979253E-3</v>
      </c>
    </row>
    <row r="106" spans="1:7" x14ac:dyDescent="0.25">
      <c r="A106" s="14">
        <v>103</v>
      </c>
      <c r="B106" s="15">
        <v>46014</v>
      </c>
      <c r="C106" s="10">
        <v>2678.3</v>
      </c>
      <c r="D106" s="12">
        <f t="shared" si="3"/>
        <v>3.5109212059647454E-4</v>
      </c>
      <c r="E106" s="12">
        <f ca="1">STDEV(OFFSET(D106,-MIN(Inputs!$B$16-1,106-5),0,MIN(Inputs!$B$16,106-4+1),1))</f>
        <v>8.9877809903449474E-3</v>
      </c>
      <c r="F106" s="12">
        <f>STDEV(D$5:D106)</f>
        <v>8.8339044106486228E-3</v>
      </c>
      <c r="G106" s="12">
        <f ca="1">Inputs!$B$17*E106+(1-Inputs!$B$17)*F106</f>
        <v>8.9416180164360488E-3</v>
      </c>
    </row>
    <row r="107" spans="1:7" x14ac:dyDescent="0.25">
      <c r="A107" s="14">
        <v>104</v>
      </c>
      <c r="B107" s="15">
        <v>46015</v>
      </c>
      <c r="C107" s="10">
        <v>2662.33</v>
      </c>
      <c r="D107" s="12">
        <f t="shared" si="3"/>
        <v>-5.9627375574059505E-3</v>
      </c>
      <c r="E107" s="12">
        <f ca="1">STDEV(OFFSET(D107,-MIN(Inputs!$B$16-1,107-5),0,MIN(Inputs!$B$16,107-4+1),1))</f>
        <v>9.0737063517042308E-3</v>
      </c>
      <c r="F107" s="12">
        <f>STDEV(D$5:D107)</f>
        <v>8.8181131956178837E-3</v>
      </c>
      <c r="G107" s="12">
        <f ca="1">Inputs!$B$17*E107+(1-Inputs!$B$17)*F107</f>
        <v>8.997028404878326E-3</v>
      </c>
    </row>
    <row r="108" spans="1:7" x14ac:dyDescent="0.25">
      <c r="A108" s="14">
        <v>105</v>
      </c>
      <c r="B108" s="15">
        <v>46016</v>
      </c>
      <c r="C108" s="10">
        <v>2630.15</v>
      </c>
      <c r="D108" s="12">
        <f t="shared" si="3"/>
        <v>-1.2087156738646132E-2</v>
      </c>
      <c r="E108" s="12">
        <f ca="1">STDEV(OFFSET(D108,-MIN(Inputs!$B$16-1,108-5),0,MIN(Inputs!$B$16,108-4+1),1))</f>
        <v>9.3107021693931893E-3</v>
      </c>
      <c r="F108" s="12">
        <f>STDEV(D$5:D108)</f>
        <v>8.8691976748194318E-3</v>
      </c>
      <c r="G108" s="12">
        <f ca="1">Inputs!$B$17*E108+(1-Inputs!$B$17)*F108</f>
        <v>9.1782508210210625E-3</v>
      </c>
    </row>
    <row r="109" spans="1:7" x14ac:dyDescent="0.25">
      <c r="A109" s="14">
        <v>106</v>
      </c>
      <c r="B109" s="15">
        <v>46017</v>
      </c>
      <c r="C109" s="10">
        <v>2624.08</v>
      </c>
      <c r="D109" s="12">
        <f t="shared" si="3"/>
        <v>-2.307853164268292E-3</v>
      </c>
      <c r="E109" s="12">
        <f ca="1">STDEV(OFFSET(D109,-MIN(Inputs!$B$16-1,109-5),0,MIN(Inputs!$B$16,109-4+1),1))</f>
        <v>9.2769748434450554E-3</v>
      </c>
      <c r="F109" s="12">
        <f>STDEV(D$5:D109)</f>
        <v>8.8320730623291984E-3</v>
      </c>
      <c r="G109" s="12">
        <f ca="1">Inputs!$B$17*E109+(1-Inputs!$B$17)*F109</f>
        <v>9.1435043091102983E-3</v>
      </c>
    </row>
    <row r="110" spans="1:7" x14ac:dyDescent="0.25">
      <c r="A110" s="14">
        <v>107</v>
      </c>
      <c r="B110" s="15">
        <v>46020</v>
      </c>
      <c r="C110" s="10">
        <v>2659.33</v>
      </c>
      <c r="D110" s="12">
        <f t="shared" si="3"/>
        <v>1.3433279473186843E-2</v>
      </c>
      <c r="E110" s="12">
        <f ca="1">STDEV(OFFSET(D110,-MIN(Inputs!$B$16-1,110-5),0,MIN(Inputs!$B$16,110-4+1),1))</f>
        <v>9.4981690167024492E-3</v>
      </c>
      <c r="F110" s="12">
        <f>STDEV(D$5:D110)</f>
        <v>8.8739562742624258E-3</v>
      </c>
      <c r="G110" s="12">
        <f ca="1">Inputs!$B$17*E110+(1-Inputs!$B$17)*F110</f>
        <v>9.3109051939704417E-3</v>
      </c>
    </row>
    <row r="111" spans="1:7" x14ac:dyDescent="0.25">
      <c r="A111" s="14">
        <v>108</v>
      </c>
      <c r="B111" s="15">
        <v>46021</v>
      </c>
      <c r="C111" s="10">
        <v>2678.91</v>
      </c>
      <c r="D111" s="12">
        <f t="shared" si="3"/>
        <v>7.3627567846035191E-3</v>
      </c>
      <c r="E111" s="12">
        <f ca="1">STDEV(OFFSET(D111,-MIN(Inputs!$B$16-1,111-5),0,MIN(Inputs!$B$16,111-4+1),1))</f>
        <v>8.8145214794797342E-3</v>
      </c>
      <c r="F111" s="12">
        <f>STDEV(D$5:D111)</f>
        <v>8.8533428667266975E-3</v>
      </c>
      <c r="G111" s="12">
        <f ca="1">Inputs!$B$17*E111+(1-Inputs!$B$17)*F111</f>
        <v>8.826167895653823E-3</v>
      </c>
    </row>
    <row r="112" spans="1:7" x14ac:dyDescent="0.25">
      <c r="A112" s="14">
        <v>109</v>
      </c>
      <c r="B112" s="15">
        <v>46022</v>
      </c>
      <c r="C112" s="10">
        <v>2695.22</v>
      </c>
      <c r="D112" s="12">
        <f t="shared" si="3"/>
        <v>6.0882971059124102E-3</v>
      </c>
      <c r="E112" s="12">
        <f ca="1">STDEV(OFFSET(D112,-MIN(Inputs!$B$16-1,112-5),0,MIN(Inputs!$B$16,112-4+1),1))</f>
        <v>8.8264498032720826E-3</v>
      </c>
      <c r="F112" s="12">
        <f>STDEV(D$5:D112)</f>
        <v>8.8251126788071194E-3</v>
      </c>
      <c r="G112" s="12">
        <f ca="1">Inputs!$B$17*E112+(1-Inputs!$B$17)*F112</f>
        <v>8.8260486659325933E-3</v>
      </c>
    </row>
    <row r="113" spans="1:7" x14ac:dyDescent="0.25">
      <c r="A113" s="14">
        <v>110</v>
      </c>
      <c r="B113" s="15">
        <v>46023</v>
      </c>
      <c r="C113" s="10">
        <v>2629.03</v>
      </c>
      <c r="D113" s="12">
        <f t="shared" si="3"/>
        <v>-2.4558292087473177E-2</v>
      </c>
      <c r="E113" s="12">
        <f ca="1">STDEV(OFFSET(D113,-MIN(Inputs!$B$16-1,113-5),0,MIN(Inputs!$B$16,113-4+1),1))</f>
        <v>9.7240826014156501E-3</v>
      </c>
      <c r="F113" s="12">
        <f>STDEV(D$5:D113)</f>
        <v>9.1218224859659358E-3</v>
      </c>
      <c r="G113" s="12">
        <f ca="1">Inputs!$B$17*E113+(1-Inputs!$B$17)*F113</f>
        <v>9.5434045667807353E-3</v>
      </c>
    </row>
    <row r="114" spans="1:7" x14ac:dyDescent="0.25">
      <c r="A114" s="14">
        <v>111</v>
      </c>
      <c r="B114" s="15">
        <v>46024</v>
      </c>
      <c r="C114" s="10">
        <v>2645.62</v>
      </c>
      <c r="D114" s="12">
        <f t="shared" si="3"/>
        <v>6.3103121683660834E-3</v>
      </c>
      <c r="E114" s="12">
        <f ca="1">STDEV(OFFSET(D114,-MIN(Inputs!$B$16-1,114-5),0,MIN(Inputs!$B$16,114-4+1),1))</f>
        <v>9.7131395837485885E-3</v>
      </c>
      <c r="F114" s="12">
        <f>STDEV(D$5:D114)</f>
        <v>9.0946448041649523E-3</v>
      </c>
      <c r="G114" s="12">
        <f ca="1">Inputs!$B$17*E114+(1-Inputs!$B$17)*F114</f>
        <v>9.5275911498734975E-3</v>
      </c>
    </row>
    <row r="115" spans="1:7" x14ac:dyDescent="0.25">
      <c r="A115" s="14">
        <v>112</v>
      </c>
      <c r="B115" s="15">
        <v>46027</v>
      </c>
      <c r="C115" s="10">
        <v>2661.65</v>
      </c>
      <c r="D115" s="12">
        <f t="shared" si="3"/>
        <v>6.0590712196006979E-3</v>
      </c>
      <c r="E115" s="12">
        <f ca="1">STDEV(OFFSET(D115,-MIN(Inputs!$B$16-1,115-5),0,MIN(Inputs!$B$16,115-4+1),1))</f>
        <v>9.6135832445842333E-3</v>
      </c>
      <c r="F115" s="12">
        <f>STDEV(D$5:D115)</f>
        <v>9.0663054296707089E-3</v>
      </c>
      <c r="G115" s="12">
        <f ca="1">Inputs!$B$17*E115+(1-Inputs!$B$17)*F115</f>
        <v>9.4493999001101763E-3</v>
      </c>
    </row>
    <row r="116" spans="1:7" x14ac:dyDescent="0.25">
      <c r="A116" s="14">
        <v>113</v>
      </c>
      <c r="B116" s="15">
        <v>46028</v>
      </c>
      <c r="C116" s="10">
        <v>2648.34</v>
      </c>
      <c r="D116" s="12">
        <f t="shared" si="3"/>
        <v>-5.0006574868971532E-3</v>
      </c>
      <c r="E116" s="12">
        <f ca="1">STDEV(OFFSET(D116,-MIN(Inputs!$B$16-1,116-5),0,MIN(Inputs!$B$16,116-4+1),1))</f>
        <v>9.562491870592979E-3</v>
      </c>
      <c r="F116" s="12">
        <f>STDEV(D$5:D116)</f>
        <v>9.0430100544166316E-3</v>
      </c>
      <c r="G116" s="12">
        <f ca="1">Inputs!$B$17*E116+(1-Inputs!$B$17)*F116</f>
        <v>9.4066473257400744E-3</v>
      </c>
    </row>
    <row r="117" spans="1:7" x14ac:dyDescent="0.25">
      <c r="A117" s="14">
        <v>114</v>
      </c>
      <c r="B117" s="15">
        <v>46029</v>
      </c>
      <c r="C117" s="10">
        <v>2633.05</v>
      </c>
      <c r="D117" s="12">
        <f t="shared" si="3"/>
        <v>-5.773427883126736E-3</v>
      </c>
      <c r="E117" s="12">
        <f ca="1">STDEV(OFFSET(D117,-MIN(Inputs!$B$16-1,117-5),0,MIN(Inputs!$B$16,117-4+1),1))</f>
        <v>9.5483934425516625E-3</v>
      </c>
      <c r="F117" s="12">
        <f>STDEV(D$5:D117)</f>
        <v>9.0245429848016586E-3</v>
      </c>
      <c r="G117" s="12">
        <f ca="1">Inputs!$B$17*E117+(1-Inputs!$B$17)*F117</f>
        <v>9.3912383052266613E-3</v>
      </c>
    </row>
    <row r="118" spans="1:7" x14ac:dyDescent="0.25">
      <c r="A118" s="14">
        <v>115</v>
      </c>
      <c r="B118" s="15">
        <v>46030</v>
      </c>
      <c r="C118" s="10">
        <v>2634.31</v>
      </c>
      <c r="D118" s="12">
        <f t="shared" si="3"/>
        <v>4.7853250033225159E-4</v>
      </c>
      <c r="E118" s="12">
        <f ca="1">STDEV(OFFSET(D118,-MIN(Inputs!$B$16-1,118-5),0,MIN(Inputs!$B$16,118-4+1),1))</f>
        <v>9.542208416818623E-3</v>
      </c>
      <c r="F118" s="12">
        <f>STDEV(D$5:D118)</f>
        <v>8.984593997191679E-3</v>
      </c>
      <c r="G118" s="12">
        <f ca="1">Inputs!$B$17*E118+(1-Inputs!$B$17)*F118</f>
        <v>9.3749240909305406E-3</v>
      </c>
    </row>
    <row r="119" spans="1:7" x14ac:dyDescent="0.25">
      <c r="A119" s="14">
        <v>116</v>
      </c>
      <c r="B119" s="15">
        <v>46031</v>
      </c>
      <c r="C119" s="10">
        <v>2681.06</v>
      </c>
      <c r="D119" s="12">
        <f t="shared" si="3"/>
        <v>1.774658259658124E-2</v>
      </c>
      <c r="E119" s="12">
        <f ca="1">STDEV(OFFSET(D119,-MIN(Inputs!$B$16-1,119-5),0,MIN(Inputs!$B$16,119-4+1),1))</f>
        <v>9.9273453034097216E-3</v>
      </c>
      <c r="F119" s="12">
        <f>STDEV(D$5:D119)</f>
        <v>9.0826862952446182E-3</v>
      </c>
      <c r="G119" s="12">
        <f ca="1">Inputs!$B$17*E119+(1-Inputs!$B$17)*F119</f>
        <v>9.67394760096019E-3</v>
      </c>
    </row>
    <row r="120" spans="1:7" x14ac:dyDescent="0.25">
      <c r="A120" s="14">
        <v>117</v>
      </c>
      <c r="B120" s="15">
        <v>46034</v>
      </c>
      <c r="C120" s="10">
        <v>2654.11</v>
      </c>
      <c r="D120" s="12">
        <f t="shared" si="3"/>
        <v>-1.0051994360439465E-2</v>
      </c>
      <c r="E120" s="12">
        <f ca="1">STDEV(OFFSET(D120,-MIN(Inputs!$B$16-1,120-5),0,MIN(Inputs!$B$16,120-4+1),1))</f>
        <v>9.9860903688849499E-3</v>
      </c>
      <c r="F120" s="12">
        <f>STDEV(D$5:D120)</f>
        <v>9.1011900457740828E-3</v>
      </c>
      <c r="G120" s="12">
        <f ca="1">Inputs!$B$17*E120+(1-Inputs!$B$17)*F120</f>
        <v>9.7206202719516896E-3</v>
      </c>
    </row>
    <row r="121" spans="1:7" x14ac:dyDescent="0.25">
      <c r="A121" s="14">
        <v>118</v>
      </c>
      <c r="B121" s="15">
        <v>46035</v>
      </c>
      <c r="C121" s="10">
        <v>2644.09</v>
      </c>
      <c r="D121" s="12">
        <f t="shared" si="3"/>
        <v>-3.7752768347958376E-3</v>
      </c>
      <c r="E121" s="12">
        <f ca="1">STDEV(OFFSET(D121,-MIN(Inputs!$B$16-1,121-5),0,MIN(Inputs!$B$16,121-4+1),1))</f>
        <v>9.9866308873879338E-3</v>
      </c>
      <c r="F121" s="12">
        <f>STDEV(D$5:D121)</f>
        <v>9.072218059910089E-3</v>
      </c>
      <c r="G121" s="12">
        <f ca="1">Inputs!$B$17*E121+(1-Inputs!$B$17)*F121</f>
        <v>9.7123070391445798E-3</v>
      </c>
    </row>
    <row r="122" spans="1:7" x14ac:dyDescent="0.25">
      <c r="A122" s="14">
        <v>119</v>
      </c>
      <c r="B122" s="15">
        <v>46036</v>
      </c>
      <c r="C122" s="10">
        <v>2681.42</v>
      </c>
      <c r="D122" s="12">
        <f t="shared" si="3"/>
        <v>1.4118278878555435E-2</v>
      </c>
      <c r="E122" s="12">
        <f ca="1">STDEV(OFFSET(D122,-MIN(Inputs!$B$16-1,122-5),0,MIN(Inputs!$B$16,122-4+1),1))</f>
        <v>9.6053824668993169E-3</v>
      </c>
      <c r="F122" s="12">
        <f>STDEV(D$5:D122)</f>
        <v>9.1153349196860384E-3</v>
      </c>
      <c r="G122" s="12">
        <f ca="1">Inputs!$B$17*E122+(1-Inputs!$B$17)*F122</f>
        <v>9.4583682027353337E-3</v>
      </c>
    </row>
    <row r="123" spans="1:7" x14ac:dyDescent="0.25">
      <c r="A123" s="14">
        <v>120</v>
      </c>
      <c r="B123" s="15">
        <v>46037</v>
      </c>
      <c r="C123" s="10">
        <v>2670.79</v>
      </c>
      <c r="D123" s="12">
        <f t="shared" si="3"/>
        <v>-3.9643174139075699E-3</v>
      </c>
      <c r="E123" s="12">
        <f ca="1">STDEV(OFFSET(D123,-MIN(Inputs!$B$16-1,123-5),0,MIN(Inputs!$B$16,123-4+1),1))</f>
        <v>9.3764738041861341E-3</v>
      </c>
      <c r="F123" s="12">
        <f>STDEV(D$5:D123)</f>
        <v>9.087943790253834E-3</v>
      </c>
      <c r="G123" s="12">
        <f ca="1">Inputs!$B$17*E123+(1-Inputs!$B$17)*F123</f>
        <v>9.2899148000064428E-3</v>
      </c>
    </row>
    <row r="124" spans="1:7" x14ac:dyDescent="0.25">
      <c r="A124" s="14">
        <v>121</v>
      </c>
      <c r="B124" s="15">
        <v>46038</v>
      </c>
      <c r="C124" s="10">
        <v>2662.4</v>
      </c>
      <c r="D124" s="12">
        <f t="shared" si="3"/>
        <v>-3.1413926216586896E-3</v>
      </c>
      <c r="E124" s="12">
        <f ca="1">STDEV(OFFSET(D124,-MIN(Inputs!$B$16-1,124-5),0,MIN(Inputs!$B$16,124-4+1),1))</f>
        <v>9.3048970635266591E-3</v>
      </c>
      <c r="F124" s="12">
        <f>STDEV(D$5:D124)</f>
        <v>9.0573439460634869E-3</v>
      </c>
      <c r="G124" s="12">
        <f ca="1">Inputs!$B$17*E124+(1-Inputs!$B$17)*F124</f>
        <v>9.2306311282877064E-3</v>
      </c>
    </row>
    <row r="125" spans="1:7" x14ac:dyDescent="0.25">
      <c r="A125" s="14">
        <v>122</v>
      </c>
      <c r="B125" s="15">
        <v>46041</v>
      </c>
      <c r="C125" s="10">
        <v>2666.33</v>
      </c>
      <c r="D125" s="12">
        <f t="shared" si="3"/>
        <v>1.4761117788459899E-3</v>
      </c>
      <c r="E125" s="12">
        <f ca="1">STDEV(OFFSET(D125,-MIN(Inputs!$B$16-1,125-5),0,MIN(Inputs!$B$16,125-4+1),1))</f>
        <v>9.3025721271131102E-3</v>
      </c>
      <c r="F125" s="12">
        <f>STDEV(D$5:D125)</f>
        <v>9.0196751118789067E-3</v>
      </c>
      <c r="G125" s="12">
        <f ca="1">Inputs!$B$17*E125+(1-Inputs!$B$17)*F125</f>
        <v>9.2177030225428485E-3</v>
      </c>
    </row>
    <row r="126" spans="1:7" x14ac:dyDescent="0.25">
      <c r="A126" s="14">
        <v>123</v>
      </c>
      <c r="B126" s="15">
        <v>46042</v>
      </c>
      <c r="C126" s="10">
        <v>2634.57</v>
      </c>
      <c r="D126" s="12">
        <f t="shared" si="3"/>
        <v>-1.1911503827358061E-2</v>
      </c>
      <c r="E126" s="12">
        <f ca="1">STDEV(OFFSET(D126,-MIN(Inputs!$B$16-1,126-5),0,MIN(Inputs!$B$16,126-4+1),1))</f>
        <v>9.4512545738075146E-3</v>
      </c>
      <c r="F126" s="12">
        <f>STDEV(D$5:D126)</f>
        <v>9.0570274863688866E-3</v>
      </c>
      <c r="G126" s="12">
        <f ca="1">Inputs!$B$17*E126+(1-Inputs!$B$17)*F126</f>
        <v>9.3329864475759257E-3</v>
      </c>
    </row>
    <row r="127" spans="1:7" x14ac:dyDescent="0.25">
      <c r="A127" s="14">
        <v>124</v>
      </c>
      <c r="B127" s="15">
        <v>46043</v>
      </c>
      <c r="C127" s="10">
        <v>2641.68</v>
      </c>
      <c r="D127" s="12">
        <f t="shared" si="3"/>
        <v>2.6987326205034634E-3</v>
      </c>
      <c r="E127" s="12">
        <f ca="1">STDEV(OFFSET(D127,-MIN(Inputs!$B$16-1,127-5),0,MIN(Inputs!$B$16,127-4+1),1))</f>
        <v>9.4451124791065551E-3</v>
      </c>
      <c r="F127" s="12">
        <f>STDEV(D$5:D127)</f>
        <v>9.0214476484792878E-3</v>
      </c>
      <c r="G127" s="12">
        <f ca="1">Inputs!$B$17*E127+(1-Inputs!$B$17)*F127</f>
        <v>9.3180130299183751E-3</v>
      </c>
    </row>
    <row r="128" spans="1:7" x14ac:dyDescent="0.25">
      <c r="A128" s="14">
        <v>125</v>
      </c>
      <c r="B128" s="15">
        <v>46044</v>
      </c>
      <c r="C128" s="10">
        <v>2611.0500000000002</v>
      </c>
      <c r="D128" s="12">
        <f t="shared" si="3"/>
        <v>-1.1594894158262758E-2</v>
      </c>
      <c r="E128" s="12">
        <f ca="1">STDEV(OFFSET(D128,-MIN(Inputs!$B$16-1,128-5),0,MIN(Inputs!$B$16,128-4+1),1))</f>
        <v>9.6982643539761937E-3</v>
      </c>
      <c r="F128" s="12">
        <f>STDEV(D$5:D128)</f>
        <v>9.0536162129829598E-3</v>
      </c>
      <c r="G128" s="12">
        <f ca="1">Inputs!$B$17*E128+(1-Inputs!$B$17)*F128</f>
        <v>9.5048699116782234E-3</v>
      </c>
    </row>
    <row r="129" spans="1:7" x14ac:dyDescent="0.25">
      <c r="A129" s="14">
        <v>126</v>
      </c>
      <c r="B129" s="15">
        <v>46045</v>
      </c>
      <c r="C129" s="10">
        <v>2635.47</v>
      </c>
      <c r="D129" s="12">
        <f t="shared" si="3"/>
        <v>9.3525593152179454E-3</v>
      </c>
      <c r="E129" s="12">
        <f ca="1">STDEV(OFFSET(D129,-MIN(Inputs!$B$16-1,129-5),0,MIN(Inputs!$B$16,129-4+1),1))</f>
        <v>9.7988067675780829E-3</v>
      </c>
      <c r="F129" s="12">
        <f>STDEV(D$5:D129)</f>
        <v>9.0500286760516573E-3</v>
      </c>
      <c r="G129" s="12">
        <f ca="1">Inputs!$B$17*E129+(1-Inputs!$B$17)*F129</f>
        <v>9.5741733401201561E-3</v>
      </c>
    </row>
    <row r="130" spans="1:7" x14ac:dyDescent="0.25">
      <c r="A130" s="14">
        <v>127</v>
      </c>
      <c r="B130" s="15">
        <v>46048</v>
      </c>
      <c r="C130" s="10">
        <v>2636.87</v>
      </c>
      <c r="D130" s="12">
        <f t="shared" si="3"/>
        <v>5.3121454617199859E-4</v>
      </c>
      <c r="E130" s="12">
        <f ca="1">STDEV(OFFSET(D130,-MIN(Inputs!$B$16-1,130-5),0,MIN(Inputs!$B$16,130-4+1),1))</f>
        <v>9.6803786524411756E-3</v>
      </c>
      <c r="F130" s="12">
        <f>STDEV(D$5:D130)</f>
        <v>9.0137852768158097E-3</v>
      </c>
      <c r="G130" s="12">
        <f ca="1">Inputs!$B$17*E130+(1-Inputs!$B$17)*F130</f>
        <v>9.480400639753566E-3</v>
      </c>
    </row>
    <row r="131" spans="1:7" x14ac:dyDescent="0.25">
      <c r="A131" s="14">
        <v>128</v>
      </c>
      <c r="B131" s="15">
        <v>46049</v>
      </c>
      <c r="C131" s="10">
        <v>2698.4</v>
      </c>
      <c r="D131" s="12">
        <f t="shared" si="3"/>
        <v>2.3334483687098784E-2</v>
      </c>
      <c r="E131" s="12">
        <f ca="1">STDEV(OFFSET(D131,-MIN(Inputs!$B$16-1,131-5),0,MIN(Inputs!$B$16,131-4+1),1))</f>
        <v>1.0327703040637071E-2</v>
      </c>
      <c r="F131" s="12">
        <f>STDEV(D$5:D131)</f>
        <v>9.1981705950832191E-3</v>
      </c>
      <c r="G131" s="12">
        <f ca="1">Inputs!$B$17*E131+(1-Inputs!$B$17)*F131</f>
        <v>9.9888433069709147E-3</v>
      </c>
    </row>
    <row r="132" spans="1:7" x14ac:dyDescent="0.25">
      <c r="A132" s="14">
        <v>129</v>
      </c>
      <c r="B132" s="15">
        <v>46050</v>
      </c>
      <c r="C132" s="10">
        <v>2707.33</v>
      </c>
      <c r="D132" s="12">
        <f t="shared" si="3"/>
        <v>3.3093685146752261E-3</v>
      </c>
      <c r="E132" s="12">
        <f ca="1">STDEV(OFFSET(D132,-MIN(Inputs!$B$16-1,132-5),0,MIN(Inputs!$B$16,132-4+1),1))</f>
        <v>1.0332148290917375E-2</v>
      </c>
      <c r="F132" s="12">
        <f>STDEV(D$5:D132)</f>
        <v>9.1642284562533007E-3</v>
      </c>
      <c r="G132" s="12">
        <f ca="1">Inputs!$B$17*E132+(1-Inputs!$B$17)*F132</f>
        <v>9.9817723405181517E-3</v>
      </c>
    </row>
    <row r="133" spans="1:7" x14ac:dyDescent="0.25">
      <c r="A133" s="14">
        <v>130</v>
      </c>
      <c r="B133" s="15">
        <v>46051</v>
      </c>
      <c r="C133" s="10">
        <v>2745.65</v>
      </c>
      <c r="D133" s="12">
        <f t="shared" ref="D133:D164" si="4">C133/C132-1</f>
        <v>1.4154166651276334E-2</v>
      </c>
      <c r="E133" s="12">
        <f ca="1">STDEV(OFFSET(D133,-MIN(Inputs!$B$16-1,133-5),0,MIN(Inputs!$B$16,133-4+1),1))</f>
        <v>1.0314923557169949E-2</v>
      </c>
      <c r="F133" s="12">
        <f>STDEV(D$5:D133)</f>
        <v>9.2017212682822848E-3</v>
      </c>
      <c r="G133" s="12">
        <f ca="1">Inputs!$B$17*E133+(1-Inputs!$B$17)*F133</f>
        <v>9.9809628705036495E-3</v>
      </c>
    </row>
    <row r="134" spans="1:7" x14ac:dyDescent="0.25">
      <c r="A134" s="14">
        <v>131</v>
      </c>
      <c r="B134" s="15">
        <v>46052</v>
      </c>
      <c r="C134" s="10">
        <v>2711.24</v>
      </c>
      <c r="D134" s="12">
        <f t="shared" si="4"/>
        <v>-1.2532551490539667E-2</v>
      </c>
      <c r="E134" s="12">
        <f ca="1">STDEV(OFFSET(D134,-MIN(Inputs!$B$16-1,134-5),0,MIN(Inputs!$B$16,134-4+1),1))</f>
        <v>1.0553397660557759E-2</v>
      </c>
      <c r="F134" s="12">
        <f>STDEV(D$5:D134)</f>
        <v>9.2434769503041848E-3</v>
      </c>
      <c r="G134" s="12">
        <f ca="1">Inputs!$B$17*E134+(1-Inputs!$B$17)*F134</f>
        <v>1.0160421447481686E-2</v>
      </c>
    </row>
    <row r="135" spans="1:7" x14ac:dyDescent="0.25">
      <c r="A135" s="14">
        <v>132</v>
      </c>
      <c r="B135" s="15">
        <v>46055</v>
      </c>
      <c r="C135" s="10">
        <v>2709.29</v>
      </c>
      <c r="D135" s="12">
        <f t="shared" si="4"/>
        <v>-7.1922810227043055E-4</v>
      </c>
      <c r="E135" s="12">
        <f ca="1">STDEV(OFFSET(D135,-MIN(Inputs!$B$16-1,135-5),0,MIN(Inputs!$B$16,135-4+1),1))</f>
        <v>1.0557869624410743E-2</v>
      </c>
      <c r="F135" s="12">
        <f>STDEV(D$5:D135)</f>
        <v>9.2090544011050237E-3</v>
      </c>
      <c r="G135" s="12">
        <f ca="1">Inputs!$B$17*E135+(1-Inputs!$B$17)*F135</f>
        <v>1.0153225057419026E-2</v>
      </c>
    </row>
    <row r="136" spans="1:7" x14ac:dyDescent="0.25">
      <c r="A136" s="14">
        <v>133</v>
      </c>
      <c r="B136" s="15">
        <v>46056</v>
      </c>
      <c r="C136" s="10">
        <v>2719.4</v>
      </c>
      <c r="D136" s="12">
        <f t="shared" si="4"/>
        <v>3.7316049592328593E-3</v>
      </c>
      <c r="E136" s="12">
        <f ca="1">STDEV(OFFSET(D136,-MIN(Inputs!$B$16-1,136-5),0,MIN(Inputs!$B$16,136-4+1),1))</f>
        <v>1.0423593746647641E-2</v>
      </c>
      <c r="F136" s="12">
        <f>STDEV(D$5:D136)</f>
        <v>9.1769913815919254E-3</v>
      </c>
      <c r="G136" s="12">
        <f ca="1">Inputs!$B$17*E136+(1-Inputs!$B$17)*F136</f>
        <v>1.0049613037130926E-2</v>
      </c>
    </row>
    <row r="137" spans="1:7" x14ac:dyDescent="0.25">
      <c r="A137" s="14">
        <v>134</v>
      </c>
      <c r="B137" s="15">
        <v>46057</v>
      </c>
      <c r="C137" s="10">
        <v>2768.23</v>
      </c>
      <c r="D137" s="12">
        <f t="shared" si="4"/>
        <v>1.7956166801500251E-2</v>
      </c>
      <c r="E137" s="12">
        <f ca="1">STDEV(OFFSET(D137,-MIN(Inputs!$B$16-1,137-5),0,MIN(Inputs!$B$16,137-4+1),1))</f>
        <v>1.0785900367989411E-2</v>
      </c>
      <c r="F137" s="12">
        <f>STDEV(D$5:D137)</f>
        <v>9.2597931150488234E-3</v>
      </c>
      <c r="G137" s="12">
        <f ca="1">Inputs!$B$17*E137+(1-Inputs!$B$17)*F137</f>
        <v>1.0328068192107236E-2</v>
      </c>
    </row>
    <row r="138" spans="1:7" x14ac:dyDescent="0.25">
      <c r="A138" s="14">
        <v>135</v>
      </c>
      <c r="B138" s="15">
        <v>46058</v>
      </c>
      <c r="C138" s="10">
        <v>2723.08</v>
      </c>
      <c r="D138" s="12">
        <f t="shared" si="4"/>
        <v>-1.631006094146803E-2</v>
      </c>
      <c r="E138" s="12">
        <f ca="1">STDEV(OFFSET(D138,-MIN(Inputs!$B$16-1,138-5),0,MIN(Inputs!$B$16,138-4+1),1))</f>
        <v>1.0798672766500445E-2</v>
      </c>
      <c r="F138" s="12">
        <f>STDEV(D$5:D138)</f>
        <v>9.3469429931503905E-3</v>
      </c>
      <c r="G138" s="12">
        <f ca="1">Inputs!$B$17*E138+(1-Inputs!$B$17)*F138</f>
        <v>1.0363153834495429E-2</v>
      </c>
    </row>
    <row r="139" spans="1:7" x14ac:dyDescent="0.25">
      <c r="A139" s="14">
        <v>136</v>
      </c>
      <c r="B139" s="15">
        <v>46059</v>
      </c>
      <c r="C139" s="10">
        <v>2751.42</v>
      </c>
      <c r="D139" s="12">
        <f t="shared" si="4"/>
        <v>1.0407332873070274E-2</v>
      </c>
      <c r="E139" s="12">
        <f ca="1">STDEV(OFFSET(D139,-MIN(Inputs!$B$16-1,139-5),0,MIN(Inputs!$B$16,139-4+1),1))</f>
        <v>1.0877103533015945E-2</v>
      </c>
      <c r="F139" s="12">
        <f>STDEV(D$5:D139)</f>
        <v>9.3472356837114405E-3</v>
      </c>
      <c r="G139" s="12">
        <f ca="1">Inputs!$B$17*E139+(1-Inputs!$B$17)*F139</f>
        <v>1.0418143178224593E-2</v>
      </c>
    </row>
    <row r="140" spans="1:7" x14ac:dyDescent="0.25">
      <c r="A140" s="14">
        <v>137</v>
      </c>
      <c r="B140" s="15">
        <v>46062</v>
      </c>
      <c r="C140" s="10">
        <v>2769.07</v>
      </c>
      <c r="D140" s="12">
        <f t="shared" si="4"/>
        <v>6.4148694128849382E-3</v>
      </c>
      <c r="E140" s="12">
        <f ca="1">STDEV(OFFSET(D140,-MIN(Inputs!$B$16-1,140-5),0,MIN(Inputs!$B$16,140-4+1),1))</f>
        <v>1.0647665981289875E-2</v>
      </c>
      <c r="F140" s="12">
        <f>STDEV(D$5:D140)</f>
        <v>9.3238819954752344E-3</v>
      </c>
      <c r="G140" s="12">
        <f ca="1">Inputs!$B$17*E140+(1-Inputs!$B$17)*F140</f>
        <v>1.0250530785545484E-2</v>
      </c>
    </row>
    <row r="141" spans="1:7" x14ac:dyDescent="0.25">
      <c r="A141" s="14">
        <v>138</v>
      </c>
      <c r="B141" s="15">
        <v>46063</v>
      </c>
      <c r="C141" s="10">
        <v>2812.91</v>
      </c>
      <c r="D141" s="12">
        <f t="shared" si="4"/>
        <v>1.5832030248422724E-2</v>
      </c>
      <c r="E141" s="12">
        <f ca="1">STDEV(OFFSET(D141,-MIN(Inputs!$B$16-1,141-5),0,MIN(Inputs!$B$16,141-4+1),1))</f>
        <v>1.0936775494543789E-2</v>
      </c>
      <c r="F141" s="12">
        <f>STDEV(D$5:D141)</f>
        <v>9.3744707327017198E-3</v>
      </c>
      <c r="G141" s="12">
        <f ca="1">Inputs!$B$17*E141+(1-Inputs!$B$17)*F141</f>
        <v>1.0468084065991168E-2</v>
      </c>
    </row>
    <row r="142" spans="1:7" x14ac:dyDescent="0.25">
      <c r="A142" s="14">
        <v>139</v>
      </c>
      <c r="B142" s="15">
        <v>46064</v>
      </c>
      <c r="C142" s="10">
        <v>2834.36</v>
      </c>
      <c r="D142" s="12">
        <f t="shared" si="4"/>
        <v>7.6255550302002373E-3</v>
      </c>
      <c r="E142" s="12">
        <f ca="1">STDEV(OFFSET(D142,-MIN(Inputs!$B$16-1,142-5),0,MIN(Inputs!$B$16,142-4+1),1))</f>
        <v>1.0906665684614267E-2</v>
      </c>
      <c r="F142" s="12">
        <f>STDEV(D$5:D142)</f>
        <v>9.3561818850097598E-3</v>
      </c>
      <c r="G142" s="12">
        <f ca="1">Inputs!$B$17*E142+(1-Inputs!$B$17)*F142</f>
        <v>1.0441520544732914E-2</v>
      </c>
    </row>
    <row r="143" spans="1:7" x14ac:dyDescent="0.25">
      <c r="A143" s="14">
        <v>140</v>
      </c>
      <c r="B143" s="15">
        <v>46065</v>
      </c>
      <c r="C143" s="10">
        <v>2837.25</v>
      </c>
      <c r="D143" s="12">
        <f t="shared" si="4"/>
        <v>1.0196305338769918E-3</v>
      </c>
      <c r="E143" s="12">
        <f ca="1">STDEV(OFFSET(D143,-MIN(Inputs!$B$16-1,143-5),0,MIN(Inputs!$B$16,143-4+1),1))</f>
        <v>1.0635763727089572E-2</v>
      </c>
      <c r="F143" s="12">
        <f>STDEV(D$5:D143)</f>
        <v>9.3222414447501119E-3</v>
      </c>
      <c r="G143" s="12">
        <f ca="1">Inputs!$B$17*E143+(1-Inputs!$B$17)*F143</f>
        <v>1.0241707042387735E-2</v>
      </c>
    </row>
    <row r="144" spans="1:7" x14ac:dyDescent="0.25">
      <c r="A144" s="14">
        <v>141</v>
      </c>
      <c r="B144" s="15">
        <v>46066</v>
      </c>
      <c r="C144" s="10">
        <v>2823.87</v>
      </c>
      <c r="D144" s="12">
        <f t="shared" si="4"/>
        <v>-4.7158339941845151E-3</v>
      </c>
      <c r="E144" s="12">
        <f ca="1">STDEV(OFFSET(D144,-MIN(Inputs!$B$16-1,144-5),0,MIN(Inputs!$B$16,144-4+1),1))</f>
        <v>1.0673654127158323E-2</v>
      </c>
      <c r="F144" s="12">
        <f>STDEV(D$5:D144)</f>
        <v>9.3023127305410878E-3</v>
      </c>
      <c r="G144" s="12">
        <f ca="1">Inputs!$B$17*E144+(1-Inputs!$B$17)*F144</f>
        <v>1.0262251708173152E-2</v>
      </c>
    </row>
    <row r="145" spans="1:7" x14ac:dyDescent="0.25">
      <c r="A145" s="14">
        <v>142</v>
      </c>
      <c r="B145" s="15">
        <v>46069</v>
      </c>
      <c r="C145" s="10">
        <v>2790.04</v>
      </c>
      <c r="D145" s="12">
        <f t="shared" si="4"/>
        <v>-1.1980013244235699E-2</v>
      </c>
      <c r="E145" s="12">
        <f ca="1">STDEV(OFFSET(D145,-MIN(Inputs!$B$16-1,145-5),0,MIN(Inputs!$B$16,145-4+1),1))</f>
        <v>1.0747930407932177E-2</v>
      </c>
      <c r="F145" s="12">
        <f>STDEV(D$5:D145)</f>
        <v>9.3353056703914528E-3</v>
      </c>
      <c r="G145" s="12">
        <f ca="1">Inputs!$B$17*E145+(1-Inputs!$B$17)*F145</f>
        <v>1.0324142986669959E-2</v>
      </c>
    </row>
    <row r="146" spans="1:7" x14ac:dyDescent="0.25">
      <c r="A146" s="14">
        <v>143</v>
      </c>
      <c r="B146" s="15">
        <v>46070</v>
      </c>
      <c r="C146" s="10">
        <v>2796.88</v>
      </c>
      <c r="D146" s="12">
        <f t="shared" si="4"/>
        <v>2.4515777551576967E-3</v>
      </c>
      <c r="E146" s="12">
        <f ca="1">STDEV(OFFSET(D146,-MIN(Inputs!$B$16-1,146-5),0,MIN(Inputs!$B$16,146-4+1),1))</f>
        <v>1.0700122335989316E-2</v>
      </c>
      <c r="F146" s="12">
        <f>STDEV(D$5:D146)</f>
        <v>9.3028222593572341E-3</v>
      </c>
      <c r="G146" s="12">
        <f ca="1">Inputs!$B$17*E146+(1-Inputs!$B$17)*F146</f>
        <v>1.0280932312999692E-2</v>
      </c>
    </row>
    <row r="147" spans="1:7" x14ac:dyDescent="0.25">
      <c r="A147" s="14">
        <v>144</v>
      </c>
      <c r="B147" s="15">
        <v>46071</v>
      </c>
      <c r="C147" s="10">
        <v>2792.92</v>
      </c>
      <c r="D147" s="12">
        <f t="shared" si="4"/>
        <v>-1.4158633906352636E-3</v>
      </c>
      <c r="E147" s="12">
        <f ca="1">STDEV(OFFSET(D147,-MIN(Inputs!$B$16-1,147-5),0,MIN(Inputs!$B$16,147-4+1),1))</f>
        <v>1.0676255334737633E-2</v>
      </c>
      <c r="F147" s="12">
        <f>STDEV(D$5:D147)</f>
        <v>9.2724355795521986E-3</v>
      </c>
      <c r="G147" s="12">
        <f ca="1">Inputs!$B$17*E147+(1-Inputs!$B$17)*F147</f>
        <v>1.0255109408182002E-2</v>
      </c>
    </row>
    <row r="148" spans="1:7" x14ac:dyDescent="0.25">
      <c r="A148" s="14">
        <v>145</v>
      </c>
      <c r="B148" s="15">
        <v>46072</v>
      </c>
      <c r="C148" s="10">
        <v>2850.74</v>
      </c>
      <c r="D148" s="12">
        <f t="shared" si="4"/>
        <v>2.0702347364049078E-2</v>
      </c>
      <c r="E148" s="12">
        <f ca="1">STDEV(OFFSET(D148,-MIN(Inputs!$B$16-1,148-5),0,MIN(Inputs!$B$16,148-4+1),1))</f>
        <v>1.0211298572200361E-2</v>
      </c>
      <c r="F148" s="12">
        <f>STDEV(D$5:D148)</f>
        <v>9.3831911676008975E-3</v>
      </c>
      <c r="G148" s="12">
        <f ca="1">Inputs!$B$17*E148+(1-Inputs!$B$17)*F148</f>
        <v>9.962866350820521E-3</v>
      </c>
    </row>
    <row r="149" spans="1:7" x14ac:dyDescent="0.25">
      <c r="A149" s="14">
        <v>146</v>
      </c>
      <c r="B149" s="15">
        <v>46073</v>
      </c>
      <c r="C149" s="10">
        <v>2834.75</v>
      </c>
      <c r="D149" s="12">
        <f t="shared" si="4"/>
        <v>-5.6090699257034249E-3</v>
      </c>
      <c r="E149" s="12">
        <f ca="1">STDEV(OFFSET(D149,-MIN(Inputs!$B$16-1,149-5),0,MIN(Inputs!$B$16,149-4+1),1))</f>
        <v>1.0274461751479962E-2</v>
      </c>
      <c r="F149" s="12">
        <f>STDEV(D$5:D149)</f>
        <v>9.367835253453841E-3</v>
      </c>
      <c r="G149" s="12">
        <f ca="1">Inputs!$B$17*E149+(1-Inputs!$B$17)*F149</f>
        <v>1.0002473802072125E-2</v>
      </c>
    </row>
    <row r="150" spans="1:7" x14ac:dyDescent="0.25">
      <c r="A150" s="14">
        <v>147</v>
      </c>
      <c r="B150" s="15">
        <v>46076</v>
      </c>
      <c r="C150" s="10">
        <v>2845.25</v>
      </c>
      <c r="D150" s="12">
        <f t="shared" si="4"/>
        <v>3.7040303377722239E-3</v>
      </c>
      <c r="E150" s="12">
        <f ca="1">STDEV(OFFSET(D150,-MIN(Inputs!$B$16-1,150-5),0,MIN(Inputs!$B$16,150-4+1),1))</f>
        <v>1.0254964443210704E-2</v>
      </c>
      <c r="F150" s="12">
        <f>STDEV(D$5:D150)</f>
        <v>9.3377903796790784E-3</v>
      </c>
      <c r="G150" s="12">
        <f ca="1">Inputs!$B$17*E150+(1-Inputs!$B$17)*F150</f>
        <v>9.979812224151216E-3</v>
      </c>
    </row>
    <row r="151" spans="1:7" x14ac:dyDescent="0.25">
      <c r="A151" s="14">
        <v>148</v>
      </c>
      <c r="B151" s="15">
        <v>46077</v>
      </c>
      <c r="C151" s="10">
        <v>2802.03</v>
      </c>
      <c r="D151" s="12">
        <f t="shared" si="4"/>
        <v>-1.5190229329584359E-2</v>
      </c>
      <c r="E151" s="12">
        <f ca="1">STDEV(OFFSET(D151,-MIN(Inputs!$B$16-1,151-5),0,MIN(Inputs!$B$16,151-4+1),1))</f>
        <v>1.0597265920113289E-2</v>
      </c>
      <c r="F151" s="12">
        <f>STDEV(D$5:D151)</f>
        <v>9.4035486319871704E-3</v>
      </c>
      <c r="G151" s="12">
        <f ca="1">Inputs!$B$17*E151+(1-Inputs!$B$17)*F151</f>
        <v>1.0239150733675454E-2</v>
      </c>
    </row>
    <row r="152" spans="1:7" x14ac:dyDescent="0.25">
      <c r="A152" s="14">
        <v>149</v>
      </c>
      <c r="B152" s="15">
        <v>46078</v>
      </c>
      <c r="C152" s="10">
        <v>2792.35</v>
      </c>
      <c r="D152" s="12">
        <f t="shared" si="4"/>
        <v>-3.4546382444157198E-3</v>
      </c>
      <c r="E152" s="12">
        <f ca="1">STDEV(OFFSET(D152,-MIN(Inputs!$B$16-1,152-5),0,MIN(Inputs!$B$16,152-4+1),1))</f>
        <v>1.055654967358813E-2</v>
      </c>
      <c r="F152" s="12">
        <f>STDEV(D$5:D152)</f>
        <v>9.3789780923346083E-3</v>
      </c>
      <c r="G152" s="12">
        <f ca="1">Inputs!$B$17*E152+(1-Inputs!$B$17)*F152</f>
        <v>1.0203278199212074E-2</v>
      </c>
    </row>
    <row r="153" spans="1:7" x14ac:dyDescent="0.25">
      <c r="A153" s="14">
        <v>150</v>
      </c>
      <c r="B153" s="15">
        <v>46079</v>
      </c>
      <c r="C153" s="10">
        <v>2801.04</v>
      </c>
      <c r="D153" s="12">
        <f t="shared" si="4"/>
        <v>3.1120740594838825E-3</v>
      </c>
      <c r="E153" s="12">
        <f ca="1">STDEV(OFFSET(D153,-MIN(Inputs!$B$16-1,153-5),0,MIN(Inputs!$B$16,153-4+1),1))</f>
        <v>1.0556725880788369E-2</v>
      </c>
      <c r="F153" s="12">
        <f>STDEV(D$5:D153)</f>
        <v>9.348739619648043E-3</v>
      </c>
      <c r="G153" s="12">
        <f ca="1">Inputs!$B$17*E153+(1-Inputs!$B$17)*F153</f>
        <v>1.019433000244627E-2</v>
      </c>
    </row>
    <row r="154" spans="1:7" x14ac:dyDescent="0.25">
      <c r="A154" s="14">
        <v>151</v>
      </c>
      <c r="B154" s="15">
        <v>46080</v>
      </c>
      <c r="C154" s="10">
        <v>2825.52</v>
      </c>
      <c r="D154" s="12">
        <f t="shared" si="4"/>
        <v>8.7396110016280115E-3</v>
      </c>
      <c r="E154" s="12">
        <f ca="1">STDEV(OFFSET(D154,-MIN(Inputs!$B$16-1,154-5),0,MIN(Inputs!$B$16,154-4+1),1))</f>
        <v>1.0262465907486482E-2</v>
      </c>
      <c r="F154" s="12">
        <f>STDEV(D$5:D154)</f>
        <v>9.3382756757921532E-3</v>
      </c>
      <c r="G154" s="12">
        <f ca="1">Inputs!$B$17*E154+(1-Inputs!$B$17)*F154</f>
        <v>9.985208837978184E-3</v>
      </c>
    </row>
    <row r="155" spans="1:7" x14ac:dyDescent="0.25">
      <c r="A155" s="14">
        <v>152</v>
      </c>
      <c r="B155" s="15">
        <v>46083</v>
      </c>
      <c r="C155" s="10">
        <v>2867.85</v>
      </c>
      <c r="D155" s="12">
        <f t="shared" si="4"/>
        <v>1.4981313174212252E-2</v>
      </c>
      <c r="E155" s="12">
        <f ca="1">STDEV(OFFSET(D155,-MIN(Inputs!$B$16-1,155-5),0,MIN(Inputs!$B$16,155-4+1),1))</f>
        <v>1.0302240850593961E-2</v>
      </c>
      <c r="F155" s="12">
        <f>STDEV(D$5:D155)</f>
        <v>9.3750866750684746E-3</v>
      </c>
      <c r="G155" s="12">
        <f ca="1">Inputs!$B$17*E155+(1-Inputs!$B$17)*F155</f>
        <v>1.0024094597936316E-2</v>
      </c>
    </row>
    <row r="156" spans="1:7" x14ac:dyDescent="0.25">
      <c r="A156" s="14">
        <v>153</v>
      </c>
      <c r="B156" s="15">
        <v>46084</v>
      </c>
      <c r="C156" s="10">
        <v>2868.01</v>
      </c>
      <c r="D156" s="12">
        <f t="shared" si="4"/>
        <v>5.5790923514154045E-5</v>
      </c>
      <c r="E156" s="12">
        <f ca="1">STDEV(OFFSET(D156,-MIN(Inputs!$B$16-1,156-5),0,MIN(Inputs!$B$16,156-4+1),1))</f>
        <v>1.0256407101203267E-2</v>
      </c>
      <c r="F156" s="12">
        <f>STDEV(D$5:D156)</f>
        <v>9.3444720016630286E-3</v>
      </c>
      <c r="G156" s="12">
        <f ca="1">Inputs!$B$17*E156+(1-Inputs!$B$17)*F156</f>
        <v>9.982826571341195E-3</v>
      </c>
    </row>
    <row r="157" spans="1:7" x14ac:dyDescent="0.25">
      <c r="A157" s="14">
        <v>154</v>
      </c>
      <c r="B157" s="15">
        <v>46085</v>
      </c>
      <c r="C157" s="10">
        <v>2837.4</v>
      </c>
      <c r="D157" s="12">
        <f t="shared" si="4"/>
        <v>-1.0672905603536953E-2</v>
      </c>
      <c r="E157" s="12">
        <f ca="1">STDEV(OFFSET(D157,-MIN(Inputs!$B$16-1,157-5),0,MIN(Inputs!$B$16,157-4+1),1))</f>
        <v>1.0277671397299454E-2</v>
      </c>
      <c r="F157" s="12">
        <f>STDEV(D$5:D157)</f>
        <v>9.3631475193201707E-3</v>
      </c>
      <c r="G157" s="12">
        <f ca="1">Inputs!$B$17*E157+(1-Inputs!$B$17)*F157</f>
        <v>1.0003314233905668E-2</v>
      </c>
    </row>
    <row r="158" spans="1:7" x14ac:dyDescent="0.25">
      <c r="A158" s="14">
        <v>155</v>
      </c>
      <c r="B158" s="15">
        <v>46086</v>
      </c>
      <c r="C158" s="10">
        <v>2851.81</v>
      </c>
      <c r="D158" s="12">
        <f t="shared" si="4"/>
        <v>5.0785930781700461E-3</v>
      </c>
      <c r="E158" s="12">
        <f ca="1">STDEV(OFFSET(D158,-MIN(Inputs!$B$16-1,158-5),0,MIN(Inputs!$B$16,158-4+1),1))</f>
        <v>1.024553236166314E-2</v>
      </c>
      <c r="F158" s="12">
        <f>STDEV(D$5:D158)</f>
        <v>9.3378985030025188E-3</v>
      </c>
      <c r="G158" s="12">
        <f ca="1">Inputs!$B$17*E158+(1-Inputs!$B$17)*F158</f>
        <v>9.9732422040649527E-3</v>
      </c>
    </row>
    <row r="159" spans="1:7" x14ac:dyDescent="0.25">
      <c r="A159" s="14">
        <v>156</v>
      </c>
      <c r="B159" s="15">
        <v>46087</v>
      </c>
      <c r="C159" s="10">
        <v>2867.98</v>
      </c>
      <c r="D159" s="12">
        <f t="shared" si="4"/>
        <v>5.670083210312038E-3</v>
      </c>
      <c r="E159" s="12">
        <f ca="1">STDEV(OFFSET(D159,-MIN(Inputs!$B$16-1,159-5),0,MIN(Inputs!$B$16,159-4+1),1))</f>
        <v>1.0225584337471106E-2</v>
      </c>
      <c r="F159" s="12">
        <f>STDEV(D$5:D159)</f>
        <v>9.3145659845126315E-3</v>
      </c>
      <c r="G159" s="12">
        <f ca="1">Inputs!$B$17*E159+(1-Inputs!$B$17)*F159</f>
        <v>9.9522788315835643E-3</v>
      </c>
    </row>
    <row r="160" spans="1:7" x14ac:dyDescent="0.25">
      <c r="A160" s="14">
        <v>157</v>
      </c>
      <c r="B160" s="15">
        <v>46090</v>
      </c>
      <c r="C160" s="10">
        <v>2883.52</v>
      </c>
      <c r="D160" s="12">
        <f t="shared" si="4"/>
        <v>5.4184478273906489E-3</v>
      </c>
      <c r="E160" s="12">
        <f ca="1">STDEV(OFFSET(D160,-MIN(Inputs!$B$16-1,160-5),0,MIN(Inputs!$B$16,160-4+1),1))</f>
        <v>1.0239328441582827E-2</v>
      </c>
      <c r="F160" s="12">
        <f>STDEV(D$5:D160)</f>
        <v>9.2906318375999674E-3</v>
      </c>
      <c r="G160" s="12">
        <f ca="1">Inputs!$B$17*E160+(1-Inputs!$B$17)*F160</f>
        <v>9.9547194603879681E-3</v>
      </c>
    </row>
    <row r="161" spans="1:7" x14ac:dyDescent="0.25">
      <c r="A161" s="14">
        <v>158</v>
      </c>
      <c r="B161" s="15">
        <v>46091</v>
      </c>
      <c r="C161" s="10">
        <v>2864.77</v>
      </c>
      <c r="D161" s="12">
        <f t="shared" si="4"/>
        <v>-6.5024692043058607E-3</v>
      </c>
      <c r="E161" s="12">
        <f ca="1">STDEV(OFFSET(D161,-MIN(Inputs!$B$16-1,161-5),0,MIN(Inputs!$B$16,161-4+1),1))</f>
        <v>1.005787956209375E-2</v>
      </c>
      <c r="F161" s="12">
        <f>STDEV(D$5:D161)</f>
        <v>9.2812927517504206E-3</v>
      </c>
      <c r="G161" s="12">
        <f ca="1">Inputs!$B$17*E161+(1-Inputs!$B$17)*F161</f>
        <v>9.8249035189907526E-3</v>
      </c>
    </row>
    <row r="162" spans="1:7" x14ac:dyDescent="0.25">
      <c r="A162" s="14">
        <v>159</v>
      </c>
      <c r="B162" s="15">
        <v>46092</v>
      </c>
      <c r="C162" s="10">
        <v>2898.67</v>
      </c>
      <c r="D162" s="12">
        <f t="shared" si="4"/>
        <v>1.183341071010946E-2</v>
      </c>
      <c r="E162" s="12">
        <f ca="1">STDEV(OFFSET(D162,-MIN(Inputs!$B$16-1,162-5),0,MIN(Inputs!$B$16,162-4+1),1))</f>
        <v>1.0182397159398312E-2</v>
      </c>
      <c r="F162" s="12">
        <f>STDEV(D$5:D162)</f>
        <v>9.2904932759609905E-3</v>
      </c>
      <c r="G162" s="12">
        <f ca="1">Inputs!$B$17*E162+(1-Inputs!$B$17)*F162</f>
        <v>9.9148259943671151E-3</v>
      </c>
    </row>
    <row r="163" spans="1:7" x14ac:dyDescent="0.25">
      <c r="A163" s="14">
        <v>160</v>
      </c>
      <c r="B163" s="15">
        <v>46093</v>
      </c>
      <c r="C163" s="10">
        <v>2902.67</v>
      </c>
      <c r="D163" s="12">
        <f t="shared" si="4"/>
        <v>1.379943215336743E-3</v>
      </c>
      <c r="E163" s="12">
        <f ca="1">STDEV(OFFSET(D163,-MIN(Inputs!$B$16-1,163-5),0,MIN(Inputs!$B$16,163-4+1),1))</f>
        <v>9.8780622285102506E-3</v>
      </c>
      <c r="F163" s="12">
        <f>STDEV(D$5:D163)</f>
        <v>9.2610531153163415E-3</v>
      </c>
      <c r="G163" s="12">
        <f ca="1">Inputs!$B$17*E163+(1-Inputs!$B$17)*F163</f>
        <v>9.6929594945520774E-3</v>
      </c>
    </row>
    <row r="164" spans="1:7" x14ac:dyDescent="0.25">
      <c r="A164" s="14">
        <v>161</v>
      </c>
      <c r="B164" s="15">
        <v>46094</v>
      </c>
      <c r="C164" s="10">
        <v>2924.43</v>
      </c>
      <c r="D164" s="12">
        <f t="shared" si="4"/>
        <v>7.4965462832494723E-3</v>
      </c>
      <c r="E164" s="12">
        <f ca="1">STDEV(OFFSET(D164,-MIN(Inputs!$B$16-1,164-5),0,MIN(Inputs!$B$16,164-4+1),1))</f>
        <v>9.848318760105142E-3</v>
      </c>
      <c r="F164" s="12">
        <f>STDEV(D$5:D164)</f>
        <v>9.2451282320250537E-3</v>
      </c>
      <c r="G164" s="12">
        <f ca="1">Inputs!$B$17*E164+(1-Inputs!$B$17)*F164</f>
        <v>9.6673616016811157E-3</v>
      </c>
    </row>
    <row r="165" spans="1:7" x14ac:dyDescent="0.25">
      <c r="A165" s="14">
        <v>162</v>
      </c>
      <c r="B165" s="15">
        <v>46097</v>
      </c>
      <c r="C165" s="10">
        <v>2963.15</v>
      </c>
      <c r="D165" s="12">
        <f t="shared" ref="D165:D183" si="5">C165/C164-1</f>
        <v>1.3240186976607449E-2</v>
      </c>
      <c r="E165" s="12">
        <f ca="1">STDEV(OFFSET(D165,-MIN(Inputs!$B$16-1,165-5),0,MIN(Inputs!$B$16,165-4+1),1))</f>
        <v>9.9870248751868802E-3</v>
      </c>
      <c r="F165" s="12">
        <f>STDEV(D$5:D165)</f>
        <v>9.2642816706671304E-3</v>
      </c>
      <c r="G165" s="12">
        <f ca="1">Inputs!$B$17*E165+(1-Inputs!$B$17)*F165</f>
        <v>9.7702019138309545E-3</v>
      </c>
    </row>
    <row r="166" spans="1:7" x14ac:dyDescent="0.25">
      <c r="A166" s="14">
        <v>163</v>
      </c>
      <c r="B166" s="15">
        <v>46098</v>
      </c>
      <c r="C166" s="10">
        <v>2982.69</v>
      </c>
      <c r="D166" s="12">
        <f t="shared" si="5"/>
        <v>6.5943337326830331E-3</v>
      </c>
      <c r="E166" s="12">
        <f ca="1">STDEV(OFFSET(D166,-MIN(Inputs!$B$16-1,166-5),0,MIN(Inputs!$B$16,166-4+1),1))</f>
        <v>9.3864140270210304E-3</v>
      </c>
      <c r="F166" s="12">
        <f>STDEV(D$5:D166)</f>
        <v>9.2446430508313134E-3</v>
      </c>
      <c r="G166" s="12">
        <f ca="1">Inputs!$B$17*E166+(1-Inputs!$B$17)*F166</f>
        <v>9.3438827341641162E-3</v>
      </c>
    </row>
    <row r="167" spans="1:7" x14ac:dyDescent="0.25">
      <c r="A167" s="14">
        <v>164</v>
      </c>
      <c r="B167" s="15">
        <v>46099</v>
      </c>
      <c r="C167" s="10">
        <v>2992.72</v>
      </c>
      <c r="D167" s="12">
        <f t="shared" si="5"/>
        <v>3.3627363219106421E-3</v>
      </c>
      <c r="E167" s="12">
        <f ca="1">STDEV(OFFSET(D167,-MIN(Inputs!$B$16-1,167-5),0,MIN(Inputs!$B$16,167-4+1),1))</f>
        <v>9.3864853552999786E-3</v>
      </c>
      <c r="F167" s="12">
        <f>STDEV(D$5:D167)</f>
        <v>9.2173677483875817E-3</v>
      </c>
      <c r="G167" s="12">
        <f ca="1">Inputs!$B$17*E167+(1-Inputs!$B$17)*F167</f>
        <v>9.3357500732262604E-3</v>
      </c>
    </row>
    <row r="168" spans="1:7" x14ac:dyDescent="0.25">
      <c r="A168" s="14">
        <v>165</v>
      </c>
      <c r="B168" s="15">
        <v>46100</v>
      </c>
      <c r="C168" s="10">
        <v>3058.65</v>
      </c>
      <c r="D168" s="12">
        <f t="shared" si="5"/>
        <v>2.2030126440161668E-2</v>
      </c>
      <c r="E168" s="12">
        <f ca="1">STDEV(OFFSET(D168,-MIN(Inputs!$B$16-1,168-5),0,MIN(Inputs!$B$16,168-4+1),1))</f>
        <v>9.7512880136519757E-3</v>
      </c>
      <c r="F168" s="12">
        <f>STDEV(D$5:D168)</f>
        <v>9.3292273406283769E-3</v>
      </c>
      <c r="G168" s="12">
        <f ca="1">Inputs!$B$17*E168+(1-Inputs!$B$17)*F168</f>
        <v>9.6246698117448959E-3</v>
      </c>
    </row>
    <row r="169" spans="1:7" x14ac:dyDescent="0.25">
      <c r="A169" s="14">
        <v>166</v>
      </c>
      <c r="B169" s="15">
        <v>46101</v>
      </c>
      <c r="C169" s="10">
        <v>3067.63</v>
      </c>
      <c r="D169" s="12">
        <f t="shared" si="5"/>
        <v>2.9359357886649118E-3</v>
      </c>
      <c r="E169" s="12">
        <f ca="1">STDEV(OFFSET(D169,-MIN(Inputs!$B$16-1,169-5),0,MIN(Inputs!$B$16,169-4+1),1))</f>
        <v>9.3631015492517625E-3</v>
      </c>
      <c r="F169" s="12">
        <f>STDEV(D$5:D169)</f>
        <v>9.3013915055880202E-3</v>
      </c>
      <c r="G169" s="12">
        <f ca="1">Inputs!$B$17*E169+(1-Inputs!$B$17)*F169</f>
        <v>9.3445885361526405E-3</v>
      </c>
    </row>
    <row r="170" spans="1:7" x14ac:dyDescent="0.25">
      <c r="A170" s="14">
        <v>167</v>
      </c>
      <c r="B170" s="15">
        <v>46104</v>
      </c>
      <c r="C170" s="10">
        <v>3060.09</v>
      </c>
      <c r="D170" s="12">
        <f t="shared" si="5"/>
        <v>-2.4579235435825408E-3</v>
      </c>
      <c r="E170" s="12">
        <f ca="1">STDEV(OFFSET(D170,-MIN(Inputs!$B$16-1,170-5),0,MIN(Inputs!$B$16,170-4+1),1))</f>
        <v>9.3911379455584726E-3</v>
      </c>
      <c r="F170" s="12">
        <f>STDEV(D$5:D170)</f>
        <v>9.2783309402029862E-3</v>
      </c>
      <c r="G170" s="12">
        <f ca="1">Inputs!$B$17*E170+(1-Inputs!$B$17)*F170</f>
        <v>9.3572958439518267E-3</v>
      </c>
    </row>
    <row r="171" spans="1:7" x14ac:dyDescent="0.25">
      <c r="A171" s="14">
        <v>168</v>
      </c>
      <c r="B171" s="15">
        <v>46105</v>
      </c>
      <c r="C171" s="10">
        <v>3065.04</v>
      </c>
      <c r="D171" s="12">
        <f t="shared" si="5"/>
        <v>1.6175994823681705E-3</v>
      </c>
      <c r="E171" s="12">
        <f ca="1">STDEV(OFFSET(D171,-MIN(Inputs!$B$16-1,171-5),0,MIN(Inputs!$B$16,171-4+1),1))</f>
        <v>9.3965837888196346E-3</v>
      </c>
      <c r="F171" s="12">
        <f>STDEV(D$5:D171)</f>
        <v>9.2503458654156091E-3</v>
      </c>
      <c r="G171" s="12">
        <f ca="1">Inputs!$B$17*E171+(1-Inputs!$B$17)*F171</f>
        <v>9.3527124117984278E-3</v>
      </c>
    </row>
    <row r="172" spans="1:7" x14ac:dyDescent="0.25">
      <c r="A172" s="14">
        <v>169</v>
      </c>
      <c r="B172" s="15">
        <v>46106</v>
      </c>
      <c r="C172" s="10">
        <v>3112.02</v>
      </c>
      <c r="D172" s="12">
        <f t="shared" si="5"/>
        <v>1.5327695560253707E-2</v>
      </c>
      <c r="E172" s="12">
        <f ca="1">STDEV(OFFSET(D172,-MIN(Inputs!$B$16-1,172-5),0,MIN(Inputs!$B$16,172-4+1),1))</f>
        <v>9.2872468600894986E-3</v>
      </c>
      <c r="F172" s="12">
        <f>STDEV(D$5:D172)</f>
        <v>9.2840340101651934E-3</v>
      </c>
      <c r="G172" s="12">
        <f ca="1">Inputs!$B$17*E172+(1-Inputs!$B$17)*F172</f>
        <v>9.2862830051122069E-3</v>
      </c>
    </row>
    <row r="173" spans="1:7" x14ac:dyDescent="0.25">
      <c r="A173" s="14">
        <v>170</v>
      </c>
      <c r="B173" s="15">
        <v>46107</v>
      </c>
      <c r="C173" s="10">
        <v>3117.27</v>
      </c>
      <c r="D173" s="12">
        <f t="shared" si="5"/>
        <v>1.6870071529102582E-3</v>
      </c>
      <c r="E173" s="12">
        <f ca="1">STDEV(OFFSET(D173,-MIN(Inputs!$B$16-1,173-5),0,MIN(Inputs!$B$16,173-4+1),1))</f>
        <v>8.6399878110091019E-3</v>
      </c>
      <c r="F173" s="12">
        <f>STDEV(D$5:D173)</f>
        <v>9.2563646958688014E-3</v>
      </c>
      <c r="G173" s="12">
        <f ca="1">Inputs!$B$17*E173+(1-Inputs!$B$17)*F173</f>
        <v>8.8249008764670119E-3</v>
      </c>
    </row>
    <row r="174" spans="1:7" x14ac:dyDescent="0.25">
      <c r="A174" s="14">
        <v>171</v>
      </c>
      <c r="B174" s="15">
        <v>46108</v>
      </c>
      <c r="C174" s="10">
        <v>3135.02</v>
      </c>
      <c r="D174" s="12">
        <f t="shared" si="5"/>
        <v>5.6940848883799688E-3</v>
      </c>
      <c r="E174" s="12">
        <f ca="1">STDEV(OFFSET(D174,-MIN(Inputs!$B$16-1,174-5),0,MIN(Inputs!$B$16,174-4+1),1))</f>
        <v>8.57214556742447E-3</v>
      </c>
      <c r="F174" s="12">
        <f>STDEV(D$5:D174)</f>
        <v>9.2343020019031389E-3</v>
      </c>
      <c r="G174" s="12">
        <f ca="1">Inputs!$B$17*E174+(1-Inputs!$B$17)*F174</f>
        <v>8.770792497768071E-3</v>
      </c>
    </row>
    <row r="175" spans="1:7" x14ac:dyDescent="0.25">
      <c r="A175" s="14">
        <v>172</v>
      </c>
      <c r="B175" s="15">
        <v>46111</v>
      </c>
      <c r="C175" s="10">
        <v>3174.08</v>
      </c>
      <c r="D175" s="12">
        <f t="shared" si="5"/>
        <v>1.2459250658688026E-2</v>
      </c>
      <c r="E175" s="12">
        <f ca="1">STDEV(OFFSET(D175,-MIN(Inputs!$B$16-1,175-5),0,MIN(Inputs!$B$16,175-4+1),1))</f>
        <v>8.6870787277526784E-3</v>
      </c>
      <c r="F175" s="12">
        <f>STDEV(D$5:D175)</f>
        <v>9.2443722049734053E-3</v>
      </c>
      <c r="G175" s="12">
        <f ca="1">Inputs!$B$17*E175+(1-Inputs!$B$17)*F175</f>
        <v>8.854266770918896E-3</v>
      </c>
    </row>
    <row r="176" spans="1:7" x14ac:dyDescent="0.25">
      <c r="A176" s="14">
        <v>173</v>
      </c>
      <c r="B176" s="15">
        <v>46112</v>
      </c>
      <c r="C176" s="10">
        <v>3159.38</v>
      </c>
      <c r="D176" s="12">
        <f t="shared" si="5"/>
        <v>-4.6312632321806602E-3</v>
      </c>
      <c r="E176" s="12">
        <f ca="1">STDEV(OFFSET(D176,-MIN(Inputs!$B$16-1,176-5),0,MIN(Inputs!$B$16,176-4+1),1))</f>
        <v>8.5510233358985326E-3</v>
      </c>
      <c r="F176" s="12">
        <f>STDEV(D$5:D176)</f>
        <v>9.229850366257791E-3</v>
      </c>
      <c r="G176" s="12">
        <f ca="1">Inputs!$B$17*E176+(1-Inputs!$B$17)*F176</f>
        <v>8.7546714450063099E-3</v>
      </c>
    </row>
    <row r="177" spans="1:7" x14ac:dyDescent="0.25">
      <c r="A177" s="14">
        <v>174</v>
      </c>
      <c r="B177" s="15">
        <v>46113</v>
      </c>
      <c r="C177" s="10">
        <v>3106.42</v>
      </c>
      <c r="D177" s="12">
        <f t="shared" si="5"/>
        <v>-1.6762782571263957E-2</v>
      </c>
      <c r="E177" s="12">
        <f ca="1">STDEV(OFFSET(D177,-MIN(Inputs!$B$16-1,177-5),0,MIN(Inputs!$B$16,177-4+1),1))</f>
        <v>9.1648308830240763E-3</v>
      </c>
      <c r="F177" s="12">
        <f>STDEV(D$5:D177)</f>
        <v>9.3087504382665387E-3</v>
      </c>
      <c r="G177" s="12">
        <f ca="1">Inputs!$B$17*E177+(1-Inputs!$B$17)*F177</f>
        <v>9.2080067495968147E-3</v>
      </c>
    </row>
    <row r="178" spans="1:7" x14ac:dyDescent="0.25">
      <c r="A178" s="14">
        <v>175</v>
      </c>
      <c r="B178" s="15">
        <v>46114</v>
      </c>
      <c r="C178" s="10">
        <v>3117.27</v>
      </c>
      <c r="D178" s="12">
        <f t="shared" si="5"/>
        <v>3.4927665930557517E-3</v>
      </c>
      <c r="E178" s="12">
        <f ca="1">STDEV(OFFSET(D178,-MIN(Inputs!$B$16-1,178-5),0,MIN(Inputs!$B$16,178-4+1),1))</f>
        <v>9.1613223830491492E-3</v>
      </c>
      <c r="F178" s="12">
        <f>STDEV(D$5:D178)</f>
        <v>9.2829934712717627E-3</v>
      </c>
      <c r="G178" s="12">
        <f ca="1">Inputs!$B$17*E178+(1-Inputs!$B$17)*F178</f>
        <v>9.1978237095159329E-3</v>
      </c>
    </row>
    <row r="179" spans="1:7" x14ac:dyDescent="0.25">
      <c r="A179" s="14">
        <v>176</v>
      </c>
      <c r="B179" s="15">
        <v>46115</v>
      </c>
      <c r="C179" s="10">
        <v>3125.99</v>
      </c>
      <c r="D179" s="12">
        <f t="shared" si="5"/>
        <v>2.79731944938999E-3</v>
      </c>
      <c r="E179" s="12">
        <f ca="1">STDEV(OFFSET(D179,-MIN(Inputs!$B$16-1,179-5),0,MIN(Inputs!$B$16,179-4+1),1))</f>
        <v>9.0691994203323106E-3</v>
      </c>
      <c r="F179" s="12">
        <f>STDEV(D$5:D179)</f>
        <v>9.256762487541443E-3</v>
      </c>
      <c r="G179" s="12">
        <f ca="1">Inputs!$B$17*E179+(1-Inputs!$B$17)*F179</f>
        <v>9.12546834049505E-3</v>
      </c>
    </row>
    <row r="180" spans="1:7" x14ac:dyDescent="0.25">
      <c r="A180" s="14">
        <v>177</v>
      </c>
      <c r="B180" s="15">
        <v>46118</v>
      </c>
      <c r="C180" s="10">
        <v>3108.55</v>
      </c>
      <c r="D180" s="12">
        <f t="shared" si="5"/>
        <v>-5.5790325624840431E-3</v>
      </c>
      <c r="E180" s="12">
        <f ca="1">STDEV(OFFSET(D180,-MIN(Inputs!$B$16-1,180-5),0,MIN(Inputs!$B$16,180-4+1),1))</f>
        <v>8.8204389127018532E-3</v>
      </c>
      <c r="F180" s="12">
        <f>STDEV(D$5:D180)</f>
        <v>9.2459229775670709E-3</v>
      </c>
      <c r="G180" s="12">
        <f ca="1">Inputs!$B$17*E180+(1-Inputs!$B$17)*F180</f>
        <v>8.9480841321614192E-3</v>
      </c>
    </row>
    <row r="181" spans="1:7" x14ac:dyDescent="0.25">
      <c r="A181" s="14">
        <v>178</v>
      </c>
      <c r="B181" s="15">
        <v>46119</v>
      </c>
      <c r="C181" s="10">
        <v>3137.18</v>
      </c>
      <c r="D181" s="12">
        <f t="shared" si="5"/>
        <v>9.2100818709686116E-3</v>
      </c>
      <c r="E181" s="12">
        <f ca="1">STDEV(OFFSET(D181,-MIN(Inputs!$B$16-1,181-5),0,MIN(Inputs!$B$16,181-4+1),1))</f>
        <v>8.8789121808237302E-3</v>
      </c>
      <c r="F181" s="12">
        <f>STDEV(D$5:D181)</f>
        <v>9.2377516282361963E-3</v>
      </c>
      <c r="G181" s="12">
        <f ca="1">Inputs!$B$17*E181+(1-Inputs!$B$17)*F181</f>
        <v>8.9865640150474709E-3</v>
      </c>
    </row>
    <row r="182" spans="1:7" x14ac:dyDescent="0.25">
      <c r="A182" s="14">
        <v>179</v>
      </c>
      <c r="B182" s="15">
        <v>46120</v>
      </c>
      <c r="C182" s="10">
        <v>3157.81</v>
      </c>
      <c r="D182" s="12">
        <f t="shared" si="5"/>
        <v>6.5759695012719277E-3</v>
      </c>
      <c r="E182" s="12">
        <f ca="1">STDEV(OFFSET(D182,-MIN(Inputs!$B$16-1,182-5),0,MIN(Inputs!$B$16,182-4+1),1))</f>
        <v>8.8561620052519021E-3</v>
      </c>
      <c r="F182" s="12">
        <f>STDEV(D$5:D182)</f>
        <v>9.2192980105444272E-3</v>
      </c>
      <c r="G182" s="12">
        <f ca="1">Inputs!$B$17*E182+(1-Inputs!$B$17)*F182</f>
        <v>8.9651028068396602E-3</v>
      </c>
    </row>
    <row r="183" spans="1:7" x14ac:dyDescent="0.25">
      <c r="A183" s="14">
        <v>180</v>
      </c>
      <c r="B183" s="15">
        <v>46121</v>
      </c>
      <c r="C183" s="10">
        <v>3127.97</v>
      </c>
      <c r="D183" s="12">
        <f t="shared" si="5"/>
        <v>-9.4495868972485075E-3</v>
      </c>
      <c r="E183" s="12">
        <f ca="1">STDEV(OFFSET(D183,-MIN(Inputs!$B$16-1,183-5),0,MIN(Inputs!$B$16,183-4+1),1))</f>
        <v>8.6017017298005531E-3</v>
      </c>
      <c r="F183" s="12">
        <f>STDEV(D$5:D183)</f>
        <v>9.2302868366665181E-3</v>
      </c>
      <c r="G183" s="12">
        <f ca="1">Inputs!$B$17*E183+(1-Inputs!$B$17)*F183</f>
        <v>8.7902772618603433E-3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83"/>
  <sheetViews>
    <sheetView zoomScaleNormal="100" workbookViewId="0">
      <pane xSplit="3" ySplit="3" topLeftCell="J173" activePane="bottomRight" state="frozen"/>
      <selection pane="topRight" activeCell="D1" sqref="D1"/>
      <selection pane="bottomLeft" activeCell="A4" sqref="A4"/>
      <selection pane="bottomRight" activeCell="R182" sqref="R182"/>
    </sheetView>
  </sheetViews>
  <sheetFormatPr defaultColWidth="8.7109375" defaultRowHeight="15" x14ac:dyDescent="0.25"/>
  <cols>
    <col min="1" max="2" width="12" customWidth="1"/>
    <col min="3" max="18" width="14" customWidth="1"/>
  </cols>
  <sheetData>
    <row r="1" spans="1:18" ht="19.5" customHeight="1" x14ac:dyDescent="0.25">
      <c r="A1" s="1" t="s">
        <v>94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3" spans="1:18" ht="38.25" x14ac:dyDescent="0.25">
      <c r="A3" s="13" t="s">
        <v>87</v>
      </c>
      <c r="B3" s="13" t="s">
        <v>88</v>
      </c>
      <c r="C3" s="13" t="s">
        <v>89</v>
      </c>
      <c r="D3" s="13" t="s">
        <v>95</v>
      </c>
      <c r="E3" s="13" t="s">
        <v>96</v>
      </c>
      <c r="F3" s="13" t="s">
        <v>97</v>
      </c>
      <c r="G3" s="13" t="s">
        <v>98</v>
      </c>
      <c r="H3" s="13" t="s">
        <v>99</v>
      </c>
      <c r="I3" s="13" t="s">
        <v>100</v>
      </c>
      <c r="J3" s="13" t="s">
        <v>101</v>
      </c>
      <c r="K3" s="13" t="s">
        <v>102</v>
      </c>
      <c r="L3" s="13" t="s">
        <v>103</v>
      </c>
      <c r="M3" s="13" t="s">
        <v>104</v>
      </c>
      <c r="N3" s="13" t="s">
        <v>105</v>
      </c>
      <c r="O3" s="13" t="s">
        <v>106</v>
      </c>
      <c r="P3" s="13" t="s">
        <v>107</v>
      </c>
      <c r="Q3" s="13" t="s">
        <v>108</v>
      </c>
      <c r="R3" s="13" t="s">
        <v>109</v>
      </c>
    </row>
    <row r="4" spans="1:18" x14ac:dyDescent="0.25">
      <c r="A4" s="16">
        <f>Prices!A4</f>
        <v>1</v>
      </c>
      <c r="B4" s="17">
        <f>Prices!B4</f>
        <v>45870</v>
      </c>
      <c r="C4" s="18">
        <f>Prices!C4</f>
        <v>2400</v>
      </c>
      <c r="D4" s="19">
        <f>C4</f>
        <v>2400</v>
      </c>
      <c r="E4" s="19">
        <f>C4</f>
        <v>2400</v>
      </c>
      <c r="F4" s="20">
        <f t="shared" ref="F4:F35" si="0">D4-E4</f>
        <v>0</v>
      </c>
      <c r="G4" s="19"/>
      <c r="H4" s="19"/>
      <c r="I4" s="19"/>
      <c r="J4" s="19">
        <f>C4</f>
        <v>2400</v>
      </c>
      <c r="K4" s="19">
        <f>C4</f>
        <v>2400</v>
      </c>
      <c r="L4" s="19"/>
      <c r="M4" s="19"/>
      <c r="N4" s="21">
        <v>1.4999999999999999E-2</v>
      </c>
      <c r="O4" s="12">
        <f>N4</f>
        <v>1.4999999999999999E-2</v>
      </c>
      <c r="P4" s="19"/>
      <c r="Q4" s="19"/>
      <c r="R4" s="19"/>
    </row>
    <row r="5" spans="1:18" x14ac:dyDescent="0.25">
      <c r="A5" s="16">
        <f>Prices!A5</f>
        <v>2</v>
      </c>
      <c r="B5" s="17">
        <f>Prices!B5</f>
        <v>45873</v>
      </c>
      <c r="C5" s="18">
        <f>Prices!C5</f>
        <v>2399.42</v>
      </c>
      <c r="D5" s="19">
        <f>(2/(Inputs!$B$21+1))*C5+(1-(2/(Inputs!$B$21+1)))*D4</f>
        <v>2399.9821538461538</v>
      </c>
      <c r="E5" s="19">
        <f>(2/(Inputs!$B$22+1))*C5+(1-(2/(Inputs!$B$22+1)))*E4</f>
        <v>2399.9954863813232</v>
      </c>
      <c r="F5" s="20">
        <f t="shared" si="0"/>
        <v>-1.333253516941113E-2</v>
      </c>
      <c r="G5" s="19"/>
      <c r="H5" s="19"/>
      <c r="I5" s="19"/>
      <c r="J5" s="19">
        <f>(2/(Inputs!$B$23+1))*C5+(1-(2/(Inputs!$B$23+1)))*J4</f>
        <v>2399.9317647058824</v>
      </c>
      <c r="K5" s="19">
        <f>(2/(Inputs!$B$24+1))*C5+(1-(2/(Inputs!$B$24+1)))*K4</f>
        <v>2399.9821538461538</v>
      </c>
      <c r="L5" s="19"/>
      <c r="M5" s="19"/>
      <c r="N5" s="21">
        <v>1.55E-2</v>
      </c>
      <c r="O5" s="12">
        <f>(2/(Inputs!$B$26+1))*N5+(1-(2/(Inputs!$B$26+1)))*O4</f>
        <v>1.5010989010989011E-2</v>
      </c>
      <c r="P5" s="19"/>
      <c r="Q5" s="19"/>
      <c r="R5" s="19"/>
    </row>
    <row r="6" spans="1:18" x14ac:dyDescent="0.25">
      <c r="A6" s="16">
        <f>Prices!A6</f>
        <v>3</v>
      </c>
      <c r="B6" s="17">
        <f>Prices!B6</f>
        <v>45874</v>
      </c>
      <c r="C6" s="18">
        <f>Prices!C6</f>
        <v>2398.15</v>
      </c>
      <c r="D6" s="19">
        <f>(2/(Inputs!$B$21+1))*C6+(1-(2/(Inputs!$B$21+1)))*D5</f>
        <v>2399.925779881657</v>
      </c>
      <c r="E6" s="19">
        <f>(2/(Inputs!$B$22+1))*C6+(1-(2/(Inputs!$B$22+1)))*E5</f>
        <v>2399.9811246196009</v>
      </c>
      <c r="F6" s="20">
        <f t="shared" si="0"/>
        <v>-5.5344737943869404E-2</v>
      </c>
      <c r="G6" s="19"/>
      <c r="H6" s="19"/>
      <c r="I6" s="19"/>
      <c r="J6" s="19">
        <f>(2/(Inputs!$B$23+1))*C6+(1-(2/(Inputs!$B$23+1)))*J5</f>
        <v>2399.7221453287198</v>
      </c>
      <c r="K6" s="19">
        <f>(2/(Inputs!$B$24+1))*C6+(1-(2/(Inputs!$B$24+1)))*K5</f>
        <v>2399.925779881657</v>
      </c>
      <c r="L6" s="19"/>
      <c r="M6" s="19"/>
      <c r="N6" s="21">
        <v>1.5997999999999998E-2</v>
      </c>
      <c r="O6" s="12">
        <f>(2/(Inputs!$B$26+1))*N6+(1-(2/(Inputs!$B$26+1)))*O5</f>
        <v>1.5032681560198042E-2</v>
      </c>
      <c r="P6" s="19"/>
      <c r="Q6" s="19"/>
      <c r="R6" s="19"/>
    </row>
    <row r="7" spans="1:18" x14ac:dyDescent="0.25">
      <c r="A7" s="16">
        <f>Prices!A7</f>
        <v>4</v>
      </c>
      <c r="B7" s="17">
        <f>Prices!B7</f>
        <v>45875</v>
      </c>
      <c r="C7" s="18">
        <f>Prices!C7</f>
        <v>2398.36</v>
      </c>
      <c r="D7" s="19">
        <f>(2/(Inputs!$B$21+1))*C7+(1-(2/(Inputs!$B$21+1)))*D6</f>
        <v>2399.8776020391442</v>
      </c>
      <c r="E7" s="19">
        <f>(2/(Inputs!$B$22+1))*C7+(1-(2/(Inputs!$B$22+1)))*E6</f>
        <v>2399.9685088638066</v>
      </c>
      <c r="F7" s="20">
        <f t="shared" si="0"/>
        <v>-9.0906824662397412E-2</v>
      </c>
      <c r="G7" s="19"/>
      <c r="H7" s="19"/>
      <c r="I7" s="19"/>
      <c r="J7" s="19">
        <f>(2/(Inputs!$B$23+1))*C7+(1-(2/(Inputs!$B$23+1)))*J6</f>
        <v>2399.5618929371053</v>
      </c>
      <c r="K7" s="19">
        <f>(2/(Inputs!$B$24+1))*C7+(1-(2/(Inputs!$B$24+1)))*K6</f>
        <v>2399.8776020391442</v>
      </c>
      <c r="L7" s="19"/>
      <c r="M7" s="19"/>
      <c r="N7" s="21">
        <v>1.6494000000000002E-2</v>
      </c>
      <c r="O7" s="12">
        <f>(2/(Inputs!$B$26+1))*N7+(1-(2/(Inputs!$B$26+1)))*O6</f>
        <v>1.5064798448984897E-2</v>
      </c>
      <c r="P7" s="19"/>
      <c r="Q7" s="19"/>
      <c r="R7" s="19"/>
    </row>
    <row r="8" spans="1:18" x14ac:dyDescent="0.25">
      <c r="A8" s="16">
        <f>Prices!A8</f>
        <v>5</v>
      </c>
      <c r="B8" s="17">
        <f>Prices!B8</f>
        <v>45876</v>
      </c>
      <c r="C8" s="18">
        <f>Prices!C8</f>
        <v>2418.0700000000002</v>
      </c>
      <c r="D8" s="19">
        <f>(2/(Inputs!$B$21+1))*C8+(1-(2/(Inputs!$B$21+1)))*D7</f>
        <v>2400.4373681302473</v>
      </c>
      <c r="E8" s="19">
        <f>(2/(Inputs!$B$22+1))*C8+(1-(2/(Inputs!$B$22+1)))*E7</f>
        <v>2400.1093764991074</v>
      </c>
      <c r="F8" s="20">
        <f t="shared" si="0"/>
        <v>0.32799163113986651</v>
      </c>
      <c r="G8" s="19"/>
      <c r="H8" s="19"/>
      <c r="I8" s="19"/>
      <c r="J8" s="19">
        <f>(2/(Inputs!$B$23+1))*C8+(1-(2/(Inputs!$B$23+1)))*J7</f>
        <v>2401.7393172974457</v>
      </c>
      <c r="K8" s="19">
        <f>(2/(Inputs!$B$24+1))*C8+(1-(2/(Inputs!$B$24+1)))*K7</f>
        <v>2400.4373681302473</v>
      </c>
      <c r="L8" s="19"/>
      <c r="M8" s="19"/>
      <c r="N8" s="21">
        <v>1.6986999999999999E-2</v>
      </c>
      <c r="O8" s="12">
        <f>(2/(Inputs!$B$26+1))*N8+(1-(2/(Inputs!$B$26+1)))*O7</f>
        <v>1.5107044636919295E-2</v>
      </c>
      <c r="P8" s="19"/>
      <c r="Q8" s="19"/>
      <c r="R8" s="19"/>
    </row>
    <row r="9" spans="1:18" x14ac:dyDescent="0.25">
      <c r="A9" s="16">
        <f>Prices!A9</f>
        <v>6</v>
      </c>
      <c r="B9" s="17">
        <f>Prices!B9</f>
        <v>45877</v>
      </c>
      <c r="C9" s="18">
        <f>Prices!C9</f>
        <v>2417.89</v>
      </c>
      <c r="D9" s="19">
        <f>(2/(Inputs!$B$21+1))*C9+(1-(2/(Inputs!$B$21+1)))*D8</f>
        <v>2400.974372187778</v>
      </c>
      <c r="E9" s="19">
        <f>(2/(Inputs!$B$22+1))*C9+(1-(2/(Inputs!$B$22+1)))*E8</f>
        <v>2400.2477471100096</v>
      </c>
      <c r="F9" s="20">
        <f t="shared" si="0"/>
        <v>0.72662507776840357</v>
      </c>
      <c r="G9" s="19"/>
      <c r="H9" s="19"/>
      <c r="I9" s="19"/>
      <c r="J9" s="19">
        <f>(2/(Inputs!$B$23+1))*C9+(1-(2/(Inputs!$B$23+1)))*J8</f>
        <v>2403.6393976153931</v>
      </c>
      <c r="K9" s="19">
        <f>(2/(Inputs!$B$24+1))*C9+(1-(2/(Inputs!$B$24+1)))*K8</f>
        <v>2400.974372187778</v>
      </c>
      <c r="L9" s="19"/>
      <c r="M9" s="19"/>
      <c r="N9" s="21">
        <v>1.7474E-2</v>
      </c>
      <c r="O9" s="12">
        <f>(2/(Inputs!$B$26+1))*N9+(1-(2/(Inputs!$B$26+1)))*O8</f>
        <v>1.515906563391008E-2</v>
      </c>
      <c r="P9" s="19"/>
      <c r="Q9" s="19"/>
      <c r="R9" s="19"/>
    </row>
    <row r="10" spans="1:18" x14ac:dyDescent="0.25">
      <c r="A10" s="16">
        <f>Prices!A10</f>
        <v>7</v>
      </c>
      <c r="B10" s="17">
        <f>Prices!B10</f>
        <v>45880</v>
      </c>
      <c r="C10" s="18">
        <f>Prices!C10</f>
        <v>2384.59</v>
      </c>
      <c r="D10" s="19">
        <f>(2/(Inputs!$B$21+1))*C10+(1-(2/(Inputs!$B$21+1)))*D9</f>
        <v>2400.470237658923</v>
      </c>
      <c r="E10" s="19">
        <f>(2/(Inputs!$B$22+1))*C10+(1-(2/(Inputs!$B$22+1)))*E9</f>
        <v>2400.1258969379473</v>
      </c>
      <c r="F10" s="20">
        <f t="shared" si="0"/>
        <v>0.34434072097565149</v>
      </c>
      <c r="G10" s="19"/>
      <c r="H10" s="19"/>
      <c r="I10" s="19"/>
      <c r="J10" s="19">
        <f>(2/(Inputs!$B$23+1))*C10+(1-(2/(Inputs!$B$23+1)))*J9</f>
        <v>2401.3982920135822</v>
      </c>
      <c r="K10" s="19">
        <f>(2/(Inputs!$B$24+1))*C10+(1-(2/(Inputs!$B$24+1)))*K9</f>
        <v>2400.470237658923</v>
      </c>
      <c r="L10" s="19"/>
      <c r="M10" s="19"/>
      <c r="N10" s="21">
        <v>1.7954999999999999E-2</v>
      </c>
      <c r="O10" s="12">
        <f>(2/(Inputs!$B$26+1))*N10+(1-(2/(Inputs!$B$26+1)))*O9</f>
        <v>1.5220514740857109E-2</v>
      </c>
      <c r="P10" s="19"/>
      <c r="Q10" s="19"/>
      <c r="R10" s="19"/>
    </row>
    <row r="11" spans="1:18" x14ac:dyDescent="0.25">
      <c r="A11" s="16">
        <f>Prices!A11</f>
        <v>8</v>
      </c>
      <c r="B11" s="17">
        <f>Prices!B11</f>
        <v>45881</v>
      </c>
      <c r="C11" s="18">
        <f>Prices!C11</f>
        <v>2395.37</v>
      </c>
      <c r="D11" s="19">
        <f>(2/(Inputs!$B$21+1))*C11+(1-(2/(Inputs!$B$21+1)))*D10</f>
        <v>2400.3133072694177</v>
      </c>
      <c r="E11" s="19">
        <f>(2/(Inputs!$B$22+1))*C11+(1-(2/(Inputs!$B$22+1)))*E10</f>
        <v>2400.0888860668351</v>
      </c>
      <c r="F11" s="20">
        <f t="shared" si="0"/>
        <v>0.22442120258256182</v>
      </c>
      <c r="G11" s="19"/>
      <c r="H11" s="19"/>
      <c r="I11" s="19"/>
      <c r="J11" s="19">
        <f>(2/(Inputs!$B$23+1))*C11+(1-(2/(Inputs!$B$23+1)))*J10</f>
        <v>2400.689081188455</v>
      </c>
      <c r="K11" s="19">
        <f>(2/(Inputs!$B$24+1))*C11+(1-(2/(Inputs!$B$24+1)))*K10</f>
        <v>2400.3133072694177</v>
      </c>
      <c r="L11" s="19"/>
      <c r="M11" s="19"/>
      <c r="N11" s="21">
        <v>1.8429000000000001E-2</v>
      </c>
      <c r="O11" s="12">
        <f>(2/(Inputs!$B$26+1))*N11+(1-(2/(Inputs!$B$26+1)))*O10</f>
        <v>1.5291030900398711E-2</v>
      </c>
      <c r="P11" s="19"/>
      <c r="Q11" s="19"/>
      <c r="R11" s="19"/>
    </row>
    <row r="12" spans="1:18" x14ac:dyDescent="0.25">
      <c r="A12" s="16">
        <f>Prices!A12</f>
        <v>9</v>
      </c>
      <c r="B12" s="17">
        <f>Prices!B12</f>
        <v>45882</v>
      </c>
      <c r="C12" s="18">
        <f>Prices!C12</f>
        <v>2391.85</v>
      </c>
      <c r="D12" s="19">
        <f>(2/(Inputs!$B$21+1))*C12+(1-(2/(Inputs!$B$21+1)))*D11</f>
        <v>2400.0528978149741</v>
      </c>
      <c r="E12" s="19">
        <f>(2/(Inputs!$B$22+1))*C12+(1-(2/(Inputs!$B$22+1)))*E11</f>
        <v>2400.0247702219572</v>
      </c>
      <c r="F12" s="20">
        <f t="shared" si="0"/>
        <v>2.8127593016961328E-2</v>
      </c>
      <c r="G12" s="19"/>
      <c r="H12" s="19"/>
      <c r="I12" s="19"/>
      <c r="J12" s="19">
        <f>(2/(Inputs!$B$23+1))*C12+(1-(2/(Inputs!$B$23+1)))*J11</f>
        <v>2399.6491892839308</v>
      </c>
      <c r="K12" s="19">
        <f>(2/(Inputs!$B$24+1))*C12+(1-(2/(Inputs!$B$24+1)))*K11</f>
        <v>2400.0528978149741</v>
      </c>
      <c r="L12" s="19"/>
      <c r="M12" s="19"/>
      <c r="N12" s="21">
        <v>1.8894000000000001E-2</v>
      </c>
      <c r="O12" s="12">
        <f>(2/(Inputs!$B$26+1))*N12+(1-(2/(Inputs!$B$26+1)))*O11</f>
        <v>1.5370217034455881E-2</v>
      </c>
      <c r="P12" s="19"/>
      <c r="Q12" s="19"/>
      <c r="R12" s="19"/>
    </row>
    <row r="13" spans="1:18" x14ac:dyDescent="0.25">
      <c r="A13" s="16">
        <f>Prices!A13</f>
        <v>10</v>
      </c>
      <c r="B13" s="17">
        <f>Prices!B13</f>
        <v>45883</v>
      </c>
      <c r="C13" s="18">
        <f>Prices!C13</f>
        <v>2389.5300000000002</v>
      </c>
      <c r="D13" s="19">
        <f>(2/(Inputs!$B$21+1))*C13+(1-(2/(Inputs!$B$21+1)))*D12</f>
        <v>2399.729116343744</v>
      </c>
      <c r="E13" s="19">
        <f>(2/(Inputs!$B$22+1))*C13+(1-(2/(Inputs!$B$22+1)))*E12</f>
        <v>2399.9430988583622</v>
      </c>
      <c r="F13" s="20">
        <f t="shared" si="0"/>
        <v>-0.21398251461823747</v>
      </c>
      <c r="G13" s="19"/>
      <c r="H13" s="19"/>
      <c r="I13" s="19"/>
      <c r="J13" s="19">
        <f>(2/(Inputs!$B$23+1))*C13+(1-(2/(Inputs!$B$23+1)))*J12</f>
        <v>2398.4586964269974</v>
      </c>
      <c r="K13" s="19">
        <f>(2/(Inputs!$B$24+1))*C13+(1-(2/(Inputs!$B$24+1)))*K12</f>
        <v>2399.729116343744</v>
      </c>
      <c r="L13" s="19"/>
      <c r="M13" s="19"/>
      <c r="N13" s="21">
        <v>1.9349999999999999E-2</v>
      </c>
      <c r="O13" s="12">
        <f>(2/(Inputs!$B$26+1))*N13+(1-(2/(Inputs!$B$26+1)))*O12</f>
        <v>1.5457684791940367E-2</v>
      </c>
      <c r="P13" s="19"/>
      <c r="Q13" s="19"/>
      <c r="R13" s="19"/>
    </row>
    <row r="14" spans="1:18" x14ac:dyDescent="0.25">
      <c r="A14" s="16">
        <f>Prices!A14</f>
        <v>11</v>
      </c>
      <c r="B14" s="17">
        <f>Prices!B14</f>
        <v>45884</v>
      </c>
      <c r="C14" s="18">
        <f>Prices!C14</f>
        <v>2395.16</v>
      </c>
      <c r="D14" s="19">
        <f>(2/(Inputs!$B$21+1))*C14+(1-(2/(Inputs!$B$21+1)))*D13</f>
        <v>2399.5885281485521</v>
      </c>
      <c r="E14" s="19">
        <f>(2/(Inputs!$B$22+1))*C14+(1-(2/(Inputs!$B$22+1)))*E13</f>
        <v>2399.9058762991535</v>
      </c>
      <c r="F14" s="20">
        <f t="shared" si="0"/>
        <v>-0.31734815060144683</v>
      </c>
      <c r="G14" s="19">
        <f ca="1">F14/(C14*Prices!G14)</f>
        <v>-2.4008964907897855E-2</v>
      </c>
      <c r="H14" s="19">
        <f ca="1">G14*Inputs!$B$29</f>
        <v>-4.4896764377768988E-2</v>
      </c>
      <c r="I14" s="19">
        <f ca="1">MAX(-Inputs!$B$8,MIN(Inputs!$B$8,H14))</f>
        <v>-4.4896764377768988E-2</v>
      </c>
      <c r="J14" s="19">
        <f>(2/(Inputs!$B$23+1))*C14+(1-(2/(Inputs!$B$23+1)))*J13</f>
        <v>2398.0706144944097</v>
      </c>
      <c r="K14" s="19">
        <f>(2/(Inputs!$B$24+1))*C14+(1-(2/(Inputs!$B$24+1)))*K13</f>
        <v>2399.5885281485521</v>
      </c>
      <c r="L14" s="19">
        <f ca="1">(J14-K14)/(C14*Prices!G14)</f>
        <v>-0.11483771241916653</v>
      </c>
      <c r="M14" s="19">
        <f ca="1">MAX(-Inputs!$B$8,MIN(Inputs!$B$8,L14*Inputs!$B$30))</f>
        <v>-0.43064142157187446</v>
      </c>
      <c r="N14" s="21">
        <v>1.9793999999999999E-2</v>
      </c>
      <c r="O14" s="12">
        <f>(2/(Inputs!$B$26+1))*N14+(1-(2/(Inputs!$B$26+1)))*O13</f>
        <v>1.5552988422886733E-2</v>
      </c>
      <c r="P14" s="19">
        <f ca="1">O14/(Prices!G14*SQRT(Inputs!$B$6))</f>
        <v>0.17614319166159645</v>
      </c>
      <c r="Q14" s="19">
        <f ca="1">MAX(-Inputs!$B$8,MIN(Inputs!$B$8,P14*Inputs!$B$31))</f>
        <v>5.2842957498478933</v>
      </c>
      <c r="R14" s="19"/>
    </row>
    <row r="15" spans="1:18" x14ac:dyDescent="0.25">
      <c r="A15" s="16">
        <f>Prices!A15</f>
        <v>12</v>
      </c>
      <c r="B15" s="17">
        <f>Prices!B15</f>
        <v>45887</v>
      </c>
      <c r="C15" s="18">
        <f>Prices!C15</f>
        <v>2403.6</v>
      </c>
      <c r="D15" s="19">
        <f>(2/(Inputs!$B$21+1))*C15+(1-(2/(Inputs!$B$21+1)))*D14</f>
        <v>2399.7119580516733</v>
      </c>
      <c r="E15" s="19">
        <f>(2/(Inputs!$B$22+1))*C15+(1-(2/(Inputs!$B$22+1)))*E14</f>
        <v>2399.934624343518</v>
      </c>
      <c r="F15" s="20">
        <f t="shared" si="0"/>
        <v>-0.22266629184468911</v>
      </c>
      <c r="G15" s="19">
        <f ca="1">F15/(C15*Prices!G15)</f>
        <v>-1.5189558195641358E-2</v>
      </c>
      <c r="H15" s="19">
        <f ca="1">G15*Inputs!$B$29</f>
        <v>-2.840447382584934E-2</v>
      </c>
      <c r="I15" s="19">
        <f ca="1">MAX(-Inputs!$B$8,MIN(Inputs!$B$8,H15))</f>
        <v>-2.840447382584934E-2</v>
      </c>
      <c r="J15" s="19">
        <f>(2/(Inputs!$B$23+1))*C15+(1-(2/(Inputs!$B$23+1)))*J14</f>
        <v>2398.7211304362436</v>
      </c>
      <c r="K15" s="19">
        <f>(2/(Inputs!$B$24+1))*C15+(1-(2/(Inputs!$B$24+1)))*K14</f>
        <v>2399.7119580516733</v>
      </c>
      <c r="L15" s="19">
        <f ca="1">(J15-K15)/(C15*Prices!G15)</f>
        <v>-6.7590983806903718E-2</v>
      </c>
      <c r="M15" s="19">
        <f ca="1">MAX(-Inputs!$B$8,MIN(Inputs!$B$8,L15*Inputs!$B$30))</f>
        <v>-0.25346618927588893</v>
      </c>
      <c r="N15" s="21">
        <v>2.0226999999999998E-2</v>
      </c>
      <c r="O15" s="12">
        <f>(2/(Inputs!$B$26+1))*N15+(1-(2/(Inputs!$B$26+1)))*O14</f>
        <v>1.5655713952054055E-2</v>
      </c>
      <c r="P15" s="19">
        <f ca="1">O15/(Prices!G15*SQRT(Inputs!$B$6))</f>
        <v>0.16043745189039044</v>
      </c>
      <c r="Q15" s="19">
        <f ca="1">MAX(-Inputs!$B$8,MIN(Inputs!$B$8,P15*Inputs!$B$31))</f>
        <v>4.8131235567117132</v>
      </c>
      <c r="R15" s="19"/>
    </row>
    <row r="16" spans="1:18" x14ac:dyDescent="0.25">
      <c r="A16" s="16">
        <f>Prices!A16</f>
        <v>13</v>
      </c>
      <c r="B16" s="17">
        <f>Prices!B16</f>
        <v>45888</v>
      </c>
      <c r="C16" s="18">
        <f>Prices!C16</f>
        <v>2434.4499999999998</v>
      </c>
      <c r="D16" s="19">
        <f>(2/(Inputs!$B$21+1))*C16+(1-(2/(Inputs!$B$21+1)))*D15</f>
        <v>2400.7808208808524</v>
      </c>
      <c r="E16" s="19">
        <f>(2/(Inputs!$B$22+1))*C16+(1-(2/(Inputs!$B$22+1)))*E15</f>
        <v>2400.2032264887048</v>
      </c>
      <c r="F16" s="20">
        <f t="shared" si="0"/>
        <v>0.57759439214760278</v>
      </c>
      <c r="G16" s="19">
        <f ca="1">F16/(C16*Prices!G16)</f>
        <v>3.7269758870418362E-2</v>
      </c>
      <c r="H16" s="19">
        <f ca="1">G16*Inputs!$B$29</f>
        <v>6.9694449087682339E-2</v>
      </c>
      <c r="I16" s="19">
        <f ca="1">MAX(-Inputs!$B$8,MIN(Inputs!$B$8,H16))</f>
        <v>6.9694449087682339E-2</v>
      </c>
      <c r="J16" s="19">
        <f>(2/(Inputs!$B$23+1))*C16+(1-(2/(Inputs!$B$23+1)))*J15</f>
        <v>2402.9245268555092</v>
      </c>
      <c r="K16" s="19">
        <f>(2/(Inputs!$B$24+1))*C16+(1-(2/(Inputs!$B$24+1)))*K15</f>
        <v>2400.7808208808524</v>
      </c>
      <c r="L16" s="19">
        <f ca="1">(J16-K16)/(C16*Prices!G16)</f>
        <v>0.13832441216658467</v>
      </c>
      <c r="M16" s="19">
        <f ca="1">MAX(-Inputs!$B$8,MIN(Inputs!$B$8,L16*Inputs!$B$30))</f>
        <v>0.51871654562469249</v>
      </c>
      <c r="N16" s="21">
        <v>2.0646000000000001E-2</v>
      </c>
      <c r="O16" s="12">
        <f>(2/(Inputs!$B$26+1))*N16+(1-(2/(Inputs!$B$26+1)))*O15</f>
        <v>1.5765390568492427E-2</v>
      </c>
      <c r="P16" s="19">
        <f ca="1">O16/(Prices!G16*SQRT(Inputs!$B$6))</f>
        <v>0.15478156225619691</v>
      </c>
      <c r="Q16" s="19">
        <f ca="1">MAX(-Inputs!$B$8,MIN(Inputs!$B$8,P16*Inputs!$B$31))</f>
        <v>4.6434468676859071</v>
      </c>
      <c r="R16" s="19"/>
    </row>
    <row r="17" spans="1:18" x14ac:dyDescent="0.25">
      <c r="A17" s="16">
        <f>Prices!A17</f>
        <v>14</v>
      </c>
      <c r="B17" s="17">
        <f>Prices!B17</f>
        <v>45889</v>
      </c>
      <c r="C17" s="18">
        <f>Prices!C17</f>
        <v>2453.36</v>
      </c>
      <c r="D17" s="19">
        <f>(2/(Inputs!$B$21+1))*C17+(1-(2/(Inputs!$B$21+1)))*D16</f>
        <v>2402.398641776826</v>
      </c>
      <c r="E17" s="19">
        <f>(2/(Inputs!$B$22+1))*C17+(1-(2/(Inputs!$B$22+1)))*E16</f>
        <v>2400.6168978778978</v>
      </c>
      <c r="F17" s="20">
        <f t="shared" si="0"/>
        <v>1.7817438989281982</v>
      </c>
      <c r="G17" s="19">
        <f ca="1">F17/(C17*Prices!G17)</f>
        <v>0.11730715474322338</v>
      </c>
      <c r="H17" s="19">
        <f ca="1">G17*Inputs!$B$29</f>
        <v>0.21936437936982775</v>
      </c>
      <c r="I17" s="19">
        <f ca="1">MAX(-Inputs!$B$8,MIN(Inputs!$B$8,H17))</f>
        <v>0.21936437936982775</v>
      </c>
      <c r="J17" s="19">
        <f>(2/(Inputs!$B$23+1))*C17+(1-(2/(Inputs!$B$23+1)))*J16</f>
        <v>2408.8581119313312</v>
      </c>
      <c r="K17" s="19">
        <f>(2/(Inputs!$B$24+1))*C17+(1-(2/(Inputs!$B$24+1)))*K16</f>
        <v>2402.398641776826</v>
      </c>
      <c r="L17" s="19">
        <f ca="1">(J17-K17)/(C17*Prices!G17)</f>
        <v>0.42528113351733171</v>
      </c>
      <c r="M17" s="19">
        <f ca="1">MAX(-Inputs!$B$8,MIN(Inputs!$B$8,L17*Inputs!$B$30))</f>
        <v>1.594804250689994</v>
      </c>
      <c r="N17" s="21">
        <v>2.1052000000000001E-2</v>
      </c>
      <c r="O17" s="12">
        <f>(2/(Inputs!$B$26+1))*N17+(1-(2/(Inputs!$B$26+1)))*O16</f>
        <v>1.5881579786767318E-2</v>
      </c>
      <c r="P17" s="19">
        <f ca="1">O17/(Prices!G17*SQRT(Inputs!$B$6))</f>
        <v>0.16032978831062983</v>
      </c>
      <c r="Q17" s="19">
        <f ca="1">MAX(-Inputs!$B$8,MIN(Inputs!$B$8,P17*Inputs!$B$31))</f>
        <v>4.8098936493188944</v>
      </c>
      <c r="R17" s="19"/>
    </row>
    <row r="18" spans="1:18" x14ac:dyDescent="0.25">
      <c r="A18" s="16">
        <f>Prices!A18</f>
        <v>15</v>
      </c>
      <c r="B18" s="17">
        <f>Prices!B18</f>
        <v>45890</v>
      </c>
      <c r="C18" s="18">
        <f>Prices!C18</f>
        <v>2459.0100000000002</v>
      </c>
      <c r="D18" s="19">
        <f>(2/(Inputs!$B$21+1))*C18+(1-(2/(Inputs!$B$21+1)))*D17</f>
        <v>2404.1405297221545</v>
      </c>
      <c r="E18" s="19">
        <f>(2/(Inputs!$B$22+1))*C18+(1-(2/(Inputs!$B$22+1)))*E17</f>
        <v>2401.0713189060853</v>
      </c>
      <c r="F18" s="20">
        <f t="shared" si="0"/>
        <v>3.0692108160692442</v>
      </c>
      <c r="G18" s="19">
        <f ca="1">F18/(C18*Prices!G18)</f>
        <v>0.20121356519691558</v>
      </c>
      <c r="H18" s="19">
        <f ca="1">G18*Inputs!$B$29</f>
        <v>0.37626936691823215</v>
      </c>
      <c r="I18" s="19">
        <f ca="1">MAX(-Inputs!$B$8,MIN(Inputs!$B$8,H18))</f>
        <v>0.37626936691823215</v>
      </c>
      <c r="J18" s="19">
        <f>(2/(Inputs!$B$23+1))*C18+(1-(2/(Inputs!$B$23+1)))*J17</f>
        <v>2414.7583340570573</v>
      </c>
      <c r="K18" s="19">
        <f>(2/(Inputs!$B$24+1))*C18+(1-(2/(Inputs!$B$24+1)))*K17</f>
        <v>2404.1405297221545</v>
      </c>
      <c r="L18" s="19">
        <f ca="1">(J18-K18)/(C18*Prices!G18)</f>
        <v>0.69608977447994524</v>
      </c>
      <c r="M18" s="19">
        <f ca="1">MAX(-Inputs!$B$8,MIN(Inputs!$B$8,L18*Inputs!$B$30))</f>
        <v>2.6103366542997946</v>
      </c>
      <c r="N18" s="21">
        <v>2.1441999999999999E-2</v>
      </c>
      <c r="O18" s="12">
        <f>(2/(Inputs!$B$26+1))*N18+(1-(2/(Inputs!$B$26+1)))*O17</f>
        <v>1.6003786824420781E-2</v>
      </c>
      <c r="P18" s="19">
        <f ca="1">O18/(Prices!G18*SQRT(Inputs!$B$6))</f>
        <v>0.16124772877622714</v>
      </c>
      <c r="Q18" s="19">
        <f ca="1">MAX(-Inputs!$B$8,MIN(Inputs!$B$8,P18*Inputs!$B$31))</f>
        <v>4.8374318632868141</v>
      </c>
      <c r="R18" s="19"/>
    </row>
    <row r="19" spans="1:18" x14ac:dyDescent="0.25">
      <c r="A19" s="16">
        <f>Prices!A19</f>
        <v>16</v>
      </c>
      <c r="B19" s="17">
        <f>Prices!B19</f>
        <v>45891</v>
      </c>
      <c r="C19" s="18">
        <f>Prices!C19</f>
        <v>2443.81</v>
      </c>
      <c r="D19" s="19">
        <f>(2/(Inputs!$B$21+1))*C19+(1-(2/(Inputs!$B$21+1)))*D18</f>
        <v>2405.3611288076268</v>
      </c>
      <c r="E19" s="19">
        <f>(2/(Inputs!$B$22+1))*C19+(1-(2/(Inputs!$B$22+1)))*E18</f>
        <v>2401.4039156461158</v>
      </c>
      <c r="F19" s="20">
        <f t="shared" si="0"/>
        <v>3.9572131615109356</v>
      </c>
      <c r="G19" s="19">
        <f ca="1">F19/(C19*Prices!G19)</f>
        <v>0.25097456166063015</v>
      </c>
      <c r="H19" s="19">
        <f ca="1">G19*Inputs!$B$29</f>
        <v>0.4693224303053784</v>
      </c>
      <c r="I19" s="19">
        <f ca="1">MAX(-Inputs!$B$8,MIN(Inputs!$B$8,H19))</f>
        <v>0.4693224303053784</v>
      </c>
      <c r="J19" s="19">
        <f>(2/(Inputs!$B$23+1))*C19+(1-(2/(Inputs!$B$23+1)))*J18</f>
        <v>2418.1761771091683</v>
      </c>
      <c r="K19" s="19">
        <f>(2/(Inputs!$B$24+1))*C19+(1-(2/(Inputs!$B$24+1)))*K18</f>
        <v>2405.3611288076268</v>
      </c>
      <c r="L19" s="19">
        <f ca="1">(J19-K19)/(C19*Prices!G19)</f>
        <v>0.81275660392051441</v>
      </c>
      <c r="M19" s="19">
        <f ca="1">MAX(-Inputs!$B$8,MIN(Inputs!$B$8,L19*Inputs!$B$30))</f>
        <v>3.0478372647019292</v>
      </c>
      <c r="N19" s="21">
        <v>2.1815999999999999E-2</v>
      </c>
      <c r="O19" s="12">
        <f>(2/(Inputs!$B$26+1))*N19+(1-(2/(Inputs!$B$26+1)))*O18</f>
        <v>1.6131527773334611E-2</v>
      </c>
      <c r="P19" s="19">
        <f ca="1">O19/(Prices!G19*SQRT(Inputs!$B$6))</f>
        <v>0.1562655391386118</v>
      </c>
      <c r="Q19" s="19">
        <f ca="1">MAX(-Inputs!$B$8,MIN(Inputs!$B$8,P19*Inputs!$B$31))</f>
        <v>4.6879661741583538</v>
      </c>
      <c r="R19" s="19"/>
    </row>
    <row r="20" spans="1:18" x14ac:dyDescent="0.25">
      <c r="A20" s="16">
        <f>Prices!A20</f>
        <v>17</v>
      </c>
      <c r="B20" s="17">
        <f>Prices!B20</f>
        <v>45894</v>
      </c>
      <c r="C20" s="18">
        <f>Prices!C20</f>
        <v>2421.9499999999998</v>
      </c>
      <c r="D20" s="19">
        <f>(2/(Inputs!$B$21+1))*C20+(1-(2/(Inputs!$B$21+1)))*D19</f>
        <v>2405.8715556135458</v>
      </c>
      <c r="E20" s="19">
        <f>(2/(Inputs!$B$22+1))*C20+(1-(2/(Inputs!$B$22+1)))*E19</f>
        <v>2401.56380735315</v>
      </c>
      <c r="F20" s="20">
        <f t="shared" si="0"/>
        <v>4.3077482603957833</v>
      </c>
      <c r="G20" s="19">
        <f ca="1">F20/(C20*Prices!G20)</f>
        <v>0.27670405285422628</v>
      </c>
      <c r="H20" s="19">
        <f ca="1">G20*Inputs!$B$29</f>
        <v>0.51743657883740313</v>
      </c>
      <c r="I20" s="19">
        <f ca="1">MAX(-Inputs!$B$8,MIN(Inputs!$B$8,H20))</f>
        <v>0.51743657883740313</v>
      </c>
      <c r="J20" s="19">
        <f>(2/(Inputs!$B$23+1))*C20+(1-(2/(Inputs!$B$23+1)))*J19</f>
        <v>2418.6201562727956</v>
      </c>
      <c r="K20" s="19">
        <f>(2/(Inputs!$B$24+1))*C20+(1-(2/(Inputs!$B$24+1)))*K19</f>
        <v>2405.8715556135458</v>
      </c>
      <c r="L20" s="19">
        <f ca="1">(J20-K20)/(C20*Prices!G20)</f>
        <v>0.81889406190843494</v>
      </c>
      <c r="M20" s="19">
        <f ca="1">MAX(-Inputs!$B$8,MIN(Inputs!$B$8,L20*Inputs!$B$30))</f>
        <v>3.0708527321566312</v>
      </c>
      <c r="N20" s="21">
        <v>2.2173999999999999E-2</v>
      </c>
      <c r="O20" s="12">
        <f>(2/(Inputs!$B$26+1))*N20+(1-(2/(Inputs!$B$26+1)))*O19</f>
        <v>1.626432936073385E-2</v>
      </c>
      <c r="P20" s="19">
        <f ca="1">O20/(Prices!G20*SQRT(Inputs!$B$6))</f>
        <v>0.15814175545044612</v>
      </c>
      <c r="Q20" s="19">
        <f ca="1">MAX(-Inputs!$B$8,MIN(Inputs!$B$8,P20*Inputs!$B$31))</f>
        <v>4.7442526635133833</v>
      </c>
      <c r="R20" s="19"/>
    </row>
    <row r="21" spans="1:18" x14ac:dyDescent="0.25">
      <c r="A21" s="16">
        <f>Prices!A21</f>
        <v>18</v>
      </c>
      <c r="B21" s="17">
        <f>Prices!B21</f>
        <v>45895</v>
      </c>
      <c r="C21" s="18">
        <f>Prices!C21</f>
        <v>2430.8200000000002</v>
      </c>
      <c r="D21" s="19">
        <f>(2/(Inputs!$B$21+1))*C21+(1-(2/(Inputs!$B$21+1)))*D20</f>
        <v>2406.6392000562059</v>
      </c>
      <c r="E21" s="19">
        <f>(2/(Inputs!$B$22+1))*C21+(1-(2/(Inputs!$B$22+1)))*E20</f>
        <v>2401.7914820040983</v>
      </c>
      <c r="F21" s="20">
        <f t="shared" si="0"/>
        <v>4.8477180521076662</v>
      </c>
      <c r="G21" s="19">
        <f ca="1">F21/(C21*Prices!G21)</f>
        <v>0.29380871588381691</v>
      </c>
      <c r="H21" s="19">
        <f ca="1">G21*Inputs!$B$29</f>
        <v>0.54942229870273762</v>
      </c>
      <c r="I21" s="19">
        <f ca="1">MAX(-Inputs!$B$8,MIN(Inputs!$B$8,H21))</f>
        <v>0.54942229870273762</v>
      </c>
      <c r="J21" s="19">
        <f>(2/(Inputs!$B$23+1))*C21+(1-(2/(Inputs!$B$23+1)))*J20</f>
        <v>2420.055432005408</v>
      </c>
      <c r="K21" s="19">
        <f>(2/(Inputs!$B$24+1))*C21+(1-(2/(Inputs!$B$24+1)))*K20</f>
        <v>2406.6392000562059</v>
      </c>
      <c r="L21" s="19">
        <f ca="1">(J21-K21)/(C21*Prices!G21)</f>
        <v>0.81312606026678624</v>
      </c>
      <c r="M21" s="19">
        <f ca="1">MAX(-Inputs!$B$8,MIN(Inputs!$B$8,L21*Inputs!$B$30))</f>
        <v>3.0492227260004485</v>
      </c>
      <c r="N21" s="21">
        <v>2.2512999999999998E-2</v>
      </c>
      <c r="O21" s="12">
        <f>(2/(Inputs!$B$26+1))*N21+(1-(2/(Inputs!$B$26+1)))*O20</f>
        <v>1.6401662781377061E-2</v>
      </c>
      <c r="P21" s="19">
        <f ca="1">O21/(Prices!G21*SQRT(Inputs!$B$6))</f>
        <v>0.15102471295617298</v>
      </c>
      <c r="Q21" s="19">
        <f ca="1">MAX(-Inputs!$B$8,MIN(Inputs!$B$8,P21*Inputs!$B$31))</f>
        <v>4.5307413886851897</v>
      </c>
      <c r="R21" s="19"/>
    </row>
    <row r="22" spans="1:18" x14ac:dyDescent="0.25">
      <c r="A22" s="16">
        <f>Prices!A22</f>
        <v>19</v>
      </c>
      <c r="B22" s="17">
        <f>Prices!B22</f>
        <v>45896</v>
      </c>
      <c r="C22" s="18">
        <f>Prices!C22</f>
        <v>2465.61</v>
      </c>
      <c r="D22" s="19">
        <f>(2/(Inputs!$B$21+1))*C22+(1-(2/(Inputs!$B$21+1)))*D21</f>
        <v>2408.4536862083223</v>
      </c>
      <c r="E22" s="19">
        <f>(2/(Inputs!$B$22+1))*C22+(1-(2/(Inputs!$B$22+1)))*E21</f>
        <v>2402.2881241674904</v>
      </c>
      <c r="F22" s="20">
        <f t="shared" si="0"/>
        <v>6.165562040831901</v>
      </c>
      <c r="G22" s="19">
        <f ca="1">F22/(C22*Prices!G22)</f>
        <v>0.36635803230157732</v>
      </c>
      <c r="H22" s="19">
        <f ca="1">G22*Inputs!$B$29</f>
        <v>0.68508952040394966</v>
      </c>
      <c r="I22" s="19">
        <f ca="1">MAX(-Inputs!$B$8,MIN(Inputs!$B$8,H22))</f>
        <v>0.68508952040394966</v>
      </c>
      <c r="J22" s="19">
        <f>(2/(Inputs!$B$23+1))*C22+(1-(2/(Inputs!$B$23+1)))*J21</f>
        <v>2425.4147929459482</v>
      </c>
      <c r="K22" s="19">
        <f>(2/(Inputs!$B$24+1))*C22+(1-(2/(Inputs!$B$24+1)))*K21</f>
        <v>2408.4536862083223</v>
      </c>
      <c r="L22" s="19">
        <f ca="1">(J22-K22)/(C22*Prices!G22)</f>
        <v>1.0078298862134594</v>
      </c>
      <c r="M22" s="19">
        <f ca="1">MAX(-Inputs!$B$8,MIN(Inputs!$B$8,L22*Inputs!$B$30))</f>
        <v>3.7793620733004727</v>
      </c>
      <c r="N22" s="21">
        <v>2.2832999999999999E-2</v>
      </c>
      <c r="O22" s="12">
        <f>(2/(Inputs!$B$26+1))*N22+(1-(2/(Inputs!$B$26+1)))*O21</f>
        <v>1.6543010852116027E-2</v>
      </c>
      <c r="P22" s="19">
        <f ca="1">O22/(Prices!G22*SQRT(Inputs!$B$6))</f>
        <v>0.15147885033935884</v>
      </c>
      <c r="Q22" s="19">
        <f ca="1">MAX(-Inputs!$B$8,MIN(Inputs!$B$8,P22*Inputs!$B$31))</f>
        <v>4.5443655101807652</v>
      </c>
      <c r="R22" s="19"/>
    </row>
    <row r="23" spans="1:18" x14ac:dyDescent="0.25">
      <c r="A23" s="16">
        <f>Prices!A23</f>
        <v>20</v>
      </c>
      <c r="B23" s="17">
        <f>Prices!B23</f>
        <v>45897</v>
      </c>
      <c r="C23" s="18">
        <f>Prices!C23</f>
        <v>2469.59</v>
      </c>
      <c r="D23" s="19">
        <f>(2/(Inputs!$B$21+1))*C23+(1-(2/(Inputs!$B$21+1)))*D22</f>
        <v>2410.3348035557588</v>
      </c>
      <c r="E23" s="19">
        <f>(2/(Inputs!$B$22+1))*C23+(1-(2/(Inputs!$B$22+1)))*E22</f>
        <v>2402.8118741739695</v>
      </c>
      <c r="F23" s="20">
        <f t="shared" si="0"/>
        <v>7.522929381789254</v>
      </c>
      <c r="G23" s="19">
        <f ca="1">F23/(C23*Prices!G23)</f>
        <v>0.45838412805747403</v>
      </c>
      <c r="H23" s="19">
        <f ca="1">G23*Inputs!$B$29</f>
        <v>0.85717831946747647</v>
      </c>
      <c r="I23" s="19">
        <f ca="1">MAX(-Inputs!$B$8,MIN(Inputs!$B$8,H23))</f>
        <v>0.85717831946747647</v>
      </c>
      <c r="J23" s="19">
        <f>(2/(Inputs!$B$23+1))*C23+(1-(2/(Inputs!$B$23+1)))*J22</f>
        <v>2430.6118761287776</v>
      </c>
      <c r="K23" s="19">
        <f>(2/(Inputs!$B$24+1))*C23+(1-(2/(Inputs!$B$24+1)))*K22</f>
        <v>2410.3348035557588</v>
      </c>
      <c r="L23" s="19">
        <f ca="1">(J23-K23)/(C23*Prices!G23)</f>
        <v>1.2355144863437095</v>
      </c>
      <c r="M23" s="19">
        <f ca="1">MAX(-Inputs!$B$8,MIN(Inputs!$B$8,L23*Inputs!$B$30))</f>
        <v>4.6331793237889105</v>
      </c>
      <c r="N23" s="21">
        <v>2.3133999999999998E-2</v>
      </c>
      <c r="O23" s="12">
        <f>(2/(Inputs!$B$26+1))*N23+(1-(2/(Inputs!$B$26+1)))*O22</f>
        <v>1.6687867756465122E-2</v>
      </c>
      <c r="P23" s="19">
        <f ca="1">O23/(Prices!G23*SQRT(Inputs!$B$6))</f>
        <v>0.15694529875474569</v>
      </c>
      <c r="Q23" s="19">
        <f ca="1">MAX(-Inputs!$B$8,MIN(Inputs!$B$8,P23*Inputs!$B$31))</f>
        <v>4.7083589626423707</v>
      </c>
      <c r="R23" s="19"/>
    </row>
    <row r="24" spans="1:18" x14ac:dyDescent="0.25">
      <c r="A24" s="16">
        <f>Prices!A24</f>
        <v>21</v>
      </c>
      <c r="B24" s="17">
        <f>Prices!B24</f>
        <v>45898</v>
      </c>
      <c r="C24" s="18">
        <f>Prices!C24</f>
        <v>2469.9299999999998</v>
      </c>
      <c r="D24" s="19">
        <f>(2/(Inputs!$B$21+1))*C24+(1-(2/(Inputs!$B$21+1)))*D23</f>
        <v>2412.1685019078895</v>
      </c>
      <c r="E24" s="19">
        <f>(2/(Inputs!$B$22+1))*C24+(1-(2/(Inputs!$B$22+1)))*E23</f>
        <v>2403.3341942193083</v>
      </c>
      <c r="F24" s="20">
        <f t="shared" si="0"/>
        <v>8.8343076885812479</v>
      </c>
      <c r="G24" s="19">
        <f ca="1">F24/(C24*Prices!G24)</f>
        <v>0.54667757166593178</v>
      </c>
      <c r="H24" s="19">
        <f ca="1">G24*Inputs!$B$29</f>
        <v>1.0222870590152926</v>
      </c>
      <c r="I24" s="19">
        <f ca="1">MAX(-Inputs!$B$8,MIN(Inputs!$B$8,H24))</f>
        <v>1.0222870590152926</v>
      </c>
      <c r="J24" s="19">
        <f>(2/(Inputs!$B$23+1))*C24+(1-(2/(Inputs!$B$23+1)))*J23</f>
        <v>2435.2375377606859</v>
      </c>
      <c r="K24" s="19">
        <f>(2/(Inputs!$B$24+1))*C24+(1-(2/(Inputs!$B$24+1)))*K23</f>
        <v>2412.1685019078895</v>
      </c>
      <c r="L24" s="19">
        <f ca="1">(J24-K24)/(C24*Prices!G24)</f>
        <v>1.4275396494262633</v>
      </c>
      <c r="M24" s="19">
        <f ca="1">MAX(-Inputs!$B$8,MIN(Inputs!$B$8,L24*Inputs!$B$30))</f>
        <v>5.353273685348487</v>
      </c>
      <c r="N24" s="21">
        <v>2.3414999999999998E-2</v>
      </c>
      <c r="O24" s="12">
        <f>(2/(Inputs!$B$26+1))*N24+(1-(2/(Inputs!$B$26+1)))*O23</f>
        <v>1.6835716816762592E-2</v>
      </c>
      <c r="P24" s="19">
        <f ca="1">O24/(Prices!G24*SQRT(Inputs!$B$6))</f>
        <v>0.16082553696295959</v>
      </c>
      <c r="Q24" s="19">
        <f ca="1">MAX(-Inputs!$B$8,MIN(Inputs!$B$8,P24*Inputs!$B$31))</f>
        <v>4.8247661088887881</v>
      </c>
      <c r="R24" s="19"/>
    </row>
    <row r="25" spans="1:18" x14ac:dyDescent="0.25">
      <c r="A25" s="16">
        <f>Prices!A25</f>
        <v>22</v>
      </c>
      <c r="B25" s="17">
        <f>Prices!B25</f>
        <v>45901</v>
      </c>
      <c r="C25" s="18">
        <f>Prices!C25</f>
        <v>2486.0300000000002</v>
      </c>
      <c r="D25" s="19">
        <f>(2/(Inputs!$B$21+1))*C25+(1-(2/(Inputs!$B$21+1)))*D24</f>
        <v>2414.4411633876466</v>
      </c>
      <c r="E25" s="19">
        <f>(2/(Inputs!$B$22+1))*C25+(1-(2/(Inputs!$B$22+1)))*E24</f>
        <v>2403.9777413460065</v>
      </c>
      <c r="F25" s="20">
        <f t="shared" si="0"/>
        <v>10.463422041640115</v>
      </c>
      <c r="G25" s="19">
        <f ca="1">F25/(C25*Prices!G25)</f>
        <v>0.60612319026936978</v>
      </c>
      <c r="H25" s="19">
        <f ca="1">G25*Inputs!$B$29</f>
        <v>1.1334503658037216</v>
      </c>
      <c r="I25" s="19">
        <f ca="1">MAX(-Inputs!$B$8,MIN(Inputs!$B$8,H25))</f>
        <v>1.1334503658037216</v>
      </c>
      <c r="J25" s="19">
        <f>(2/(Inputs!$B$23+1))*C25+(1-(2/(Inputs!$B$23+1)))*J24</f>
        <v>2441.2131215535464</v>
      </c>
      <c r="K25" s="19">
        <f>(2/(Inputs!$B$24+1))*C25+(1-(2/(Inputs!$B$24+1)))*K24</f>
        <v>2414.4411633876466</v>
      </c>
      <c r="L25" s="19">
        <f ca="1">(J25-K25)/(C25*Prices!G25)</f>
        <v>1.5508410755770063</v>
      </c>
      <c r="M25" s="19">
        <f ca="1">MAX(-Inputs!$B$8,MIN(Inputs!$B$8,L25*Inputs!$B$30))</f>
        <v>5.8156540334137734</v>
      </c>
      <c r="N25" s="21">
        <v>2.3674000000000001E-2</v>
      </c>
      <c r="O25" s="12">
        <f>(2/(Inputs!$B$26+1))*N25+(1-(2/(Inputs!$B$26+1)))*O24</f>
        <v>1.698600875485572E-2</v>
      </c>
      <c r="P25" s="19">
        <f ca="1">O25/(Prices!G25*SQRT(Inputs!$B$6))</f>
        <v>0.1528850021186752</v>
      </c>
      <c r="Q25" s="19">
        <f ca="1">MAX(-Inputs!$B$8,MIN(Inputs!$B$8,P25*Inputs!$B$31))</f>
        <v>4.5865500635602556</v>
      </c>
      <c r="R25" s="19"/>
    </row>
    <row r="26" spans="1:18" x14ac:dyDescent="0.25">
      <c r="A26" s="16">
        <f>Prices!A26</f>
        <v>23</v>
      </c>
      <c r="B26" s="17">
        <f>Prices!B26</f>
        <v>45902</v>
      </c>
      <c r="C26" s="18">
        <f>Prices!C26</f>
        <v>2452.88</v>
      </c>
      <c r="D26" s="19">
        <f>(2/(Inputs!$B$21+1))*C26+(1-(2/(Inputs!$B$21+1)))*D25</f>
        <v>2415.6238968218727</v>
      </c>
      <c r="E26" s="19">
        <f>(2/(Inputs!$B$22+1))*C26+(1-(2/(Inputs!$B$22+1)))*E25</f>
        <v>2404.3583036701625</v>
      </c>
      <c r="F26" s="20">
        <f t="shared" si="0"/>
        <v>11.265593151710164</v>
      </c>
      <c r="G26" s="19">
        <f ca="1">F26/(C26*Prices!G26)</f>
        <v>0.65336598892368525</v>
      </c>
      <c r="H26" s="19">
        <f ca="1">G26*Inputs!$B$29</f>
        <v>1.2217943992872915</v>
      </c>
      <c r="I26" s="19">
        <f ca="1">MAX(-Inputs!$B$8,MIN(Inputs!$B$8,H26))</f>
        <v>1.2217943992872915</v>
      </c>
      <c r="J26" s="19">
        <f>(2/(Inputs!$B$23+1))*C26+(1-(2/(Inputs!$B$23+1)))*J25</f>
        <v>2442.5856954884234</v>
      </c>
      <c r="K26" s="19">
        <f>(2/(Inputs!$B$24+1))*C26+(1-(2/(Inputs!$B$24+1)))*K25</f>
        <v>2415.6238968218727</v>
      </c>
      <c r="L26" s="19">
        <f ca="1">(J26-K26)/(C26*Prices!G26)</f>
        <v>1.5636923872275696</v>
      </c>
      <c r="M26" s="19">
        <f ca="1">MAX(-Inputs!$B$8,MIN(Inputs!$B$8,L26*Inputs!$B$30))</f>
        <v>5.8638464521033864</v>
      </c>
      <c r="N26" s="21">
        <v>2.3911999999999999E-2</v>
      </c>
      <c r="O26" s="12">
        <f>(2/(Inputs!$B$26+1))*N26+(1-(2/(Inputs!$B$26+1)))*O25</f>
        <v>1.7138228342661089E-2</v>
      </c>
      <c r="P26" s="19">
        <f ca="1">O26/(Prices!G26*SQRT(Inputs!$B$6))</f>
        <v>0.15237885463880058</v>
      </c>
      <c r="Q26" s="19">
        <f ca="1">MAX(-Inputs!$B$8,MIN(Inputs!$B$8,P26*Inputs!$B$31))</f>
        <v>4.5713656391640169</v>
      </c>
      <c r="R26" s="19"/>
    </row>
    <row r="27" spans="1:18" x14ac:dyDescent="0.25">
      <c r="A27" s="16">
        <f>Prices!A27</f>
        <v>24</v>
      </c>
      <c r="B27" s="17">
        <f>Prices!B27</f>
        <v>45903</v>
      </c>
      <c r="C27" s="18">
        <f>Prices!C27</f>
        <v>2448.16</v>
      </c>
      <c r="D27" s="19">
        <f>(2/(Inputs!$B$21+1))*C27+(1-(2/(Inputs!$B$21+1)))*D26</f>
        <v>2416.6250076888919</v>
      </c>
      <c r="E27" s="19">
        <f>(2/(Inputs!$B$22+1))*C27+(1-(2/(Inputs!$B$22+1)))*E26</f>
        <v>2404.6991729023016</v>
      </c>
      <c r="F27" s="20">
        <f t="shared" si="0"/>
        <v>11.925834786590258</v>
      </c>
      <c r="G27" s="19">
        <f ca="1">F27/(C27*Prices!G27)</f>
        <v>0.70207123307564268</v>
      </c>
      <c r="H27" s="19">
        <f ca="1">G27*Inputs!$B$29</f>
        <v>1.3128732058514518</v>
      </c>
      <c r="I27" s="19">
        <f ca="1">MAX(-Inputs!$B$8,MIN(Inputs!$B$8,H27))</f>
        <v>1.3128732058514518</v>
      </c>
      <c r="J27" s="19">
        <f>(2/(Inputs!$B$23+1))*C27+(1-(2/(Inputs!$B$23+1)))*J26</f>
        <v>2443.2414960191973</v>
      </c>
      <c r="K27" s="19">
        <f>(2/(Inputs!$B$24+1))*C27+(1-(2/(Inputs!$B$24+1)))*K26</f>
        <v>2416.6250076888919</v>
      </c>
      <c r="L27" s="19">
        <f ca="1">(J27-K27)/(C27*Prices!G27)</f>
        <v>1.5669067295157217</v>
      </c>
      <c r="M27" s="19">
        <f ca="1">MAX(-Inputs!$B$8,MIN(Inputs!$B$8,L27*Inputs!$B$30))</f>
        <v>5.8759002356839565</v>
      </c>
      <c r="N27" s="21">
        <v>2.4128E-2</v>
      </c>
      <c r="O27" s="12">
        <f>(2/(Inputs!$B$26+1))*N27+(1-(2/(Inputs!$B$26+1)))*O26</f>
        <v>1.7291849697767439E-2</v>
      </c>
      <c r="P27" s="19">
        <f ca="1">O27/(Prices!G27*SQRT(Inputs!$B$6))</f>
        <v>0.15575918172453937</v>
      </c>
      <c r="Q27" s="19">
        <f ca="1">MAX(-Inputs!$B$8,MIN(Inputs!$B$8,P27*Inputs!$B$31))</f>
        <v>4.6727754517361815</v>
      </c>
      <c r="R27" s="19"/>
    </row>
    <row r="28" spans="1:18" x14ac:dyDescent="0.25">
      <c r="A28" s="16">
        <f>Prices!A28</f>
        <v>25</v>
      </c>
      <c r="B28" s="17">
        <f>Prices!B28</f>
        <v>45904</v>
      </c>
      <c r="C28" s="18">
        <f>Prices!C28</f>
        <v>2463.1</v>
      </c>
      <c r="D28" s="19">
        <f>(2/(Inputs!$B$21+1))*C28+(1-(2/(Inputs!$B$21+1)))*D27</f>
        <v>2418.0550074523107</v>
      </c>
      <c r="E28" s="19">
        <f>(2/(Inputs!$B$22+1))*C28+(1-(2/(Inputs!$B$22+1)))*E27</f>
        <v>2405.1536540470306</v>
      </c>
      <c r="F28" s="20">
        <f t="shared" si="0"/>
        <v>12.901353405280133</v>
      </c>
      <c r="G28" s="19">
        <f ca="1">F28/(C28*Prices!G28)</f>
        <v>0.75107967512682527</v>
      </c>
      <c r="H28" s="19">
        <f ca="1">G28*Inputs!$B$29</f>
        <v>1.4045189924871633</v>
      </c>
      <c r="I28" s="19">
        <f ca="1">MAX(-Inputs!$B$8,MIN(Inputs!$B$8,H28))</f>
        <v>1.4045189924871633</v>
      </c>
      <c r="J28" s="19">
        <f>(2/(Inputs!$B$23+1))*C28+(1-(2/(Inputs!$B$23+1)))*J27</f>
        <v>2445.5777906051744</v>
      </c>
      <c r="K28" s="19">
        <f>(2/(Inputs!$B$24+1))*C28+(1-(2/(Inputs!$B$24+1)))*K27</f>
        <v>2418.0550074523107</v>
      </c>
      <c r="L28" s="19">
        <f ca="1">(J28-K28)/(C28*Prices!G28)</f>
        <v>1.6022972458516298</v>
      </c>
      <c r="M28" s="19">
        <f ca="1">MAX(-Inputs!$B$8,MIN(Inputs!$B$8,L28*Inputs!$B$30))</f>
        <v>6.0086146719436115</v>
      </c>
      <c r="N28" s="21">
        <v>2.4320000000000001E-2</v>
      </c>
      <c r="O28" s="12">
        <f>(2/(Inputs!$B$26+1))*N28+(1-(2/(Inputs!$B$26+1)))*O27</f>
        <v>1.7446314539574747E-2</v>
      </c>
      <c r="P28" s="19">
        <f ca="1">O28/(Prices!G28*SQRT(Inputs!$B$6))</f>
        <v>0.15635670058792384</v>
      </c>
      <c r="Q28" s="19">
        <f ca="1">MAX(-Inputs!$B$8,MIN(Inputs!$B$8,P28*Inputs!$B$31))</f>
        <v>4.6907010176377151</v>
      </c>
      <c r="R28" s="19"/>
    </row>
    <row r="29" spans="1:18" x14ac:dyDescent="0.25">
      <c r="A29" s="16">
        <f>Prices!A29</f>
        <v>26</v>
      </c>
      <c r="B29" s="17">
        <f>Prices!B29</f>
        <v>45905</v>
      </c>
      <c r="C29" s="18">
        <f>Prices!C29</f>
        <v>2487.5700000000002</v>
      </c>
      <c r="D29" s="19">
        <f>(2/(Inputs!$B$21+1))*C29+(1-(2/(Inputs!$B$21+1)))*D28</f>
        <v>2420.1939302999317</v>
      </c>
      <c r="E29" s="19">
        <f>(2/(Inputs!$B$22+1))*C29+(1-(2/(Inputs!$B$22+1)))*E28</f>
        <v>2405.7950263890771</v>
      </c>
      <c r="F29" s="20">
        <f t="shared" si="0"/>
        <v>14.398903910854642</v>
      </c>
      <c r="G29" s="19">
        <f ca="1">F29/(C29*Prices!G29)</f>
        <v>0.8373175346110886</v>
      </c>
      <c r="H29" s="19">
        <f ca="1">G29*Inputs!$B$29</f>
        <v>1.5657837897227358</v>
      </c>
      <c r="I29" s="19">
        <f ca="1">MAX(-Inputs!$B$8,MIN(Inputs!$B$8,H29))</f>
        <v>1.5657837897227358</v>
      </c>
      <c r="J29" s="19">
        <f>(2/(Inputs!$B$23+1))*C29+(1-(2/(Inputs!$B$23+1)))*J28</f>
        <v>2450.5180505339772</v>
      </c>
      <c r="K29" s="19">
        <f>(2/(Inputs!$B$24+1))*C29+(1-(2/(Inputs!$B$24+1)))*K28</f>
        <v>2420.1939302999317</v>
      </c>
      <c r="L29" s="19">
        <f ca="1">(J29-K29)/(C29*Prices!G29)</f>
        <v>1.7633923908944351</v>
      </c>
      <c r="M29" s="19">
        <f ca="1">MAX(-Inputs!$B$8,MIN(Inputs!$B$8,L29*Inputs!$B$30))</f>
        <v>6.6127214658541318</v>
      </c>
      <c r="N29" s="21">
        <v>2.4490000000000001E-2</v>
      </c>
      <c r="O29" s="12">
        <f>(2/(Inputs!$B$26+1))*N29+(1-(2/(Inputs!$B$26+1)))*O28</f>
        <v>1.7601120813430248E-2</v>
      </c>
      <c r="P29" s="19">
        <f ca="1">O29/(Prices!G29*SQRT(Inputs!$B$6))</f>
        <v>0.15913159082294198</v>
      </c>
      <c r="Q29" s="19">
        <f ca="1">MAX(-Inputs!$B$8,MIN(Inputs!$B$8,P29*Inputs!$B$31))</f>
        <v>4.7739477246882593</v>
      </c>
      <c r="R29" s="19"/>
    </row>
    <row r="30" spans="1:18" x14ac:dyDescent="0.25">
      <c r="A30" s="16">
        <f>Prices!A30</f>
        <v>27</v>
      </c>
      <c r="B30" s="17">
        <f>Prices!B30</f>
        <v>45908</v>
      </c>
      <c r="C30" s="18">
        <f>Prices!C30</f>
        <v>2484.5700000000002</v>
      </c>
      <c r="D30" s="19">
        <f>(2/(Inputs!$B$21+1))*C30+(1-(2/(Inputs!$B$21+1)))*D29</f>
        <v>2422.1747324445496</v>
      </c>
      <c r="E30" s="19">
        <f>(2/(Inputs!$B$22+1))*C30+(1-(2/(Inputs!$B$22+1)))*E29</f>
        <v>2406.4080612031698</v>
      </c>
      <c r="F30" s="20">
        <f t="shared" si="0"/>
        <v>15.766671241379754</v>
      </c>
      <c r="G30" s="19">
        <f ca="1">F30/(C30*Prices!G30)</f>
        <v>0.93211021175456266</v>
      </c>
      <c r="H30" s="19">
        <f ca="1">G30*Inputs!$B$29</f>
        <v>1.7430460959810323</v>
      </c>
      <c r="I30" s="19">
        <f ca="1">MAX(-Inputs!$B$8,MIN(Inputs!$B$8,H30))</f>
        <v>1.7430460959810323</v>
      </c>
      <c r="J30" s="19">
        <f>(2/(Inputs!$B$23+1))*C30+(1-(2/(Inputs!$B$23+1)))*J29</f>
        <v>2454.5241622358621</v>
      </c>
      <c r="K30" s="19">
        <f>(2/(Inputs!$B$24+1))*C30+(1-(2/(Inputs!$B$24+1)))*K29</f>
        <v>2422.1747324445496</v>
      </c>
      <c r="L30" s="19">
        <f ca="1">(J30-K30)/(C30*Prices!G30)</f>
        <v>1.9124667084947078</v>
      </c>
      <c r="M30" s="19">
        <f ca="1">MAX(-Inputs!$B$8,MIN(Inputs!$B$8,L30*Inputs!$B$30))</f>
        <v>7.171750156855154</v>
      </c>
      <c r="N30" s="21">
        <v>2.4636000000000002E-2</v>
      </c>
      <c r="O30" s="12">
        <f>(2/(Inputs!$B$26+1))*N30+(1-(2/(Inputs!$B$26+1)))*O29</f>
        <v>1.7755733542805407E-2</v>
      </c>
      <c r="P30" s="19">
        <f ca="1">O30/(Prices!G30*SQRT(Inputs!$B$6))</f>
        <v>0.16300357417732819</v>
      </c>
      <c r="Q30" s="19">
        <f ca="1">MAX(-Inputs!$B$8,MIN(Inputs!$B$8,P30*Inputs!$B$31))</f>
        <v>4.8901072253198459</v>
      </c>
      <c r="R30" s="19"/>
    </row>
    <row r="31" spans="1:18" x14ac:dyDescent="0.25">
      <c r="A31" s="16">
        <f>Prices!A31</f>
        <v>28</v>
      </c>
      <c r="B31" s="17">
        <f>Prices!B31</f>
        <v>45909</v>
      </c>
      <c r="C31" s="18">
        <f>Prices!C31</f>
        <v>2496.91</v>
      </c>
      <c r="D31" s="19">
        <f>(2/(Inputs!$B$21+1))*C31+(1-(2/(Inputs!$B$21+1)))*D30</f>
        <v>2424.4742791385634</v>
      </c>
      <c r="E31" s="19">
        <f>(2/(Inputs!$B$22+1))*C31+(1-(2/(Inputs!$B$22+1)))*E30</f>
        <v>2407.1123564467248</v>
      </c>
      <c r="F31" s="20">
        <f t="shared" si="0"/>
        <v>17.361922691838572</v>
      </c>
      <c r="G31" s="19">
        <f ca="1">F31/(C31*Prices!G31)</f>
        <v>1.0379707046416893</v>
      </c>
      <c r="H31" s="19">
        <f ca="1">G31*Inputs!$B$29</f>
        <v>1.941005217679959</v>
      </c>
      <c r="I31" s="19">
        <f ca="1">MAX(-Inputs!$B$8,MIN(Inputs!$B$8,H31))</f>
        <v>1.941005217679959</v>
      </c>
      <c r="J31" s="19">
        <f>(2/(Inputs!$B$23+1))*C31+(1-(2/(Inputs!$B$23+1)))*J30</f>
        <v>2459.5107313845838</v>
      </c>
      <c r="K31" s="19">
        <f>(2/(Inputs!$B$24+1))*C31+(1-(2/(Inputs!$B$24+1)))*K30</f>
        <v>2424.4742791385634</v>
      </c>
      <c r="L31" s="19">
        <f ca="1">(J31-K31)/(C31*Prices!G31)</f>
        <v>2.0946303973028222</v>
      </c>
      <c r="M31" s="19">
        <f ca="1">MAX(-Inputs!$B$8,MIN(Inputs!$B$8,L31*Inputs!$B$30))</f>
        <v>7.8548639898855832</v>
      </c>
      <c r="N31" s="21">
        <v>2.4757000000000001E-2</v>
      </c>
      <c r="O31" s="12">
        <f>(2/(Inputs!$B$26+1))*N31+(1-(2/(Inputs!$B$26+1)))*O30</f>
        <v>1.7909607530875619E-2</v>
      </c>
      <c r="P31" s="19">
        <f ca="1">O31/(Prices!G31*SQRT(Inputs!$B$6))</f>
        <v>0.16709222922555272</v>
      </c>
      <c r="Q31" s="19">
        <f ca="1">MAX(-Inputs!$B$8,MIN(Inputs!$B$8,P31*Inputs!$B$31))</f>
        <v>5.0127668767665821</v>
      </c>
      <c r="R31" s="19"/>
    </row>
    <row r="32" spans="1:18" x14ac:dyDescent="0.25">
      <c r="A32" s="16">
        <f>Prices!A32</f>
        <v>29</v>
      </c>
      <c r="B32" s="17">
        <f>Prices!B32</f>
        <v>45910</v>
      </c>
      <c r="C32" s="18">
        <f>Prices!C32</f>
        <v>2506.1</v>
      </c>
      <c r="D32" s="19">
        <f>(2/(Inputs!$B$21+1))*C32+(1-(2/(Inputs!$B$21+1)))*D31</f>
        <v>2426.9858397804537</v>
      </c>
      <c r="E32" s="19">
        <f>(2/(Inputs!$B$22+1))*C32+(1-(2/(Inputs!$B$22+1)))*E31</f>
        <v>2407.8826883031702</v>
      </c>
      <c r="F32" s="20">
        <f t="shared" si="0"/>
        <v>19.103151477283518</v>
      </c>
      <c r="G32" s="19">
        <f ca="1">F32/(C32*Prices!G32)</f>
        <v>1.1407534897341116</v>
      </c>
      <c r="H32" s="19">
        <f ca="1">G32*Inputs!$B$29</f>
        <v>2.1332090258027887</v>
      </c>
      <c r="I32" s="19">
        <f ca="1">MAX(-Inputs!$B$8,MIN(Inputs!$B$8,H32))</f>
        <v>2.1332090258027887</v>
      </c>
      <c r="J32" s="19">
        <f>(2/(Inputs!$B$23+1))*C32+(1-(2/(Inputs!$B$23+1)))*J31</f>
        <v>2464.9918218099269</v>
      </c>
      <c r="K32" s="19">
        <f>(2/(Inputs!$B$24+1))*C32+(1-(2/(Inputs!$B$24+1)))*K31</f>
        <v>2426.9858397804537</v>
      </c>
      <c r="L32" s="19">
        <f ca="1">(J32-K32)/(C32*Prices!G32)</f>
        <v>2.2695447231546888</v>
      </c>
      <c r="M32" s="19">
        <f ca="1">MAX(-Inputs!$B$8,MIN(Inputs!$B$8,L32*Inputs!$B$30))</f>
        <v>8.5107927118300832</v>
      </c>
      <c r="N32" s="21">
        <v>2.4854000000000001E-2</v>
      </c>
      <c r="O32" s="12">
        <f>(2/(Inputs!$B$26+1))*N32+(1-(2/(Inputs!$B$26+1)))*O31</f>
        <v>1.8062231541186042E-2</v>
      </c>
      <c r="P32" s="19">
        <f ca="1">O32/(Prices!G32*SQRT(Inputs!$B$6))</f>
        <v>0.16894160106328593</v>
      </c>
      <c r="Q32" s="19">
        <f ca="1">MAX(-Inputs!$B$8,MIN(Inputs!$B$8,P32*Inputs!$B$31))</f>
        <v>5.0682480318985776</v>
      </c>
      <c r="R32" s="19"/>
    </row>
    <row r="33" spans="1:18" x14ac:dyDescent="0.25">
      <c r="A33" s="16">
        <f>Prices!A33</f>
        <v>30</v>
      </c>
      <c r="B33" s="17">
        <f>Prices!B33</f>
        <v>45911</v>
      </c>
      <c r="C33" s="18">
        <f>Prices!C33</f>
        <v>2528.71</v>
      </c>
      <c r="D33" s="19">
        <f>(2/(Inputs!$B$21+1))*C33+(1-(2/(Inputs!$B$21+1)))*D32</f>
        <v>2430.115813941055</v>
      </c>
      <c r="E33" s="19">
        <f>(2/(Inputs!$B$22+1))*C33+(1-(2/(Inputs!$B$22+1)))*E32</f>
        <v>2408.8229786665697</v>
      </c>
      <c r="F33" s="20">
        <f t="shared" si="0"/>
        <v>21.292835274485242</v>
      </c>
      <c r="G33" s="19">
        <f ca="1">F33/(C33*Prices!G33)</f>
        <v>1.229777504927857</v>
      </c>
      <c r="H33" s="19">
        <f ca="1">G33*Inputs!$B$29</f>
        <v>2.2996839342150928</v>
      </c>
      <c r="I33" s="19">
        <f ca="1">MAX(-Inputs!$B$8,MIN(Inputs!$B$8,H33))</f>
        <v>2.2996839342150928</v>
      </c>
      <c r="J33" s="19">
        <f>(2/(Inputs!$B$23+1))*C33+(1-(2/(Inputs!$B$23+1)))*J32</f>
        <v>2472.4880780675826</v>
      </c>
      <c r="K33" s="19">
        <f>(2/(Inputs!$B$24+1))*C33+(1-(2/(Inputs!$B$24+1)))*K32</f>
        <v>2430.115813941055</v>
      </c>
      <c r="L33" s="19">
        <f ca="1">(J33-K33)/(C33*Prices!G33)</f>
        <v>2.4472296236709141</v>
      </c>
      <c r="M33" s="19">
        <f ca="1">MAX(-Inputs!$B$8,MIN(Inputs!$B$8,L33*Inputs!$B$30))</f>
        <v>9.177111088765928</v>
      </c>
      <c r="N33" s="21">
        <v>2.4927000000000001E-2</v>
      </c>
      <c r="O33" s="12">
        <f>(2/(Inputs!$B$26+1))*N33+(1-(2/(Inputs!$B$26+1)))*O32</f>
        <v>1.8213105573247887E-2</v>
      </c>
      <c r="P33" s="19">
        <f ca="1">O33/(Prices!G33*SQRT(Inputs!$B$6))</f>
        <v>0.16624787343598546</v>
      </c>
      <c r="Q33" s="19">
        <f ca="1">MAX(-Inputs!$B$8,MIN(Inputs!$B$8,P33*Inputs!$B$31))</f>
        <v>4.9874362030795636</v>
      </c>
      <c r="R33" s="19"/>
    </row>
    <row r="34" spans="1:18" x14ac:dyDescent="0.25">
      <c r="A34" s="16">
        <f>Prices!A34</f>
        <v>31</v>
      </c>
      <c r="B34" s="17">
        <f>Prices!B34</f>
        <v>45912</v>
      </c>
      <c r="C34" s="18">
        <f>Prices!C34</f>
        <v>2503.6</v>
      </c>
      <c r="D34" s="19">
        <f>(2/(Inputs!$B$21+1))*C34+(1-(2/(Inputs!$B$21+1)))*D33</f>
        <v>2432.3768658197919</v>
      </c>
      <c r="E34" s="19">
        <f>(2/(Inputs!$B$22+1))*C34+(1-(2/(Inputs!$B$22+1)))*E33</f>
        <v>2409.5605430349233</v>
      </c>
      <c r="F34" s="20">
        <f t="shared" si="0"/>
        <v>22.816322784868589</v>
      </c>
      <c r="G34" s="19">
        <f ca="1">F34/(C34*Prices!G34)</f>
        <v>1.3241681488471864</v>
      </c>
      <c r="H34" s="19">
        <f ca="1">G34*Inputs!$B$29</f>
        <v>2.4761944383442387</v>
      </c>
      <c r="I34" s="19">
        <f ca="1">MAX(-Inputs!$B$8,MIN(Inputs!$B$8,H34))</f>
        <v>2.4761944383442387</v>
      </c>
      <c r="J34" s="19">
        <f>(2/(Inputs!$B$23+1))*C34+(1-(2/(Inputs!$B$23+1)))*J33</f>
        <v>2476.1483041772785</v>
      </c>
      <c r="K34" s="19">
        <f>(2/(Inputs!$B$24+1))*C34+(1-(2/(Inputs!$B$24+1)))*K33</f>
        <v>2432.3768658197919</v>
      </c>
      <c r="L34" s="19">
        <f ca="1">(J34-K34)/(C34*Prices!G34)</f>
        <v>2.5403192726853625</v>
      </c>
      <c r="M34" s="19">
        <f ca="1">MAX(-Inputs!$B$8,MIN(Inputs!$B$8,L34*Inputs!$B$30))</f>
        <v>9.5261972725701085</v>
      </c>
      <c r="N34" s="21">
        <v>2.4975000000000001E-2</v>
      </c>
      <c r="O34" s="12">
        <f>(2/(Inputs!$B$26+1))*N34+(1-(2/(Inputs!$B$26+1)))*O33</f>
        <v>1.8361718637572109E-2</v>
      </c>
      <c r="P34" s="19">
        <f ca="1">O34/(Prices!G34*SQRT(Inputs!$B$6))</f>
        <v>0.16674613397827848</v>
      </c>
      <c r="Q34" s="19">
        <f ca="1">MAX(-Inputs!$B$8,MIN(Inputs!$B$8,P34*Inputs!$B$31))</f>
        <v>5.0023840193483542</v>
      </c>
      <c r="R34" s="19"/>
    </row>
    <row r="35" spans="1:18" x14ac:dyDescent="0.25">
      <c r="A35" s="16">
        <f>Prices!A35</f>
        <v>32</v>
      </c>
      <c r="B35" s="17">
        <f>Prices!B35</f>
        <v>45915</v>
      </c>
      <c r="C35" s="18">
        <f>Prices!C35</f>
        <v>2520.83</v>
      </c>
      <c r="D35" s="19">
        <f>(2/(Inputs!$B$21+1))*C35+(1-(2/(Inputs!$B$21+1)))*D34</f>
        <v>2435.0985007176441</v>
      </c>
      <c r="E35" s="19">
        <f>(2/(Inputs!$B$22+1))*C35+(1-(2/(Inputs!$B$22+1)))*E34</f>
        <v>2410.4264532058578</v>
      </c>
      <c r="F35" s="20">
        <f t="shared" si="0"/>
        <v>24.672047511786332</v>
      </c>
      <c r="G35" s="19">
        <f ca="1">F35/(C35*Prices!G35)</f>
        <v>1.3656239897086249</v>
      </c>
      <c r="H35" s="19">
        <f ca="1">G35*Inputs!$B$29</f>
        <v>2.5537168607551286</v>
      </c>
      <c r="I35" s="19">
        <f ca="1">MAX(-Inputs!$B$8,MIN(Inputs!$B$8,H35))</f>
        <v>2.5537168607551286</v>
      </c>
      <c r="J35" s="19">
        <f>(2/(Inputs!$B$23+1))*C35+(1-(2/(Inputs!$B$23+1)))*J34</f>
        <v>2481.404974274069</v>
      </c>
      <c r="K35" s="19">
        <f>(2/(Inputs!$B$24+1))*C35+(1-(2/(Inputs!$B$24+1)))*K34</f>
        <v>2435.0985007176441</v>
      </c>
      <c r="L35" s="19">
        <f ca="1">(J35-K35)/(C35*Prices!G35)</f>
        <v>2.5631124104009677</v>
      </c>
      <c r="M35" s="19">
        <f ca="1">MAX(-Inputs!$B$8,MIN(Inputs!$B$8,L35*Inputs!$B$30))</f>
        <v>9.6116715390036287</v>
      </c>
      <c r="N35" s="21">
        <v>2.4997999999999999E-2</v>
      </c>
      <c r="O35" s="12">
        <f>(2/(Inputs!$B$26+1))*N35+(1-(2/(Inputs!$B$26+1)))*O34</f>
        <v>1.8507570975207888E-2</v>
      </c>
      <c r="P35" s="19">
        <f ca="1">O35/(Prices!G35*SQRT(Inputs!$B$6))</f>
        <v>0.16139829561452507</v>
      </c>
      <c r="Q35" s="19">
        <f ca="1">MAX(-Inputs!$B$8,MIN(Inputs!$B$8,P35*Inputs!$B$31))</f>
        <v>4.8419488684357521</v>
      </c>
      <c r="R35" s="19"/>
    </row>
    <row r="36" spans="1:18" x14ac:dyDescent="0.25">
      <c r="A36" s="16">
        <f>Prices!A36</f>
        <v>33</v>
      </c>
      <c r="B36" s="17">
        <f>Prices!B36</f>
        <v>45916</v>
      </c>
      <c r="C36" s="18">
        <f>Prices!C36</f>
        <v>2485.6799999999998</v>
      </c>
      <c r="D36" s="19">
        <f>(2/(Inputs!$B$21+1))*C36+(1-(2/(Inputs!$B$21+1)))*D35</f>
        <v>2436.6548545417163</v>
      </c>
      <c r="E36" s="19">
        <f>(2/(Inputs!$B$22+1))*C36+(1-(2/(Inputs!$B$22+1)))*E35</f>
        <v>2411.0120839202091</v>
      </c>
      <c r="F36" s="20">
        <f t="shared" ref="F36:F67" si="1">D36-E36</f>
        <v>25.642770621507225</v>
      </c>
      <c r="G36" s="19">
        <f ca="1">F36/(C36*Prices!G36)</f>
        <v>1.2677341584958477</v>
      </c>
      <c r="H36" s="19">
        <f ca="1">G36*Inputs!$B$29</f>
        <v>2.3706628763872355</v>
      </c>
      <c r="I36" s="19">
        <f ca="1">MAX(-Inputs!$B$8,MIN(Inputs!$B$8,H36))</f>
        <v>2.3706628763872355</v>
      </c>
      <c r="J36" s="19">
        <f>(2/(Inputs!$B$23+1))*C36+(1-(2/(Inputs!$B$23+1)))*J35</f>
        <v>2481.9079184771199</v>
      </c>
      <c r="K36" s="19">
        <f>(2/(Inputs!$B$24+1))*C36+(1-(2/(Inputs!$B$24+1)))*K35</f>
        <v>2436.6548545417163</v>
      </c>
      <c r="L36" s="19">
        <f ca="1">(J36-K36)/(C36*Prices!G36)</f>
        <v>2.237233088977951</v>
      </c>
      <c r="M36" s="19">
        <f ca="1">MAX(-Inputs!$B$8,MIN(Inputs!$B$8,L36*Inputs!$B$30))</f>
        <v>8.3896240836673162</v>
      </c>
      <c r="N36" s="21">
        <v>2.4996000000000001E-2</v>
      </c>
      <c r="O36" s="12">
        <f>(2/(Inputs!$B$26+1))*N36+(1-(2/(Inputs!$B$26+1)))*O35</f>
        <v>1.8650173810917603E-2</v>
      </c>
      <c r="P36" s="19">
        <f ca="1">O36/(Prices!G36*SQRT(Inputs!$B$6))</f>
        <v>0.14324232570951684</v>
      </c>
      <c r="Q36" s="19">
        <f ca="1">MAX(-Inputs!$B$8,MIN(Inputs!$B$8,P36*Inputs!$B$31))</f>
        <v>4.2972697712855048</v>
      </c>
      <c r="R36" s="19"/>
    </row>
    <row r="37" spans="1:18" x14ac:dyDescent="0.25">
      <c r="A37" s="16">
        <f>Prices!A37</f>
        <v>34</v>
      </c>
      <c r="B37" s="17">
        <f>Prices!B37</f>
        <v>45917</v>
      </c>
      <c r="C37" s="18">
        <f>Prices!C37</f>
        <v>2423.54</v>
      </c>
      <c r="D37" s="19">
        <f>(2/(Inputs!$B$21+1))*C37+(1-(2/(Inputs!$B$21+1)))*D36</f>
        <v>2436.2513205558175</v>
      </c>
      <c r="E37" s="19">
        <f>(2/(Inputs!$B$22+1))*C37+(1-(2/(Inputs!$B$22+1)))*E36</f>
        <v>2411.1095774305577</v>
      </c>
      <c r="F37" s="20">
        <f t="shared" si="1"/>
        <v>25.141743125259836</v>
      </c>
      <c r="G37" s="19">
        <f ca="1">F37/(C37*Prices!G37)</f>
        <v>1.2289947119891511</v>
      </c>
      <c r="H37" s="19">
        <f ca="1">G37*Inputs!$B$29</f>
        <v>2.2982201114197127</v>
      </c>
      <c r="I37" s="19">
        <f ca="1">MAX(-Inputs!$B$8,MIN(Inputs!$B$8,H37))</f>
        <v>2.2982201114197127</v>
      </c>
      <c r="J37" s="19">
        <f>(2/(Inputs!$B$23+1))*C37+(1-(2/(Inputs!$B$23+1)))*J36</f>
        <v>2475.041104538635</v>
      </c>
      <c r="K37" s="19">
        <f>(2/(Inputs!$B$24+1))*C37+(1-(2/(Inputs!$B$24+1)))*K36</f>
        <v>2436.2513205558175</v>
      </c>
      <c r="L37" s="19">
        <f ca="1">(J37-K37)/(C37*Prices!G37)</f>
        <v>1.8961469440115204</v>
      </c>
      <c r="M37" s="19">
        <f ca="1">MAX(-Inputs!$B$8,MIN(Inputs!$B$8,L37*Inputs!$B$30))</f>
        <v>7.1105510400432017</v>
      </c>
      <c r="N37" s="21">
        <v>2.4969000000000002E-2</v>
      </c>
      <c r="O37" s="12">
        <f>(2/(Inputs!$B$26+1))*N37+(1-(2/(Inputs!$B$26+1)))*O36</f>
        <v>1.8789049111776555E-2</v>
      </c>
      <c r="P37" s="19">
        <f ca="1">O37/(Prices!G37*SQRT(Inputs!$B$6))</f>
        <v>0.1391200228687603</v>
      </c>
      <c r="Q37" s="19">
        <f ca="1">MAX(-Inputs!$B$8,MIN(Inputs!$B$8,P37*Inputs!$B$31))</f>
        <v>4.1736006860628088</v>
      </c>
      <c r="R37" s="19"/>
    </row>
    <row r="38" spans="1:18" x14ac:dyDescent="0.25">
      <c r="A38" s="16">
        <f>Prices!A38</f>
        <v>35</v>
      </c>
      <c r="B38" s="17">
        <f>Prices!B38</f>
        <v>45918</v>
      </c>
      <c r="C38" s="18">
        <f>Prices!C38</f>
        <v>2411.7399999999998</v>
      </c>
      <c r="D38" s="19">
        <f>(2/(Inputs!$B$21+1))*C38+(1-(2/(Inputs!$B$21+1)))*D37</f>
        <v>2435.4971260771767</v>
      </c>
      <c r="E38" s="19">
        <f>(2/(Inputs!$B$22+1))*C38+(1-(2/(Inputs!$B$22+1)))*E37</f>
        <v>2411.1144834427714</v>
      </c>
      <c r="F38" s="20">
        <f t="shared" si="1"/>
        <v>24.382642634405329</v>
      </c>
      <c r="G38" s="19">
        <f ca="1">F38/(C38*Prices!G38)</f>
        <v>1.2023697897347694</v>
      </c>
      <c r="H38" s="19">
        <f ca="1">G38*Inputs!$B$29</f>
        <v>2.2484315068040188</v>
      </c>
      <c r="I38" s="19">
        <f ca="1">MAX(-Inputs!$B$8,MIN(Inputs!$B$8,H38))</f>
        <v>2.2484315068040188</v>
      </c>
      <c r="J38" s="19">
        <f>(2/(Inputs!$B$23+1))*C38+(1-(2/(Inputs!$B$23+1)))*J37</f>
        <v>2467.5939157693833</v>
      </c>
      <c r="K38" s="19">
        <f>(2/(Inputs!$B$24+1))*C38+(1-(2/(Inputs!$B$24+1)))*K37</f>
        <v>2435.4971260771767</v>
      </c>
      <c r="L38" s="19">
        <f ca="1">(J38-K38)/(C38*Prices!G38)</f>
        <v>1.5827738958419415</v>
      </c>
      <c r="M38" s="19">
        <f ca="1">MAX(-Inputs!$B$8,MIN(Inputs!$B$8,L38*Inputs!$B$30))</f>
        <v>5.9354021094072804</v>
      </c>
      <c r="N38" s="21">
        <v>2.4917000000000002E-2</v>
      </c>
      <c r="O38" s="12">
        <f>(2/(Inputs!$B$26+1))*N38+(1-(2/(Inputs!$B$26+1)))*O37</f>
        <v>1.892372935107817E-2</v>
      </c>
      <c r="P38" s="19">
        <f ca="1">O38/(Prices!G38*SQRT(Inputs!$B$6))</f>
        <v>0.1406612635248716</v>
      </c>
      <c r="Q38" s="19">
        <f ca="1">MAX(-Inputs!$B$8,MIN(Inputs!$B$8,P38*Inputs!$B$31))</f>
        <v>4.2198379057461484</v>
      </c>
      <c r="R38" s="19"/>
    </row>
    <row r="39" spans="1:18" x14ac:dyDescent="0.25">
      <c r="A39" s="16">
        <f>Prices!A39</f>
        <v>36</v>
      </c>
      <c r="B39" s="17">
        <f>Prices!B39</f>
        <v>45919</v>
      </c>
      <c r="C39" s="18">
        <f>Prices!C39</f>
        <v>2392.54</v>
      </c>
      <c r="D39" s="19">
        <f>(2/(Inputs!$B$21+1))*C39+(1-(2/(Inputs!$B$21+1)))*D38</f>
        <v>2434.175368351725</v>
      </c>
      <c r="E39" s="19">
        <f>(2/(Inputs!$B$22+1))*C39+(1-(2/(Inputs!$B$22+1)))*E38</f>
        <v>2410.9699349334896</v>
      </c>
      <c r="F39" s="20">
        <f t="shared" si="1"/>
        <v>23.205433418235316</v>
      </c>
      <c r="G39" s="19">
        <f ca="1">F39/(C39*Prices!G39)</f>
        <v>1.1539683132200471</v>
      </c>
      <c r="H39" s="19">
        <f ca="1">G39*Inputs!$B$29</f>
        <v>2.1579207457214884</v>
      </c>
      <c r="I39" s="19">
        <f ca="1">MAX(-Inputs!$B$8,MIN(Inputs!$B$8,H39))</f>
        <v>2.1579207457214884</v>
      </c>
      <c r="J39" s="19">
        <f>(2/(Inputs!$B$23+1))*C39+(1-(2/(Inputs!$B$23+1)))*J38</f>
        <v>2458.7640433259267</v>
      </c>
      <c r="K39" s="19">
        <f>(2/(Inputs!$B$24+1))*C39+(1-(2/(Inputs!$B$24+1)))*K38</f>
        <v>2434.175368351725</v>
      </c>
      <c r="L39" s="19">
        <f ca="1">(J39-K39)/(C39*Prices!G39)</f>
        <v>1.2227546571915435</v>
      </c>
      <c r="M39" s="19">
        <f ca="1">MAX(-Inputs!$B$8,MIN(Inputs!$B$8,L39*Inputs!$B$30))</f>
        <v>4.5853299644682881</v>
      </c>
      <c r="N39" s="21">
        <v>2.4840000000000001E-2</v>
      </c>
      <c r="O39" s="12">
        <f>(2/(Inputs!$B$26+1))*N39+(1-(2/(Inputs!$B$26+1)))*O38</f>
        <v>1.9053757277428099E-2</v>
      </c>
      <c r="P39" s="19">
        <f ca="1">O39/(Prices!G39*SQRT(Inputs!$B$6))</f>
        <v>0.14168505808079282</v>
      </c>
      <c r="Q39" s="19">
        <f ca="1">MAX(-Inputs!$B$8,MIN(Inputs!$B$8,P39*Inputs!$B$31))</f>
        <v>4.2505517424237844</v>
      </c>
      <c r="R39" s="19"/>
    </row>
    <row r="40" spans="1:18" x14ac:dyDescent="0.25">
      <c r="A40" s="16">
        <f>Prices!A40</f>
        <v>37</v>
      </c>
      <c r="B40" s="17">
        <f>Prices!B40</f>
        <v>45922</v>
      </c>
      <c r="C40" s="18">
        <f>Prices!C40</f>
        <v>2416.37</v>
      </c>
      <c r="D40" s="19">
        <f>(2/(Inputs!$B$21+1))*C40+(1-(2/(Inputs!$B$21+1)))*D39</f>
        <v>2433.6275108639793</v>
      </c>
      <c r="E40" s="19">
        <f>(2/(Inputs!$B$22+1))*C40+(1-(2/(Inputs!$B$22+1)))*E39</f>
        <v>2411.0119587861477</v>
      </c>
      <c r="F40" s="20">
        <f t="shared" si="1"/>
        <v>22.61555207783158</v>
      </c>
      <c r="G40" s="19">
        <f ca="1">F40/(C40*Prices!G40)</f>
        <v>1.0963735875874066</v>
      </c>
      <c r="H40" s="19">
        <f ca="1">G40*Inputs!$B$29</f>
        <v>2.0502186087884504</v>
      </c>
      <c r="I40" s="19">
        <f ca="1">MAX(-Inputs!$B$8,MIN(Inputs!$B$8,H40))</f>
        <v>2.0502186087884504</v>
      </c>
      <c r="J40" s="19">
        <f>(2/(Inputs!$B$23+1))*C40+(1-(2/(Inputs!$B$23+1)))*J39</f>
        <v>2453.7765088169945</v>
      </c>
      <c r="K40" s="19">
        <f>(2/(Inputs!$B$24+1))*C40+(1-(2/(Inputs!$B$24+1)))*K39</f>
        <v>2433.6275108639793</v>
      </c>
      <c r="L40" s="19">
        <f ca="1">(J40-K40)/(C40*Prices!G40)</f>
        <v>0.97679813855584019</v>
      </c>
      <c r="M40" s="19">
        <f ca="1">MAX(-Inputs!$B$8,MIN(Inputs!$B$8,L40*Inputs!$B$30))</f>
        <v>3.6629930195844009</v>
      </c>
      <c r="N40" s="21">
        <v>2.4738E-2</v>
      </c>
      <c r="O40" s="12">
        <f>(2/(Inputs!$B$26+1))*N40+(1-(2/(Inputs!$B$26+1)))*O39</f>
        <v>1.9178685688913195E-2</v>
      </c>
      <c r="P40" s="19">
        <f ca="1">O40/(Prices!G40*SQRT(Inputs!$B$6))</f>
        <v>0.14041505191107104</v>
      </c>
      <c r="Q40" s="19">
        <f ca="1">MAX(-Inputs!$B$8,MIN(Inputs!$B$8,P40*Inputs!$B$31))</f>
        <v>4.2124515573321313</v>
      </c>
      <c r="R40" s="19"/>
    </row>
    <row r="41" spans="1:18" x14ac:dyDescent="0.25">
      <c r="A41" s="16">
        <f>Prices!A41</f>
        <v>38</v>
      </c>
      <c r="B41" s="17">
        <f>Prices!B41</f>
        <v>45923</v>
      </c>
      <c r="C41" s="18">
        <f>Prices!C41</f>
        <v>2435.3200000000002</v>
      </c>
      <c r="D41" s="19">
        <f>(2/(Inputs!$B$21+1))*C41+(1-(2/(Inputs!$B$21+1)))*D40</f>
        <v>2433.6795874527797</v>
      </c>
      <c r="E41" s="19">
        <f>(2/(Inputs!$B$22+1))*C41+(1-(2/(Inputs!$B$22+1)))*E40</f>
        <v>2411.2011264220532</v>
      </c>
      <c r="F41" s="20">
        <f t="shared" si="1"/>
        <v>22.478461030726521</v>
      </c>
      <c r="G41" s="19">
        <f ca="1">F41/(C41*Prices!G41)</f>
        <v>1.0738761614720325</v>
      </c>
      <c r="H41" s="19">
        <f ca="1">G41*Inputs!$B$29</f>
        <v>2.0081484219527006</v>
      </c>
      <c r="I41" s="19">
        <f ca="1">MAX(-Inputs!$B$8,MIN(Inputs!$B$8,H41))</f>
        <v>2.0081484219527006</v>
      </c>
      <c r="J41" s="19">
        <f>(2/(Inputs!$B$23+1))*C41+(1-(2/(Inputs!$B$23+1)))*J40</f>
        <v>2451.6051548385244</v>
      </c>
      <c r="K41" s="19">
        <f>(2/(Inputs!$B$24+1))*C41+(1-(2/(Inputs!$B$24+1)))*K40</f>
        <v>2433.6795874527797</v>
      </c>
      <c r="L41" s="19">
        <f ca="1">(J41-K41)/(C41*Prices!G41)</f>
        <v>0.85636821266805263</v>
      </c>
      <c r="M41" s="19">
        <f ca="1">MAX(-Inputs!$B$8,MIN(Inputs!$B$8,L41*Inputs!$B$30))</f>
        <v>3.2113807975051976</v>
      </c>
      <c r="N41" s="21">
        <v>2.4612999999999999E-2</v>
      </c>
      <c r="O41" s="12">
        <f>(2/(Inputs!$B$26+1))*N41+(1-(2/(Inputs!$B$26+1)))*O40</f>
        <v>1.929812116827774E-2</v>
      </c>
      <c r="P41" s="19">
        <f ca="1">O41/(Prices!G41*SQRT(Inputs!$B$6))</f>
        <v>0.14032618201604735</v>
      </c>
      <c r="Q41" s="19">
        <f ca="1">MAX(-Inputs!$B$8,MIN(Inputs!$B$8,P41*Inputs!$B$31))</f>
        <v>4.2097854604814202</v>
      </c>
      <c r="R41" s="19"/>
    </row>
    <row r="42" spans="1:18" x14ac:dyDescent="0.25">
      <c r="A42" s="16">
        <f>Prices!A42</f>
        <v>39</v>
      </c>
      <c r="B42" s="17">
        <f>Prices!B42</f>
        <v>45924</v>
      </c>
      <c r="C42" s="18">
        <f>Prices!C42</f>
        <v>2408.56</v>
      </c>
      <c r="D42" s="19">
        <f>(2/(Inputs!$B$21+1))*C42+(1-(2/(Inputs!$B$21+1)))*D41</f>
        <v>2432.9066770696172</v>
      </c>
      <c r="E42" s="19">
        <f>(2/(Inputs!$B$22+1))*C42+(1-(2/(Inputs!$B$22+1)))*E41</f>
        <v>2411.1805729090411</v>
      </c>
      <c r="F42" s="20">
        <f t="shared" si="1"/>
        <v>21.726104160576142</v>
      </c>
      <c r="G42" s="19">
        <f ca="1">F42/(C42*Prices!G42)</f>
        <v>1.0283277233338215</v>
      </c>
      <c r="H42" s="19">
        <f ca="1">G42*Inputs!$B$29</f>
        <v>1.9229728426342463</v>
      </c>
      <c r="I42" s="19">
        <f ca="1">MAX(-Inputs!$B$8,MIN(Inputs!$B$8,H42))</f>
        <v>1.9229728426342463</v>
      </c>
      <c r="J42" s="19">
        <f>(2/(Inputs!$B$23+1))*C42+(1-(2/(Inputs!$B$23+1)))*J41</f>
        <v>2446.5410189751688</v>
      </c>
      <c r="K42" s="19">
        <f>(2/(Inputs!$B$24+1))*C42+(1-(2/(Inputs!$B$24+1)))*K41</f>
        <v>2432.9066770696172</v>
      </c>
      <c r="L42" s="19">
        <f ca="1">(J42-K42)/(C42*Prices!G42)</f>
        <v>0.64533299054748372</v>
      </c>
      <c r="M42" s="19">
        <f ca="1">MAX(-Inputs!$B$8,MIN(Inputs!$B$8,L42*Inputs!$B$30))</f>
        <v>2.4199987145530639</v>
      </c>
      <c r="N42" s="21">
        <v>2.4462999999999999E-2</v>
      </c>
      <c r="O42" s="12">
        <f>(2/(Inputs!$B$26+1))*N42+(1-(2/(Inputs!$B$26+1)))*O41</f>
        <v>1.9411634988755151E-2</v>
      </c>
      <c r="P42" s="19">
        <f ca="1">O42/(Prices!G42*SQRT(Inputs!$B$6))</f>
        <v>0.13830863344889527</v>
      </c>
      <c r="Q42" s="19">
        <f ca="1">MAX(-Inputs!$B$8,MIN(Inputs!$B$8,P42*Inputs!$B$31))</f>
        <v>4.1492590034668577</v>
      </c>
      <c r="R42" s="19"/>
    </row>
    <row r="43" spans="1:18" x14ac:dyDescent="0.25">
      <c r="A43" s="16">
        <f>Prices!A43</f>
        <v>40</v>
      </c>
      <c r="B43" s="17">
        <f>Prices!B43</f>
        <v>45925</v>
      </c>
      <c r="C43" s="18">
        <f>Prices!C43</f>
        <v>2431.86</v>
      </c>
      <c r="D43" s="19">
        <f>(2/(Inputs!$B$21+1))*C43+(1-(2/(Inputs!$B$21+1)))*D42</f>
        <v>2432.8744716213214</v>
      </c>
      <c r="E43" s="19">
        <f>(2/(Inputs!$B$22+1))*C43+(1-(2/(Inputs!$B$22+1)))*E42</f>
        <v>2411.3415023027451</v>
      </c>
      <c r="F43" s="20">
        <f t="shared" si="1"/>
        <v>21.532969318576306</v>
      </c>
      <c r="G43" s="19">
        <f ca="1">F43/(C43*Prices!G43)</f>
        <v>1.005177805759691</v>
      </c>
      <c r="H43" s="19">
        <f ca="1">G43*Inputs!$B$29</f>
        <v>1.8796824967706223</v>
      </c>
      <c r="I43" s="19">
        <f ca="1">MAX(-Inputs!$B$8,MIN(Inputs!$B$8,H43))</f>
        <v>1.8796824967706223</v>
      </c>
      <c r="J43" s="19">
        <f>(2/(Inputs!$B$23+1))*C43+(1-(2/(Inputs!$B$23+1)))*J42</f>
        <v>2444.8138402722075</v>
      </c>
      <c r="K43" s="19">
        <f>(2/(Inputs!$B$24+1))*C43+(1-(2/(Inputs!$B$24+1)))*K42</f>
        <v>2432.8744716213214</v>
      </c>
      <c r="L43" s="19">
        <f ca="1">(J43-K43)/(C43*Prices!G43)</f>
        <v>0.55734015151827632</v>
      </c>
      <c r="M43" s="19">
        <f ca="1">MAX(-Inputs!$B$8,MIN(Inputs!$B$8,L43*Inputs!$B$30))</f>
        <v>2.090025568193536</v>
      </c>
      <c r="N43" s="21">
        <v>2.4289999999999999E-2</v>
      </c>
      <c r="O43" s="12">
        <f>(2/(Inputs!$B$26+1))*N43+(1-(2/(Inputs!$B$26+1)))*O42</f>
        <v>1.9518851802189104E-2</v>
      </c>
      <c r="P43" s="19">
        <f ca="1">O43/(Prices!G43*SQRT(Inputs!$B$6))</f>
        <v>0.13848789772940581</v>
      </c>
      <c r="Q43" s="19">
        <f ca="1">MAX(-Inputs!$B$8,MIN(Inputs!$B$8,P43*Inputs!$B$31))</f>
        <v>4.1546369318821741</v>
      </c>
      <c r="R43" s="19"/>
    </row>
    <row r="44" spans="1:18" x14ac:dyDescent="0.25">
      <c r="A44" s="16">
        <f>Prices!A44</f>
        <v>41</v>
      </c>
      <c r="B44" s="17">
        <f>Prices!B44</f>
        <v>45926</v>
      </c>
      <c r="C44" s="18">
        <f>Prices!C44</f>
        <v>2410.4</v>
      </c>
      <c r="D44" s="19">
        <f>(2/(Inputs!$B$21+1))*C44+(1-(2/(Inputs!$B$21+1)))*D43</f>
        <v>2432.1829494175886</v>
      </c>
      <c r="E44" s="19">
        <f>(2/(Inputs!$B$22+1))*C44+(1-(2/(Inputs!$B$22+1)))*E43</f>
        <v>2411.3341754365761</v>
      </c>
      <c r="F44" s="20">
        <f t="shared" si="1"/>
        <v>20.848773981012528</v>
      </c>
      <c r="G44" s="19">
        <f ca="1">F44/(C44*Prices!G44)</f>
        <v>0.97142685241420157</v>
      </c>
      <c r="H44" s="19">
        <f ca="1">G44*Inputs!$B$29</f>
        <v>1.8165682140145571</v>
      </c>
      <c r="I44" s="19">
        <f ca="1">MAX(-Inputs!$B$8,MIN(Inputs!$B$8,H44))</f>
        <v>1.8165682140145571</v>
      </c>
      <c r="J44" s="19">
        <f>(2/(Inputs!$B$23+1))*C44+(1-(2/(Inputs!$B$23+1)))*J43</f>
        <v>2440.7651531813594</v>
      </c>
      <c r="K44" s="19">
        <f>(2/(Inputs!$B$24+1))*C44+(1-(2/(Inputs!$B$24+1)))*K43</f>
        <v>2432.1829494175886</v>
      </c>
      <c r="L44" s="19">
        <f ca="1">(J44-K44)/(C44*Prices!G44)</f>
        <v>0.3998788224482609</v>
      </c>
      <c r="M44" s="19">
        <f ca="1">MAX(-Inputs!$B$8,MIN(Inputs!$B$8,L44*Inputs!$B$30))</f>
        <v>1.4995455841809784</v>
      </c>
      <c r="N44" s="21">
        <v>2.4093E-2</v>
      </c>
      <c r="O44" s="12">
        <f>(2/(Inputs!$B$26+1))*N44+(1-(2/(Inputs!$B$26+1)))*O43</f>
        <v>1.9619382531811322E-2</v>
      </c>
      <c r="P44" s="19">
        <f ca="1">O44/(Prices!G44*SQRT(Inputs!$B$6))</f>
        <v>0.13771589026076522</v>
      </c>
      <c r="Q44" s="19">
        <f ca="1">MAX(-Inputs!$B$8,MIN(Inputs!$B$8,P44*Inputs!$B$31))</f>
        <v>4.1314767078229568</v>
      </c>
      <c r="R44" s="19"/>
    </row>
    <row r="45" spans="1:18" x14ac:dyDescent="0.25">
      <c r="A45" s="16">
        <f>Prices!A45</f>
        <v>42</v>
      </c>
      <c r="B45" s="17">
        <f>Prices!B45</f>
        <v>45929</v>
      </c>
      <c r="C45" s="18">
        <f>Prices!C45</f>
        <v>2411.2199999999998</v>
      </c>
      <c r="D45" s="19">
        <f>(2/(Inputs!$B$21+1))*C45+(1-(2/(Inputs!$B$21+1)))*D44</f>
        <v>2431.5379355893551</v>
      </c>
      <c r="E45" s="19">
        <f>(2/(Inputs!$B$22+1))*C45+(1-(2/(Inputs!$B$22+1)))*E44</f>
        <v>2411.3332869117776</v>
      </c>
      <c r="F45" s="20">
        <f t="shared" si="1"/>
        <v>20.204648677577552</v>
      </c>
      <c r="G45" s="19">
        <f ca="1">F45/(C45*Prices!G45)</f>
        <v>0.96902953672765102</v>
      </c>
      <c r="H45" s="19">
        <f ca="1">G45*Inputs!$B$29</f>
        <v>1.8120852336807076</v>
      </c>
      <c r="I45" s="19">
        <f ca="1">MAX(-Inputs!$B$8,MIN(Inputs!$B$8,H45))</f>
        <v>1.8120852336807076</v>
      </c>
      <c r="J45" s="19">
        <f>(2/(Inputs!$B$23+1))*C45+(1-(2/(Inputs!$B$23+1)))*J44</f>
        <v>2437.2892528070815</v>
      </c>
      <c r="K45" s="19">
        <f>(2/(Inputs!$B$24+1))*C45+(1-(2/(Inputs!$B$24+1)))*K44</f>
        <v>2431.5379355893551</v>
      </c>
      <c r="L45" s="19">
        <f ca="1">(J45-K45)/(C45*Prices!G45)</f>
        <v>0.27583732575623221</v>
      </c>
      <c r="M45" s="19">
        <f ca="1">MAX(-Inputs!$B$8,MIN(Inputs!$B$8,L45*Inputs!$B$30))</f>
        <v>1.0343899715858709</v>
      </c>
      <c r="N45" s="21">
        <v>2.3873999999999999E-2</v>
      </c>
      <c r="O45" s="12">
        <f>(2/(Inputs!$B$26+1))*N45+(1-(2/(Inputs!$B$26+1)))*O44</f>
        <v>1.9712890608035247E-2</v>
      </c>
      <c r="P45" s="19">
        <f ca="1">O45/(Prices!G45*SQRT(Inputs!$B$6))</f>
        <v>0.14247966263619447</v>
      </c>
      <c r="Q45" s="19">
        <f ca="1">MAX(-Inputs!$B$8,MIN(Inputs!$B$8,P45*Inputs!$B$31))</f>
        <v>4.2743898790858337</v>
      </c>
      <c r="R45" s="19"/>
    </row>
    <row r="46" spans="1:18" x14ac:dyDescent="0.25">
      <c r="A46" s="16">
        <f>Prices!A46</f>
        <v>43</v>
      </c>
      <c r="B46" s="17">
        <f>Prices!B46</f>
        <v>45930</v>
      </c>
      <c r="C46" s="18">
        <f>Prices!C46</f>
        <v>2407.02</v>
      </c>
      <c r="D46" s="19">
        <f>(2/(Inputs!$B$21+1))*C46+(1-(2/(Inputs!$B$21+1)))*D45</f>
        <v>2430.7835375712211</v>
      </c>
      <c r="E46" s="19">
        <f>(2/(Inputs!$B$22+1))*C46+(1-(2/(Inputs!$B$22+1)))*E45</f>
        <v>2411.2997204766662</v>
      </c>
      <c r="F46" s="20">
        <f t="shared" si="1"/>
        <v>19.483817094554979</v>
      </c>
      <c r="G46" s="19">
        <f ca="1">F46/(C46*Prices!G46)</f>
        <v>0.9411152264547441</v>
      </c>
      <c r="H46" s="19">
        <f ca="1">G46*Inputs!$B$29</f>
        <v>1.7598854734703715</v>
      </c>
      <c r="I46" s="19">
        <f ca="1">MAX(-Inputs!$B$8,MIN(Inputs!$B$8,H46))</f>
        <v>1.7598854734703715</v>
      </c>
      <c r="J46" s="19">
        <f>(2/(Inputs!$B$23+1))*C46+(1-(2/(Inputs!$B$23+1)))*J45</f>
        <v>2433.7281642415423</v>
      </c>
      <c r="K46" s="19">
        <f>(2/(Inputs!$B$24+1))*C46+(1-(2/(Inputs!$B$24+1)))*K45</f>
        <v>2430.7835375712211</v>
      </c>
      <c r="L46" s="19">
        <f ca="1">(J46-K46)/(C46*Prices!G46)</f>
        <v>0.14223255033729951</v>
      </c>
      <c r="M46" s="19">
        <f ca="1">MAX(-Inputs!$B$8,MIN(Inputs!$B$8,L46*Inputs!$B$30))</f>
        <v>0.53337206376487312</v>
      </c>
      <c r="N46" s="21">
        <v>2.3632E-2</v>
      </c>
      <c r="O46" s="12">
        <f>(2/(Inputs!$B$26+1))*N46+(1-(2/(Inputs!$B$26+1)))*O45</f>
        <v>1.979902488038612E-2</v>
      </c>
      <c r="P46" s="19">
        <f ca="1">O46/(Prices!G46*SQRT(Inputs!$B$6))</f>
        <v>0.14387067249654659</v>
      </c>
      <c r="Q46" s="19">
        <f ca="1">MAX(-Inputs!$B$8,MIN(Inputs!$B$8,P46*Inputs!$B$31))</f>
        <v>4.3161201748963975</v>
      </c>
      <c r="R46" s="19"/>
    </row>
    <row r="47" spans="1:18" x14ac:dyDescent="0.25">
      <c r="A47" s="16">
        <f>Prices!A47</f>
        <v>44</v>
      </c>
      <c r="B47" s="17">
        <f>Prices!B47</f>
        <v>45931</v>
      </c>
      <c r="C47" s="18">
        <f>Prices!C47</f>
        <v>2412.67</v>
      </c>
      <c r="D47" s="19">
        <f>(2/(Inputs!$B$21+1))*C47+(1-(2/(Inputs!$B$21+1)))*D46</f>
        <v>2430.2261979536452</v>
      </c>
      <c r="E47" s="19">
        <f>(2/(Inputs!$B$22+1))*C47+(1-(2/(Inputs!$B$22+1)))*E46</f>
        <v>2411.3103841305442</v>
      </c>
      <c r="F47" s="20">
        <f t="shared" si="1"/>
        <v>18.915813823100962</v>
      </c>
      <c r="G47" s="19">
        <f ca="1">F47/(C47*Prices!G47)</f>
        <v>0.91430183337050164</v>
      </c>
      <c r="H47" s="19">
        <f ca="1">G47*Inputs!$B$29</f>
        <v>1.7097444284028382</v>
      </c>
      <c r="I47" s="19">
        <f ca="1">MAX(-Inputs!$B$8,MIN(Inputs!$B$8,H47))</f>
        <v>1.7097444284028382</v>
      </c>
      <c r="J47" s="19">
        <f>(2/(Inputs!$B$23+1))*C47+(1-(2/(Inputs!$B$23+1)))*J46</f>
        <v>2431.250733154302</v>
      </c>
      <c r="K47" s="19">
        <f>(2/(Inputs!$B$24+1))*C47+(1-(2/(Inputs!$B$24+1)))*K46</f>
        <v>2430.2261979536452</v>
      </c>
      <c r="L47" s="19">
        <f ca="1">(J47-K47)/(C47*Prices!G47)</f>
        <v>4.9521232397052077E-2</v>
      </c>
      <c r="M47" s="19">
        <f ca="1">MAX(-Inputs!$B$8,MIN(Inputs!$B$8,L47*Inputs!$B$30))</f>
        <v>0.18570462148894529</v>
      </c>
      <c r="N47" s="21">
        <v>2.3369000000000001E-2</v>
      </c>
      <c r="O47" s="12">
        <f>(2/(Inputs!$B$26+1))*N47+(1-(2/(Inputs!$B$26+1)))*O46</f>
        <v>1.9877485872025986E-2</v>
      </c>
      <c r="P47" s="19">
        <f ca="1">O47/(Prices!G47*SQRT(Inputs!$B$6))</f>
        <v>0.14487850459202306</v>
      </c>
      <c r="Q47" s="19">
        <f ca="1">MAX(-Inputs!$B$8,MIN(Inputs!$B$8,P47*Inputs!$B$31))</f>
        <v>4.3463551377606917</v>
      </c>
      <c r="R47" s="19"/>
    </row>
    <row r="48" spans="1:18" x14ac:dyDescent="0.25">
      <c r="A48" s="16">
        <f>Prices!A48</f>
        <v>45</v>
      </c>
      <c r="B48" s="17">
        <f>Prices!B48</f>
        <v>45932</v>
      </c>
      <c r="C48" s="18">
        <f>Prices!C48</f>
        <v>2435.31</v>
      </c>
      <c r="D48" s="19">
        <f>(2/(Inputs!$B$21+1))*C48+(1-(2/(Inputs!$B$21+1)))*D47</f>
        <v>2430.3826226319948</v>
      </c>
      <c r="E48" s="19">
        <f>(2/(Inputs!$B$22+1))*C48+(1-(2/(Inputs!$B$22+1)))*E47</f>
        <v>2411.4971515692173</v>
      </c>
      <c r="F48" s="20">
        <f t="shared" si="1"/>
        <v>18.885471062777469</v>
      </c>
      <c r="G48" s="19">
        <f ca="1">F48/(C48*Prices!G48)</f>
        <v>0.89412846851402816</v>
      </c>
      <c r="H48" s="19">
        <f ca="1">G48*Inputs!$B$29</f>
        <v>1.6720202361212329</v>
      </c>
      <c r="I48" s="19">
        <f ca="1">MAX(-Inputs!$B$8,MIN(Inputs!$B$8,H48))</f>
        <v>1.6720202361212329</v>
      </c>
      <c r="J48" s="19">
        <f>(2/(Inputs!$B$23+1))*C48+(1-(2/(Inputs!$B$23+1)))*J47</f>
        <v>2431.728293959678</v>
      </c>
      <c r="K48" s="19">
        <f>(2/(Inputs!$B$24+1))*C48+(1-(2/(Inputs!$B$24+1)))*K47</f>
        <v>2430.3826226319948</v>
      </c>
      <c r="L48" s="19">
        <f ca="1">(J48-K48)/(C48*Prices!G48)</f>
        <v>6.3710512665798885E-2</v>
      </c>
      <c r="M48" s="19">
        <f ca="1">MAX(-Inputs!$B$8,MIN(Inputs!$B$8,L48*Inputs!$B$30))</f>
        <v>0.23891442249674583</v>
      </c>
      <c r="N48" s="21">
        <v>2.3085000000000001E-2</v>
      </c>
      <c r="O48" s="12">
        <f>(2/(Inputs!$B$26+1))*N48+(1-(2/(Inputs!$B$26+1)))*O47</f>
        <v>1.9947980688025412E-2</v>
      </c>
      <c r="P48" s="19">
        <f ca="1">O48/(Prices!G48*SQRT(Inputs!$B$6))</f>
        <v>0.14374915794156665</v>
      </c>
      <c r="Q48" s="19">
        <f ca="1">MAX(-Inputs!$B$8,MIN(Inputs!$B$8,P48*Inputs!$B$31))</f>
        <v>4.3124747382469995</v>
      </c>
      <c r="R48" s="19"/>
    </row>
    <row r="49" spans="1:18" x14ac:dyDescent="0.25">
      <c r="A49" s="16">
        <f>Prices!A49</f>
        <v>46</v>
      </c>
      <c r="B49" s="17">
        <f>Prices!B49</f>
        <v>45933</v>
      </c>
      <c r="C49" s="18">
        <f>Prices!C49</f>
        <v>2453.7800000000002</v>
      </c>
      <c r="D49" s="19">
        <f>(2/(Inputs!$B$21+1))*C49+(1-(2/(Inputs!$B$21+1)))*D48</f>
        <v>2431.102541935626</v>
      </c>
      <c r="E49" s="19">
        <f>(2/(Inputs!$B$22+1))*C49+(1-(2/(Inputs!$B$22+1)))*E48</f>
        <v>2411.826200973348</v>
      </c>
      <c r="F49" s="20">
        <f t="shared" si="1"/>
        <v>19.276340962278027</v>
      </c>
      <c r="G49" s="19">
        <f ca="1">F49/(C49*Prices!G49)</f>
        <v>0.90108297382852787</v>
      </c>
      <c r="H49" s="19">
        <f ca="1">G49*Inputs!$B$29</f>
        <v>1.6850251610593472</v>
      </c>
      <c r="I49" s="19">
        <f ca="1">MAX(-Inputs!$B$8,MIN(Inputs!$B$8,H49))</f>
        <v>1.6850251610593472</v>
      </c>
      <c r="J49" s="19">
        <f>(2/(Inputs!$B$23+1))*C49+(1-(2/(Inputs!$B$23+1)))*J48</f>
        <v>2434.3226123173627</v>
      </c>
      <c r="K49" s="19">
        <f>(2/(Inputs!$B$24+1))*C49+(1-(2/(Inputs!$B$24+1)))*K48</f>
        <v>2431.102541935626</v>
      </c>
      <c r="L49" s="19">
        <f ca="1">(J49-K49)/(C49*Prices!G49)</f>
        <v>0.15052392988848051</v>
      </c>
      <c r="M49" s="19">
        <f ca="1">MAX(-Inputs!$B$8,MIN(Inputs!$B$8,L49*Inputs!$B$30))</f>
        <v>0.56446473708180189</v>
      </c>
      <c r="N49" s="21">
        <v>2.2780999999999999E-2</v>
      </c>
      <c r="O49" s="12">
        <f>(2/(Inputs!$B$26+1))*N49+(1-(2/(Inputs!$B$26+1)))*O48</f>
        <v>2.001024484872815E-2</v>
      </c>
      <c r="P49" s="19">
        <f ca="1">O49/(Prices!G49*SQRT(Inputs!$B$6))</f>
        <v>0.1434525347869198</v>
      </c>
      <c r="Q49" s="19">
        <f ca="1">MAX(-Inputs!$B$8,MIN(Inputs!$B$8,P49*Inputs!$B$31))</f>
        <v>4.3035760436075936</v>
      </c>
      <c r="R49" s="19">
        <f ca="1">MAX(-Inputs!$B$8,MIN(Inputs!$B$8,Inputs!$B$32*(40*(C49-AVERAGE(OFFSET(Prices!C49,-(Inputs!$B$25-1),0,Inputs!$B$25,1)))/(MAX(OFFSET(Prices!C49,-(Inputs!$B$25-1),0,Inputs!$B$25,1))-MIN(OFFSET(Prices!C49,-(Inputs!$B$25-1),0,Inputs!$B$25,1))))))</f>
        <v>2.0793089092424513</v>
      </c>
    </row>
    <row r="50" spans="1:18" x14ac:dyDescent="0.25">
      <c r="A50" s="16">
        <f>Prices!A50</f>
        <v>47</v>
      </c>
      <c r="B50" s="17">
        <f>Prices!B50</f>
        <v>45936</v>
      </c>
      <c r="C50" s="18">
        <f>Prices!C50</f>
        <v>2465.31</v>
      </c>
      <c r="D50" s="19">
        <f>(2/(Inputs!$B$21+1))*C50+(1-(2/(Inputs!$B$21+1)))*D49</f>
        <v>2432.1550791068375</v>
      </c>
      <c r="E50" s="19">
        <f>(2/(Inputs!$B$22+1))*C50+(1-(2/(Inputs!$B$22+1)))*E49</f>
        <v>2412.2424173081858</v>
      </c>
      <c r="F50" s="20">
        <f t="shared" si="1"/>
        <v>19.912661798651698</v>
      </c>
      <c r="G50" s="19">
        <f ca="1">F50/(C50*Prices!G50)</f>
        <v>0.92770844555005727</v>
      </c>
      <c r="H50" s="19">
        <f ca="1">G50*Inputs!$B$29</f>
        <v>1.7348147931786071</v>
      </c>
      <c r="I50" s="19">
        <f ca="1">MAX(-Inputs!$B$8,MIN(Inputs!$B$8,H50))</f>
        <v>1.7348147931786071</v>
      </c>
      <c r="J50" s="19">
        <f>(2/(Inputs!$B$23+1))*C50+(1-(2/(Inputs!$B$23+1)))*J49</f>
        <v>2437.9681873388495</v>
      </c>
      <c r="K50" s="19">
        <f>(2/(Inputs!$B$24+1))*C50+(1-(2/(Inputs!$B$24+1)))*K49</f>
        <v>2432.1550791068375</v>
      </c>
      <c r="L50" s="19">
        <f ca="1">(J50-K50)/(C50*Prices!G50)</f>
        <v>0.27082615354312817</v>
      </c>
      <c r="M50" s="19">
        <f ca="1">MAX(-Inputs!$B$8,MIN(Inputs!$B$8,L50*Inputs!$B$30))</f>
        <v>1.0155980757867307</v>
      </c>
      <c r="N50" s="21">
        <v>2.2457000000000001E-2</v>
      </c>
      <c r="O50" s="12">
        <f>(2/(Inputs!$B$26+1))*N50+(1-(2/(Inputs!$B$26+1)))*O49</f>
        <v>2.0064019687217643E-2</v>
      </c>
      <c r="P50" s="19">
        <f ca="1">O50/(Prices!G50*SQRT(Inputs!$B$6))</f>
        <v>0.14402957945334183</v>
      </c>
      <c r="Q50" s="19">
        <f ca="1">MAX(-Inputs!$B$8,MIN(Inputs!$B$8,P50*Inputs!$B$31))</f>
        <v>4.3208873836002546</v>
      </c>
      <c r="R50" s="19">
        <f ca="1">MAX(-Inputs!$B$8,MIN(Inputs!$B$8,Inputs!$B$32*(40*(C50-AVERAGE(OFFSET(Prices!C50,-(Inputs!$B$25-1),0,Inputs!$B$25,1)))/(MAX(OFFSET(Prices!C50,-(Inputs!$B$25-1),0,Inputs!$B$25,1))-MIN(OFFSET(Prices!C50,-(Inputs!$B$25-1),0,Inputs!$B$25,1))))))</f>
        <v>4.0667193562294477</v>
      </c>
    </row>
    <row r="51" spans="1:18" x14ac:dyDescent="0.25">
      <c r="A51" s="16">
        <f>Prices!A51</f>
        <v>48</v>
      </c>
      <c r="B51" s="17">
        <f>Prices!B51</f>
        <v>45937</v>
      </c>
      <c r="C51" s="18">
        <f>Prices!C51</f>
        <v>2484.29</v>
      </c>
      <c r="D51" s="19">
        <f>(2/(Inputs!$B$21+1))*C51+(1-(2/(Inputs!$B$21+1)))*D50</f>
        <v>2433.7592305189351</v>
      </c>
      <c r="E51" s="19">
        <f>(2/(Inputs!$B$22+1))*C51+(1-(2/(Inputs!$B$22+1)))*E50</f>
        <v>2412.8030988855539</v>
      </c>
      <c r="F51" s="20">
        <f t="shared" si="1"/>
        <v>20.956131633381119</v>
      </c>
      <c r="G51" s="19">
        <f ca="1">F51/(C51*Prices!G51)</f>
        <v>0.98258403163580676</v>
      </c>
      <c r="H51" s="19">
        <f ca="1">G51*Inputs!$B$29</f>
        <v>1.8374321391589588</v>
      </c>
      <c r="I51" s="19">
        <f ca="1">MAX(-Inputs!$B$8,MIN(Inputs!$B$8,H51))</f>
        <v>1.8374321391589588</v>
      </c>
      <c r="J51" s="19">
        <f>(2/(Inputs!$B$23+1))*C51+(1-(2/(Inputs!$B$23+1)))*J50</f>
        <v>2443.4178123578085</v>
      </c>
      <c r="K51" s="19">
        <f>(2/(Inputs!$B$24+1))*C51+(1-(2/(Inputs!$B$24+1)))*K50</f>
        <v>2433.7592305189351</v>
      </c>
      <c r="L51" s="19">
        <f ca="1">(J51-K51)/(C51*Prices!G51)</f>
        <v>0.45286832747354211</v>
      </c>
      <c r="M51" s="19">
        <f ca="1">MAX(-Inputs!$B$8,MIN(Inputs!$B$8,L51*Inputs!$B$30))</f>
        <v>1.6982562280257829</v>
      </c>
      <c r="N51" s="21">
        <v>2.2114999999999999E-2</v>
      </c>
      <c r="O51" s="12">
        <f>(2/(Inputs!$B$26+1))*N51+(1-(2/(Inputs!$B$26+1)))*O50</f>
        <v>2.0109096177608463E-2</v>
      </c>
      <c r="P51" s="19">
        <f ca="1">O51/(Prices!G51*SQRT(Inputs!$B$6))</f>
        <v>0.1463974270489608</v>
      </c>
      <c r="Q51" s="19">
        <f ca="1">MAX(-Inputs!$B$8,MIN(Inputs!$B$8,P51*Inputs!$B$31))</f>
        <v>4.3919228114688238</v>
      </c>
      <c r="R51" s="19">
        <f ca="1">MAX(-Inputs!$B$8,MIN(Inputs!$B$8,Inputs!$B$32*(40*(C51-AVERAGE(OFFSET(Prices!C51,-(Inputs!$B$25-1),0,Inputs!$B$25,1)))/(MAX(OFFSET(Prices!C51,-(Inputs!$B$25-1),0,Inputs!$B$25,1))-MIN(OFFSET(Prices!C51,-(Inputs!$B$25-1),0,Inputs!$B$25,1))))))</f>
        <v>7.4378646357236446</v>
      </c>
    </row>
    <row r="52" spans="1:18" x14ac:dyDescent="0.25">
      <c r="A52" s="16">
        <f>Prices!A52</f>
        <v>49</v>
      </c>
      <c r="B52" s="17">
        <f>Prices!B52</f>
        <v>45938</v>
      </c>
      <c r="C52" s="18">
        <f>Prices!C52</f>
        <v>2499.16</v>
      </c>
      <c r="D52" s="19">
        <f>(2/(Inputs!$B$21+1))*C52+(1-(2/(Inputs!$B$21+1)))*D51</f>
        <v>2435.7715618875832</v>
      </c>
      <c r="E52" s="19">
        <f>(2/(Inputs!$B$22+1))*C52+(1-(2/(Inputs!$B$22+1)))*E51</f>
        <v>2413.4751370265226</v>
      </c>
      <c r="F52" s="20">
        <f t="shared" si="1"/>
        <v>22.296424861060586</v>
      </c>
      <c r="G52" s="19">
        <f ca="1">F52/(C52*Prices!G52)</f>
        <v>1.0443189524079792</v>
      </c>
      <c r="H52" s="19">
        <f ca="1">G52*Inputs!$B$29</f>
        <v>1.9528764410029213</v>
      </c>
      <c r="I52" s="19">
        <f ca="1">MAX(-Inputs!$B$8,MIN(Inputs!$B$8,H52))</f>
        <v>1.9528764410029213</v>
      </c>
      <c r="J52" s="19">
        <f>(2/(Inputs!$B$23+1))*C52+(1-(2/(Inputs!$B$23+1)))*J51</f>
        <v>2449.9757167863017</v>
      </c>
      <c r="K52" s="19">
        <f>(2/(Inputs!$B$24+1))*C52+(1-(2/(Inputs!$B$24+1)))*K51</f>
        <v>2435.7715618875832</v>
      </c>
      <c r="L52" s="19">
        <f ca="1">(J52-K52)/(C52*Prices!G52)</f>
        <v>0.66529357312241511</v>
      </c>
      <c r="M52" s="19">
        <f ca="1">MAX(-Inputs!$B$8,MIN(Inputs!$B$8,L52*Inputs!$B$30))</f>
        <v>2.4948508992090566</v>
      </c>
      <c r="N52" s="21">
        <v>2.1755E-2</v>
      </c>
      <c r="O52" s="12">
        <f>(2/(Inputs!$B$26+1))*N52+(1-(2/(Inputs!$B$26+1)))*O51</f>
        <v>2.0145269887990695E-2</v>
      </c>
      <c r="P52" s="19">
        <f ca="1">O52/(Prices!G52*SQRT(Inputs!$B$6))</f>
        <v>0.14738222102293075</v>
      </c>
      <c r="Q52" s="19">
        <f ca="1">MAX(-Inputs!$B$8,MIN(Inputs!$B$8,P52*Inputs!$B$31))</f>
        <v>4.421466630687922</v>
      </c>
      <c r="R52" s="19">
        <f ca="1">MAX(-Inputs!$B$8,MIN(Inputs!$B$8,Inputs!$B$32*(40*(C52-AVERAGE(OFFSET(Prices!C52,-(Inputs!$B$25-1),0,Inputs!$B$25,1)))/(MAX(OFFSET(Prices!C52,-(Inputs!$B$25-1),0,Inputs!$B$25,1))-MIN(OFFSET(Prices!C52,-(Inputs!$B$25-1),0,Inputs!$B$25,1))))))</f>
        <v>9.889675240695615</v>
      </c>
    </row>
    <row r="53" spans="1:18" x14ac:dyDescent="0.25">
      <c r="A53" s="16">
        <f>Prices!A53</f>
        <v>50</v>
      </c>
      <c r="B53" s="17">
        <f>Prices!B53</f>
        <v>45939</v>
      </c>
      <c r="C53" s="18">
        <f>Prices!C53</f>
        <v>2486.4899999999998</v>
      </c>
      <c r="D53" s="19">
        <f>(2/(Inputs!$B$21+1))*C53+(1-(2/(Inputs!$B$21+1)))*D52</f>
        <v>2437.332129214119</v>
      </c>
      <c r="E53" s="19">
        <f>(2/(Inputs!$B$22+1))*C53+(1-(2/(Inputs!$B$22+1)))*E52</f>
        <v>2414.0433460769</v>
      </c>
      <c r="F53" s="20">
        <f t="shared" si="1"/>
        <v>23.28878313721907</v>
      </c>
      <c r="G53" s="19">
        <f ca="1">F53/(C53*Prices!G53)</f>
        <v>1.0938016669852515</v>
      </c>
      <c r="H53" s="19">
        <f ca="1">G53*Inputs!$B$29</f>
        <v>2.0454091172624205</v>
      </c>
      <c r="I53" s="19">
        <f ca="1">MAX(-Inputs!$B$8,MIN(Inputs!$B$8,H53))</f>
        <v>2.0454091172624205</v>
      </c>
      <c r="J53" s="19">
        <f>(2/(Inputs!$B$23+1))*C53+(1-(2/(Inputs!$B$23+1)))*J52</f>
        <v>2454.2715148114426</v>
      </c>
      <c r="K53" s="19">
        <f>(2/(Inputs!$B$24+1))*C53+(1-(2/(Inputs!$B$24+1)))*K52</f>
        <v>2437.332129214119</v>
      </c>
      <c r="L53" s="19">
        <f ca="1">(J53-K53)/(C53*Prices!G53)</f>
        <v>0.7955902244822437</v>
      </c>
      <c r="M53" s="19">
        <f ca="1">MAX(-Inputs!$B$8,MIN(Inputs!$B$8,L53*Inputs!$B$30))</f>
        <v>2.983463341808414</v>
      </c>
      <c r="N53" s="21">
        <v>2.1378000000000001E-2</v>
      </c>
      <c r="O53" s="12">
        <f>(2/(Inputs!$B$26+1))*N53+(1-(2/(Inputs!$B$26+1)))*O52</f>
        <v>2.0172362857485405E-2</v>
      </c>
      <c r="P53" s="19">
        <f ca="1">O53/(Prices!G53*SQRT(Inputs!$B$6))</f>
        <v>0.14723643383610174</v>
      </c>
      <c r="Q53" s="19">
        <f ca="1">MAX(-Inputs!$B$8,MIN(Inputs!$B$8,P53*Inputs!$B$31))</f>
        <v>4.4170930150830525</v>
      </c>
      <c r="R53" s="19">
        <f ca="1">MAX(-Inputs!$B$8,MIN(Inputs!$B$8,Inputs!$B$32*(40*(C53-AVERAGE(OFFSET(Prices!C53,-(Inputs!$B$25-1),0,Inputs!$B$25,1)))/(MAX(OFFSET(Prices!C53,-(Inputs!$B$25-1),0,Inputs!$B$25,1))-MIN(OFFSET(Prices!C53,-(Inputs!$B$25-1),0,Inputs!$B$25,1))))))</f>
        <v>7.0045751633986901</v>
      </c>
    </row>
    <row r="54" spans="1:18" x14ac:dyDescent="0.25">
      <c r="A54" s="16">
        <f>Prices!A54</f>
        <v>51</v>
      </c>
      <c r="B54" s="17">
        <f>Prices!B54</f>
        <v>45940</v>
      </c>
      <c r="C54" s="18">
        <f>Prices!C54</f>
        <v>2471.64</v>
      </c>
      <c r="D54" s="19">
        <f>(2/(Inputs!$B$21+1))*C54+(1-(2/(Inputs!$B$21+1)))*D53</f>
        <v>2438.3877560075307</v>
      </c>
      <c r="E54" s="19">
        <f>(2/(Inputs!$B$22+1))*C54+(1-(2/(Inputs!$B$22+1)))*E53</f>
        <v>2414.4915690646285</v>
      </c>
      <c r="F54" s="20">
        <f t="shared" si="1"/>
        <v>23.896186942902204</v>
      </c>
      <c r="G54" s="19">
        <f ca="1">F54/(C54*Prices!G54)</f>
        <v>1.130530080530221</v>
      </c>
      <c r="H54" s="19">
        <f ca="1">G54*Inputs!$B$29</f>
        <v>2.1140912505915135</v>
      </c>
      <c r="I54" s="19">
        <f ca="1">MAX(-Inputs!$B$8,MIN(Inputs!$B$8,H54))</f>
        <v>2.1140912505915135</v>
      </c>
      <c r="J54" s="19">
        <f>(2/(Inputs!$B$23+1))*C54+(1-(2/(Inputs!$B$23+1)))*J53</f>
        <v>2456.314866010096</v>
      </c>
      <c r="K54" s="19">
        <f>(2/(Inputs!$B$24+1))*C54+(1-(2/(Inputs!$B$24+1)))*K53</f>
        <v>2438.3877560075307</v>
      </c>
      <c r="L54" s="19">
        <f ca="1">(J54-K54)/(C54*Prices!G54)</f>
        <v>0.84813268172452794</v>
      </c>
      <c r="M54" s="19">
        <f ca="1">MAX(-Inputs!$B$8,MIN(Inputs!$B$8,L54*Inputs!$B$30))</f>
        <v>3.18049755646698</v>
      </c>
      <c r="N54" s="21">
        <v>2.0985E-2</v>
      </c>
      <c r="O54" s="12">
        <f>(2/(Inputs!$B$26+1))*N54+(1-(2/(Inputs!$B$26+1)))*O53</f>
        <v>2.0190223014463746E-2</v>
      </c>
      <c r="P54" s="19">
        <f ca="1">O54/(Prices!G54*SQRT(Inputs!$B$6))</f>
        <v>0.14755701584511619</v>
      </c>
      <c r="Q54" s="19">
        <f ca="1">MAX(-Inputs!$B$8,MIN(Inputs!$B$8,P54*Inputs!$B$31))</f>
        <v>4.4267104753534854</v>
      </c>
      <c r="R54" s="19">
        <f ca="1">MAX(-Inputs!$B$8,MIN(Inputs!$B$8,Inputs!$B$32*(40*(C54-AVERAGE(OFFSET(Prices!C54,-(Inputs!$B$25-1),0,Inputs!$B$25,1)))/(MAX(OFFSET(Prices!C54,-(Inputs!$B$25-1),0,Inputs!$B$25,1))-MIN(OFFSET(Prices!C54,-(Inputs!$B$25-1),0,Inputs!$B$25,1))))))</f>
        <v>3.5578835279429759</v>
      </c>
    </row>
    <row r="55" spans="1:18" x14ac:dyDescent="0.25">
      <c r="A55" s="16">
        <f>Prices!A55</f>
        <v>52</v>
      </c>
      <c r="B55" s="17">
        <f>Prices!B55</f>
        <v>45943</v>
      </c>
      <c r="C55" s="18">
        <f>Prices!C55</f>
        <v>2462.9899999999998</v>
      </c>
      <c r="D55" s="19">
        <f>(2/(Inputs!$B$21+1))*C55+(1-(2/(Inputs!$B$21+1)))*D54</f>
        <v>2439.1447481303758</v>
      </c>
      <c r="E55" s="19">
        <f>(2/(Inputs!$B$22+1))*C55+(1-(2/(Inputs!$B$22+1)))*E54</f>
        <v>2414.8689887606238</v>
      </c>
      <c r="F55" s="20">
        <f t="shared" si="1"/>
        <v>24.275759369751995</v>
      </c>
      <c r="G55" s="19">
        <f ca="1">F55/(C55*Prices!G55)</f>
        <v>1.166672027711152</v>
      </c>
      <c r="H55" s="19">
        <f ca="1">G55*Inputs!$B$29</f>
        <v>2.1816766918198542</v>
      </c>
      <c r="I55" s="19">
        <f ca="1">MAX(-Inputs!$B$8,MIN(Inputs!$B$8,H55))</f>
        <v>2.1816766918198542</v>
      </c>
      <c r="J55" s="19">
        <f>(2/(Inputs!$B$23+1))*C55+(1-(2/(Inputs!$B$23+1)))*J54</f>
        <v>2457.1001758912607</v>
      </c>
      <c r="K55" s="19">
        <f>(2/(Inputs!$B$24+1))*C55+(1-(2/(Inputs!$B$24+1)))*K54</f>
        <v>2439.1447481303758</v>
      </c>
      <c r="L55" s="19">
        <f ca="1">(J55-K55)/(C55*Prices!G55)</f>
        <v>0.86292234962233327</v>
      </c>
      <c r="M55" s="19">
        <f ca="1">MAX(-Inputs!$B$8,MIN(Inputs!$B$8,L55*Inputs!$B$30))</f>
        <v>3.2359588110837496</v>
      </c>
      <c r="N55" s="21">
        <v>2.0577000000000002E-2</v>
      </c>
      <c r="O55" s="12">
        <f>(2/(Inputs!$B$26+1))*N55+(1-(2/(Inputs!$B$26+1)))*O54</f>
        <v>2.0198723607552455E-2</v>
      </c>
      <c r="P55" s="19">
        <f ca="1">O55/(Prices!G55*SQRT(Inputs!$B$6))</f>
        <v>0.14943163687088373</v>
      </c>
      <c r="Q55" s="19">
        <f ca="1">MAX(-Inputs!$B$8,MIN(Inputs!$B$8,P55*Inputs!$B$31))</f>
        <v>4.4829491061265117</v>
      </c>
      <c r="R55" s="19">
        <f ca="1">MAX(-Inputs!$B$8,MIN(Inputs!$B$8,Inputs!$B$32*(40*(C55-AVERAGE(OFFSET(Prices!C55,-(Inputs!$B$25-1),0,Inputs!$B$25,1)))/(MAX(OFFSET(Prices!C55,-(Inputs!$B$25-1),0,Inputs!$B$25,1))-MIN(OFFSET(Prices!C55,-(Inputs!$B$25-1),0,Inputs!$B$25,1))))))</f>
        <v>1.4739223030035287</v>
      </c>
    </row>
    <row r="56" spans="1:18" x14ac:dyDescent="0.25">
      <c r="A56" s="16">
        <f>Prices!A56</f>
        <v>53</v>
      </c>
      <c r="B56" s="17">
        <f>Prices!B56</f>
        <v>45944</v>
      </c>
      <c r="C56" s="18">
        <f>Prices!C56</f>
        <v>2478.2399999999998</v>
      </c>
      <c r="D56" s="19">
        <f>(2/(Inputs!$B$21+1))*C56+(1-(2/(Inputs!$B$21+1)))*D55</f>
        <v>2440.3476789571337</v>
      </c>
      <c r="E56" s="19">
        <f>(2/(Inputs!$B$22+1))*C56+(1-(2/(Inputs!$B$22+1)))*E55</f>
        <v>2415.3621483811639</v>
      </c>
      <c r="F56" s="20">
        <f t="shared" si="1"/>
        <v>24.985530575969733</v>
      </c>
      <c r="G56" s="19">
        <f ca="1">F56/(C56*Prices!G56)</f>
        <v>1.1913739764493183</v>
      </c>
      <c r="H56" s="19">
        <f ca="1">G56*Inputs!$B$29</f>
        <v>2.2278693359602255</v>
      </c>
      <c r="I56" s="19">
        <f ca="1">MAX(-Inputs!$B$8,MIN(Inputs!$B$8,H56))</f>
        <v>2.2278693359602255</v>
      </c>
      <c r="J56" s="19">
        <f>(2/(Inputs!$B$23+1))*C56+(1-(2/(Inputs!$B$23+1)))*J55</f>
        <v>2459.5872140217007</v>
      </c>
      <c r="K56" s="19">
        <f>(2/(Inputs!$B$24+1))*C56+(1-(2/(Inputs!$B$24+1)))*K55</f>
        <v>2440.3476789571337</v>
      </c>
      <c r="L56" s="19">
        <f ca="1">(J56-K56)/(C56*Prices!G56)</f>
        <v>0.91739022012021709</v>
      </c>
      <c r="M56" s="19">
        <f ca="1">MAX(-Inputs!$B$8,MIN(Inputs!$B$8,L56*Inputs!$B$30))</f>
        <v>3.4402133254508143</v>
      </c>
      <c r="N56" s="21">
        <v>2.0154999999999999E-2</v>
      </c>
      <c r="O56" s="12">
        <f>(2/(Inputs!$B$26+1))*N56+(1-(2/(Inputs!$B$26+1)))*O55</f>
        <v>2.0197762649144708E-2</v>
      </c>
      <c r="P56" s="19">
        <f ca="1">O56/(Prices!G56*SQRT(Inputs!$B$6))</f>
        <v>0.14917161007713198</v>
      </c>
      <c r="Q56" s="19">
        <f ca="1">MAX(-Inputs!$B$8,MIN(Inputs!$B$8,P56*Inputs!$B$31))</f>
        <v>4.4751483023139595</v>
      </c>
      <c r="R56" s="19">
        <f ca="1">MAX(-Inputs!$B$8,MIN(Inputs!$B$8,Inputs!$B$32*(40*(C56-AVERAGE(OFFSET(Prices!C56,-(Inputs!$B$25-1),0,Inputs!$B$25,1)))/(MAX(OFFSET(Prices!C56,-(Inputs!$B$25-1),0,Inputs!$B$25,1))-MIN(OFFSET(Prices!C56,-(Inputs!$B$25-1),0,Inputs!$B$25,1))))))</f>
        <v>4.3846001321876864</v>
      </c>
    </row>
    <row r="57" spans="1:18" x14ac:dyDescent="0.25">
      <c r="A57" s="16">
        <f>Prices!A57</f>
        <v>54</v>
      </c>
      <c r="B57" s="17">
        <f>Prices!B57</f>
        <v>45945</v>
      </c>
      <c r="C57" s="18">
        <f>Prices!C57</f>
        <v>2475.02</v>
      </c>
      <c r="D57" s="19">
        <f>(2/(Inputs!$B$21+1))*C57+(1-(2/(Inputs!$B$21+1)))*D56</f>
        <v>2441.4145196046065</v>
      </c>
      <c r="E57" s="19">
        <f>(2/(Inputs!$B$22+1))*C57+(1-(2/(Inputs!$B$22+1)))*E56</f>
        <v>2415.8264118178863</v>
      </c>
      <c r="F57" s="20">
        <f t="shared" si="1"/>
        <v>25.588107786720229</v>
      </c>
      <c r="G57" s="19">
        <f ca="1">F57/(C57*Prices!G57)</f>
        <v>1.2593884082982867</v>
      </c>
      <c r="H57" s="19">
        <f ca="1">G57*Inputs!$B$29</f>
        <v>2.3550563235177964</v>
      </c>
      <c r="I57" s="19">
        <f ca="1">MAX(-Inputs!$B$8,MIN(Inputs!$B$8,H57))</f>
        <v>2.3550563235177964</v>
      </c>
      <c r="J57" s="19">
        <f>(2/(Inputs!$B$23+1))*C57+(1-(2/(Inputs!$B$23+1)))*J56</f>
        <v>2461.4028359015006</v>
      </c>
      <c r="K57" s="19">
        <f>(2/(Inputs!$B$24+1))*C57+(1-(2/(Inputs!$B$24+1)))*K56</f>
        <v>2441.4145196046065</v>
      </c>
      <c r="L57" s="19">
        <f ca="1">(J57-K57)/(C57*Prices!G57)</f>
        <v>0.9837794203279242</v>
      </c>
      <c r="M57" s="19">
        <f ca="1">MAX(-Inputs!$B$8,MIN(Inputs!$B$8,L57*Inputs!$B$30))</f>
        <v>3.6891728262297159</v>
      </c>
      <c r="N57" s="21">
        <v>1.9720000000000001E-2</v>
      </c>
      <c r="O57" s="12">
        <f>(2/(Inputs!$B$26+1))*N57+(1-(2/(Inputs!$B$26+1)))*O56</f>
        <v>2.0187262371141525E-2</v>
      </c>
      <c r="P57" s="19">
        <f ca="1">O57/(Prices!G57*SQRT(Inputs!$B$6))</f>
        <v>0.15369427043671721</v>
      </c>
      <c r="Q57" s="19">
        <f ca="1">MAX(-Inputs!$B$8,MIN(Inputs!$B$8,P57*Inputs!$B$31))</f>
        <v>4.6108281131015163</v>
      </c>
      <c r="R57" s="19">
        <f ca="1">MAX(-Inputs!$B$8,MIN(Inputs!$B$8,Inputs!$B$32*(40*(C57-AVERAGE(OFFSET(Prices!C57,-(Inputs!$B$25-1),0,Inputs!$B$25,1)))/(MAX(OFFSET(Prices!C57,-(Inputs!$B$25-1),0,Inputs!$B$25,1))-MIN(OFFSET(Prices!C57,-(Inputs!$B$25-1),0,Inputs!$B$25,1))))))</f>
        <v>3.6111404861568821</v>
      </c>
    </row>
    <row r="58" spans="1:18" x14ac:dyDescent="0.25">
      <c r="A58" s="16">
        <f>Prices!A58</f>
        <v>55</v>
      </c>
      <c r="B58" s="17">
        <f>Prices!B58</f>
        <v>45946</v>
      </c>
      <c r="C58" s="18">
        <f>Prices!C58</f>
        <v>2535.8000000000002</v>
      </c>
      <c r="D58" s="19">
        <f>(2/(Inputs!$B$21+1))*C58+(1-(2/(Inputs!$B$21+1)))*D57</f>
        <v>2444.3186882321575</v>
      </c>
      <c r="E58" s="19">
        <f>(2/(Inputs!$B$22+1))*C58+(1-(2/(Inputs!$B$22+1)))*E57</f>
        <v>2416.7600584185257</v>
      </c>
      <c r="F58" s="20">
        <f t="shared" si="1"/>
        <v>27.558629813631796</v>
      </c>
      <c r="G58" s="19">
        <f ca="1">F58/(C58*Prices!G58)</f>
        <v>1.1999010041543445</v>
      </c>
      <c r="H58" s="19">
        <f ca="1">G58*Inputs!$B$29</f>
        <v>2.2438148777686244</v>
      </c>
      <c r="I58" s="19">
        <f ca="1">MAX(-Inputs!$B$8,MIN(Inputs!$B$8,H58))</f>
        <v>2.2438148777686244</v>
      </c>
      <c r="J58" s="19">
        <f>(2/(Inputs!$B$23+1))*C58+(1-(2/(Inputs!$B$23+1)))*J57</f>
        <v>2470.1554434425007</v>
      </c>
      <c r="K58" s="19">
        <f>(2/(Inputs!$B$24+1))*C58+(1-(2/(Inputs!$B$24+1)))*K57</f>
        <v>2444.3186882321575</v>
      </c>
      <c r="L58" s="19">
        <f ca="1">(J58-K58)/(C58*Prices!G58)</f>
        <v>1.1249306925138192</v>
      </c>
      <c r="M58" s="19">
        <f ca="1">MAX(-Inputs!$B$8,MIN(Inputs!$B$8,L58*Inputs!$B$30))</f>
        <v>4.2184900969268222</v>
      </c>
      <c r="N58" s="21">
        <v>1.9273999999999999E-2</v>
      </c>
      <c r="O58" s="12">
        <f>(2/(Inputs!$B$26+1))*N58+(1-(2/(Inputs!$B$26+1)))*O57</f>
        <v>2.0167190670676873E-2</v>
      </c>
      <c r="P58" s="19">
        <f ca="1">O58/(Prices!G58*SQRT(Inputs!$B$6))</f>
        <v>0.13916442030686241</v>
      </c>
      <c r="Q58" s="19">
        <f ca="1">MAX(-Inputs!$B$8,MIN(Inputs!$B$8,P58*Inputs!$B$31))</f>
        <v>4.1749326092058725</v>
      </c>
      <c r="R58" s="19">
        <f ca="1">MAX(-Inputs!$B$8,MIN(Inputs!$B$8,Inputs!$B$32*(40*(C58-AVERAGE(OFFSET(Prices!C58,-(Inputs!$B$25-1),0,Inputs!$B$25,1)))/(MAX(OFFSET(Prices!C58,-(Inputs!$B$25-1),0,Inputs!$B$25,1))-MIN(OFFSET(Prices!C58,-(Inputs!$B$25-1),0,Inputs!$B$25,1))))))</f>
        <v>14.93659081390477</v>
      </c>
    </row>
    <row r="59" spans="1:18" x14ac:dyDescent="0.25">
      <c r="A59" s="16">
        <f>Prices!A59</f>
        <v>56</v>
      </c>
      <c r="B59" s="17">
        <f>Prices!B59</f>
        <v>45947</v>
      </c>
      <c r="C59" s="18">
        <f>Prices!C59</f>
        <v>2518.0700000000002</v>
      </c>
      <c r="D59" s="19">
        <f>(2/(Inputs!$B$21+1))*C59+(1-(2/(Inputs!$B$21+1)))*D58</f>
        <v>2446.5879593634754</v>
      </c>
      <c r="E59" s="19">
        <f>(2/(Inputs!$B$22+1))*C59+(1-(2/(Inputs!$B$22+1)))*E58</f>
        <v>2417.5484626331677</v>
      </c>
      <c r="F59" s="20">
        <f t="shared" si="1"/>
        <v>29.039496730307746</v>
      </c>
      <c r="G59" s="19">
        <f ca="1">F59/(C59*Prices!G59)</f>
        <v>1.2646138443860848</v>
      </c>
      <c r="H59" s="19">
        <f ca="1">G59*Inputs!$B$29</f>
        <v>2.3648278890019787</v>
      </c>
      <c r="I59" s="19">
        <f ca="1">MAX(-Inputs!$B$8,MIN(Inputs!$B$8,H59))</f>
        <v>2.3648278890019787</v>
      </c>
      <c r="J59" s="19">
        <f>(2/(Inputs!$B$23+1))*C59+(1-(2/(Inputs!$B$23+1)))*J58</f>
        <v>2475.7924500963245</v>
      </c>
      <c r="K59" s="19">
        <f>(2/(Inputs!$B$24+1))*C59+(1-(2/(Inputs!$B$24+1)))*K58</f>
        <v>2446.5879593634754</v>
      </c>
      <c r="L59" s="19">
        <f ca="1">(J59-K59)/(C59*Prices!G59)</f>
        <v>1.2717990136675028</v>
      </c>
      <c r="M59" s="19">
        <f ca="1">MAX(-Inputs!$B$8,MIN(Inputs!$B$8,L59*Inputs!$B$30))</f>
        <v>4.7692463012531352</v>
      </c>
      <c r="N59" s="21">
        <v>1.8817E-2</v>
      </c>
      <c r="O59" s="12">
        <f>(2/(Inputs!$B$26+1))*N59+(1-(2/(Inputs!$B$26+1)))*O58</f>
        <v>2.0137516150442215E-2</v>
      </c>
      <c r="P59" s="19">
        <f ca="1">O59/(Prices!G59*SQRT(Inputs!$B$6))</f>
        <v>0.13801381612177924</v>
      </c>
      <c r="Q59" s="19">
        <f ca="1">MAX(-Inputs!$B$8,MIN(Inputs!$B$8,P59*Inputs!$B$31))</f>
        <v>4.1404144836533767</v>
      </c>
      <c r="R59" s="19">
        <f ca="1">MAX(-Inputs!$B$8,MIN(Inputs!$B$8,Inputs!$B$32*(40*(C59-AVERAGE(OFFSET(Prices!C59,-(Inputs!$B$25-1),0,Inputs!$B$25,1)))/(MAX(OFFSET(Prices!C59,-(Inputs!$B$25-1),0,Inputs!$B$25,1))-MIN(OFFSET(Prices!C59,-(Inputs!$B$25-1),0,Inputs!$B$25,1))))))</f>
        <v>11.108432221136315</v>
      </c>
    </row>
    <row r="60" spans="1:18" x14ac:dyDescent="0.25">
      <c r="A60" s="16">
        <f>Prices!A60</f>
        <v>57</v>
      </c>
      <c r="B60" s="17">
        <f>Prices!B60</f>
        <v>45950</v>
      </c>
      <c r="C60" s="18">
        <f>Prices!C60</f>
        <v>2493.42</v>
      </c>
      <c r="D60" s="19">
        <f>(2/(Inputs!$B$21+1))*C60+(1-(2/(Inputs!$B$21+1)))*D59</f>
        <v>2448.0289452292145</v>
      </c>
      <c r="E60" s="19">
        <f>(2/(Inputs!$B$22+1))*C60+(1-(2/(Inputs!$B$22+1)))*E59</f>
        <v>2418.1389026126762</v>
      </c>
      <c r="F60" s="20">
        <f t="shared" si="1"/>
        <v>29.890042616538267</v>
      </c>
      <c r="G60" s="19">
        <f ca="1">F60/(C60*Prices!G60)</f>
        <v>1.3025037504802128</v>
      </c>
      <c r="H60" s="19">
        <f ca="1">G60*Inputs!$B$29</f>
        <v>2.4356820133979982</v>
      </c>
      <c r="I60" s="19">
        <f ca="1">MAX(-Inputs!$B$8,MIN(Inputs!$B$8,H60))</f>
        <v>2.4356820133979982</v>
      </c>
      <c r="J60" s="19">
        <f>(2/(Inputs!$B$23+1))*C60+(1-(2/(Inputs!$B$23+1)))*J59</f>
        <v>2477.8662794967572</v>
      </c>
      <c r="K60" s="19">
        <f>(2/(Inputs!$B$24+1))*C60+(1-(2/(Inputs!$B$24+1)))*K59</f>
        <v>2448.0289452292145</v>
      </c>
      <c r="L60" s="19">
        <f ca="1">(J60-K60)/(C60*Prices!G60)</f>
        <v>1.3002069045663713</v>
      </c>
      <c r="M60" s="19">
        <f ca="1">MAX(-Inputs!$B$8,MIN(Inputs!$B$8,L60*Inputs!$B$30))</f>
        <v>4.8757758921238921</v>
      </c>
      <c r="N60" s="21">
        <v>1.8350000000000002E-2</v>
      </c>
      <c r="O60" s="12">
        <f>(2/(Inputs!$B$26+1))*N60+(1-(2/(Inputs!$B$26+1)))*O59</f>
        <v>2.0098230081201728E-2</v>
      </c>
      <c r="P60" s="19">
        <f ca="1">O60/(Prices!G60*SQRT(Inputs!$B$6))</f>
        <v>0.13648524947829591</v>
      </c>
      <c r="Q60" s="19">
        <f ca="1">MAX(-Inputs!$B$8,MIN(Inputs!$B$8,P60*Inputs!$B$31))</f>
        <v>4.0945574843488775</v>
      </c>
      <c r="R60" s="19">
        <f ca="1">MAX(-Inputs!$B$8,MIN(Inputs!$B$8,Inputs!$B$32*(40*(C60-AVERAGE(OFFSET(Prices!C60,-(Inputs!$B$25-1),0,Inputs!$B$25,1)))/(MAX(OFFSET(Prices!C60,-(Inputs!$B$25-1),0,Inputs!$B$25,1))-MIN(OFFSET(Prices!C60,-(Inputs!$B$25-1),0,Inputs!$B$25,1))))))</f>
        <v>5.9414002512912285</v>
      </c>
    </row>
    <row r="61" spans="1:18" x14ac:dyDescent="0.25">
      <c r="A61" s="16">
        <f>Prices!A61</f>
        <v>58</v>
      </c>
      <c r="B61" s="17">
        <f>Prices!B61</f>
        <v>45951</v>
      </c>
      <c r="C61" s="18">
        <f>Prices!C61</f>
        <v>2515.5700000000002</v>
      </c>
      <c r="D61" s="19">
        <f>(2/(Inputs!$B$21+1))*C61+(1-(2/(Inputs!$B$21+1)))*D60</f>
        <v>2450.1071315298541</v>
      </c>
      <c r="E61" s="19">
        <f>(2/(Inputs!$B$22+1))*C61+(1-(2/(Inputs!$B$22+1)))*E60</f>
        <v>2418.8971212693868</v>
      </c>
      <c r="F61" s="20">
        <f t="shared" si="1"/>
        <v>31.210010260467243</v>
      </c>
      <c r="G61" s="19">
        <f ca="1">F61/(C61*Prices!G61)</f>
        <v>1.3676326590389714</v>
      </c>
      <c r="H61" s="19">
        <f ca="1">G61*Inputs!$B$29</f>
        <v>2.5574730724028765</v>
      </c>
      <c r="I61" s="19">
        <f ca="1">MAX(-Inputs!$B$8,MIN(Inputs!$B$8,H61))</f>
        <v>2.5574730724028765</v>
      </c>
      <c r="J61" s="19">
        <f>(2/(Inputs!$B$23+1))*C61+(1-(2/(Inputs!$B$23+1)))*J60</f>
        <v>2482.302011320668</v>
      </c>
      <c r="K61" s="19">
        <f>(2/(Inputs!$B$24+1))*C61+(1-(2/(Inputs!$B$24+1)))*K60</f>
        <v>2450.1071315298541</v>
      </c>
      <c r="L61" s="19">
        <f ca="1">(J61-K61)/(C61*Prices!G61)</f>
        <v>1.4107899577182565</v>
      </c>
      <c r="M61" s="19">
        <f ca="1">MAX(-Inputs!$B$8,MIN(Inputs!$B$8,L61*Inputs!$B$30))</f>
        <v>5.2904623414434617</v>
      </c>
      <c r="N61" s="21">
        <v>1.7874999999999999E-2</v>
      </c>
      <c r="O61" s="12">
        <f>(2/(Inputs!$B$26+1))*N61+(1-(2/(Inputs!$B$26+1)))*O60</f>
        <v>2.0049367881614877E-2</v>
      </c>
      <c r="P61" s="19">
        <f ca="1">O61/(Prices!G61*SQRT(Inputs!$B$6))</f>
        <v>0.13813147858250138</v>
      </c>
      <c r="Q61" s="19">
        <f ca="1">MAX(-Inputs!$B$8,MIN(Inputs!$B$8,P61*Inputs!$B$31))</f>
        <v>4.1439443574750419</v>
      </c>
      <c r="R61" s="19">
        <f ca="1">MAX(-Inputs!$B$8,MIN(Inputs!$B$8,Inputs!$B$32*(40*(C61-AVERAGE(OFFSET(Prices!C61,-(Inputs!$B$25-1),0,Inputs!$B$25,1)))/(MAX(OFFSET(Prices!C61,-(Inputs!$B$25-1),0,Inputs!$B$25,1))-MIN(OFFSET(Prices!C61,-(Inputs!$B$25-1),0,Inputs!$B$25,1))))))</f>
        <v>9.8564847131089852</v>
      </c>
    </row>
    <row r="62" spans="1:18" x14ac:dyDescent="0.25">
      <c r="A62" s="16">
        <f>Prices!A62</f>
        <v>59</v>
      </c>
      <c r="B62" s="17">
        <f>Prices!B62</f>
        <v>45952</v>
      </c>
      <c r="C62" s="18">
        <f>Prices!C62</f>
        <v>2554.36</v>
      </c>
      <c r="D62" s="19">
        <f>(2/(Inputs!$B$21+1))*C62+(1-(2/(Inputs!$B$21+1)))*D61</f>
        <v>2453.3149120981661</v>
      </c>
      <c r="E62" s="19">
        <f>(2/(Inputs!$B$22+1))*C62+(1-(2/(Inputs!$B$22+1)))*E61</f>
        <v>2419.9513070960843</v>
      </c>
      <c r="F62" s="20">
        <f t="shared" si="1"/>
        <v>33.36360500208184</v>
      </c>
      <c r="G62" s="19">
        <f ca="1">F62/(C62*Prices!G62)</f>
        <v>1.3999755891313699</v>
      </c>
      <c r="H62" s="19">
        <f ca="1">G62*Inputs!$B$29</f>
        <v>2.617954351675662</v>
      </c>
      <c r="I62" s="19">
        <f ca="1">MAX(-Inputs!$B$8,MIN(Inputs!$B$8,H62))</f>
        <v>2.617954351675662</v>
      </c>
      <c r="J62" s="19">
        <f>(2/(Inputs!$B$23+1))*C62+(1-(2/(Inputs!$B$23+1)))*J61</f>
        <v>2490.7794217535306</v>
      </c>
      <c r="K62" s="19">
        <f>(2/(Inputs!$B$24+1))*C62+(1-(2/(Inputs!$B$24+1)))*K61</f>
        <v>2453.3149120981661</v>
      </c>
      <c r="L62" s="19">
        <f ca="1">(J62-K62)/(C62*Prices!G62)</f>
        <v>1.5720543080705476</v>
      </c>
      <c r="M62" s="19">
        <f ca="1">MAX(-Inputs!$B$8,MIN(Inputs!$B$8,L62*Inputs!$B$30))</f>
        <v>5.8952036552645533</v>
      </c>
      <c r="N62" s="21">
        <v>1.7392000000000001E-2</v>
      </c>
      <c r="O62" s="12">
        <f>(2/(Inputs!$B$26+1))*N62+(1-(2/(Inputs!$B$26+1)))*O61</f>
        <v>1.9990964191909055E-2</v>
      </c>
      <c r="P62" s="19">
        <f ca="1">O62/(Prices!G62*SQRT(Inputs!$B$6))</f>
        <v>0.13391935704822325</v>
      </c>
      <c r="Q62" s="19">
        <f ca="1">MAX(-Inputs!$B$8,MIN(Inputs!$B$8,P62*Inputs!$B$31))</f>
        <v>4.0175807114466977</v>
      </c>
      <c r="R62" s="19">
        <f ca="1">MAX(-Inputs!$B$8,MIN(Inputs!$B$8,Inputs!$B$32*(40*(C62-AVERAGE(OFFSET(Prices!C62,-(Inputs!$B$25-1),0,Inputs!$B$25,1)))/(MAX(OFFSET(Prices!C62,-(Inputs!$B$25-1),0,Inputs!$B$25,1))-MIN(OFFSET(Prices!C62,-(Inputs!$B$25-1),0,Inputs!$B$25,1))))))</f>
        <v>15.053979730564773</v>
      </c>
    </row>
    <row r="63" spans="1:18" x14ac:dyDescent="0.25">
      <c r="A63" s="16">
        <f>Prices!A63</f>
        <v>60</v>
      </c>
      <c r="B63" s="17">
        <f>Prices!B63</f>
        <v>45953</v>
      </c>
      <c r="C63" s="18">
        <f>Prices!C63</f>
        <v>2570.34</v>
      </c>
      <c r="D63" s="19">
        <f>(2/(Inputs!$B$21+1))*C63+(1-(2/(Inputs!$B$21+1)))*D62</f>
        <v>2456.9156840336072</v>
      </c>
      <c r="E63" s="19">
        <f>(2/(Inputs!$B$22+1))*C63+(1-(2/(Inputs!$B$22+1)))*E62</f>
        <v>2421.1216471186831</v>
      </c>
      <c r="F63" s="20">
        <f t="shared" si="1"/>
        <v>35.794036914924163</v>
      </c>
      <c r="G63" s="19">
        <f ca="1">F63/(C63*Prices!G63)</f>
        <v>1.4946894233438723</v>
      </c>
      <c r="H63" s="19">
        <f ca="1">G63*Inputs!$B$29</f>
        <v>2.7950692216530415</v>
      </c>
      <c r="I63" s="19">
        <f ca="1">MAX(-Inputs!$B$8,MIN(Inputs!$B$8,H63))</f>
        <v>2.7950692216530415</v>
      </c>
      <c r="J63" s="19">
        <f>(2/(Inputs!$B$23+1))*C63+(1-(2/(Inputs!$B$23+1)))*J62</f>
        <v>2500.1394897825271</v>
      </c>
      <c r="K63" s="19">
        <f>(2/(Inputs!$B$24+1))*C63+(1-(2/(Inputs!$B$24+1)))*K62</f>
        <v>2456.9156840336072</v>
      </c>
      <c r="L63" s="19">
        <f ca="1">(J63-K63)/(C63*Prices!G63)</f>
        <v>1.8049421316499601</v>
      </c>
      <c r="M63" s="19">
        <f ca="1">MAX(-Inputs!$B$8,MIN(Inputs!$B$8,L63*Inputs!$B$30))</f>
        <v>6.7685329936873506</v>
      </c>
      <c r="N63" s="21">
        <v>1.6903999999999999E-2</v>
      </c>
      <c r="O63" s="12">
        <f>(2/(Inputs!$B$26+1))*N63+(1-(2/(Inputs!$B$26+1)))*O62</f>
        <v>1.9923118825053911E-2</v>
      </c>
      <c r="P63" s="19">
        <f ca="1">O63/(Prices!G63*SQRT(Inputs!$B$6))</f>
        <v>0.13364976427174885</v>
      </c>
      <c r="Q63" s="19">
        <f ca="1">MAX(-Inputs!$B$8,MIN(Inputs!$B$8,P63*Inputs!$B$31))</f>
        <v>4.0094929281524658</v>
      </c>
      <c r="R63" s="19">
        <f ca="1">MAX(-Inputs!$B$8,MIN(Inputs!$B$8,Inputs!$B$32*(40*(C63-AVERAGE(OFFSET(Prices!C63,-(Inputs!$B$25-1),0,Inputs!$B$25,1)))/(MAX(OFFSET(Prices!C63,-(Inputs!$B$25-1),0,Inputs!$B$25,1))-MIN(OFFSET(Prices!C63,-(Inputs!$B$25-1),0,Inputs!$B$25,1))))))</f>
        <v>15.820866141732209</v>
      </c>
    </row>
    <row r="64" spans="1:18" x14ac:dyDescent="0.25">
      <c r="A64" s="16">
        <f>Prices!A64</f>
        <v>61</v>
      </c>
      <c r="B64" s="17">
        <f>Prices!B64</f>
        <v>45954</v>
      </c>
      <c r="C64" s="18">
        <f>Prices!C64</f>
        <v>2594.91</v>
      </c>
      <c r="D64" s="19">
        <f>(2/(Inputs!$B$21+1))*C64+(1-(2/(Inputs!$B$21+1)))*D63</f>
        <v>2461.1616629864197</v>
      </c>
      <c r="E64" s="19">
        <f>(2/(Inputs!$B$22+1))*C64+(1-(2/(Inputs!$B$22+1)))*E63</f>
        <v>2422.4740856625067</v>
      </c>
      <c r="F64" s="20">
        <f t="shared" si="1"/>
        <v>38.687577323913047</v>
      </c>
      <c r="G64" s="19">
        <f ca="1">F64/(C64*Prices!G64)</f>
        <v>1.6016327374786326</v>
      </c>
      <c r="H64" s="19">
        <f ca="1">G64*Inputs!$B$29</f>
        <v>2.995053219085043</v>
      </c>
      <c r="I64" s="19">
        <f ca="1">MAX(-Inputs!$B$8,MIN(Inputs!$B$8,H64))</f>
        <v>2.995053219085043</v>
      </c>
      <c r="J64" s="19">
        <f>(2/(Inputs!$B$23+1))*C64+(1-(2/(Inputs!$B$23+1)))*J63</f>
        <v>2511.2889615728182</v>
      </c>
      <c r="K64" s="19">
        <f>(2/(Inputs!$B$24+1))*C64+(1-(2/(Inputs!$B$24+1)))*K63</f>
        <v>2461.1616629864197</v>
      </c>
      <c r="L64" s="19">
        <f ca="1">(J64-K64)/(C64*Prices!G64)</f>
        <v>2.0752274505366111</v>
      </c>
      <c r="M64" s="19">
        <f ca="1">MAX(-Inputs!$B$8,MIN(Inputs!$B$8,L64*Inputs!$B$30))</f>
        <v>7.7821029395122912</v>
      </c>
      <c r="N64" s="21">
        <v>1.6410999999999999E-2</v>
      </c>
      <c r="O64" s="12">
        <f>(2/(Inputs!$B$26+1))*N64+(1-(2/(Inputs!$B$26+1)))*O63</f>
        <v>1.984592940032745E-2</v>
      </c>
      <c r="P64" s="19">
        <f ca="1">O64/(Prices!G64*SQRT(Inputs!$B$6))</f>
        <v>0.1332493692590811</v>
      </c>
      <c r="Q64" s="19">
        <f ca="1">MAX(-Inputs!$B$8,MIN(Inputs!$B$8,P64*Inputs!$B$31))</f>
        <v>3.997481077772433</v>
      </c>
      <c r="R64" s="19">
        <f ca="1">MAX(-Inputs!$B$8,MIN(Inputs!$B$8,Inputs!$B$32*(40*(C64-AVERAGE(OFFSET(Prices!C64,-(Inputs!$B$25-1),0,Inputs!$B$25,1)))/(MAX(OFFSET(Prices!C64,-(Inputs!$B$25-1),0,Inputs!$B$25,1))-MIN(OFFSET(Prices!C64,-(Inputs!$B$25-1),0,Inputs!$B$25,1))))))</f>
        <v>16.86724316845369</v>
      </c>
    </row>
    <row r="65" spans="1:18" x14ac:dyDescent="0.25">
      <c r="A65" s="16">
        <f>Prices!A65</f>
        <v>62</v>
      </c>
      <c r="B65" s="17">
        <f>Prices!B65</f>
        <v>45957</v>
      </c>
      <c r="C65" s="18">
        <f>Prices!C65</f>
        <v>2629.84</v>
      </c>
      <c r="D65" s="19">
        <f>(2/(Inputs!$B$21+1))*C65+(1-(2/(Inputs!$B$21+1)))*D64</f>
        <v>2466.3517656637609</v>
      </c>
      <c r="E65" s="19">
        <f>(2/(Inputs!$B$22+1))*C65+(1-(2/(Inputs!$B$22+1)))*E64</f>
        <v>2424.0878281865339</v>
      </c>
      <c r="F65" s="20">
        <f t="shared" si="1"/>
        <v>42.263937477227046</v>
      </c>
      <c r="G65" s="19">
        <f ca="1">F65/(C65*Prices!G65)</f>
        <v>1.6962985292267625</v>
      </c>
      <c r="H65" s="19">
        <f ca="1">G65*Inputs!$B$29</f>
        <v>3.1720782496540458</v>
      </c>
      <c r="I65" s="19">
        <f ca="1">MAX(-Inputs!$B$8,MIN(Inputs!$B$8,H65))</f>
        <v>3.1720782496540458</v>
      </c>
      <c r="J65" s="19">
        <f>(2/(Inputs!$B$23+1))*C65+(1-(2/(Inputs!$B$23+1)))*J64</f>
        <v>2525.2361425642512</v>
      </c>
      <c r="K65" s="19">
        <f>(2/(Inputs!$B$24+1))*C65+(1-(2/(Inputs!$B$24+1)))*K64</f>
        <v>2466.3517656637609</v>
      </c>
      <c r="L65" s="19">
        <f ca="1">(J65-K65)/(C65*Prices!G65)</f>
        <v>2.3633737860926214</v>
      </c>
      <c r="M65" s="19">
        <f ca="1">MAX(-Inputs!$B$8,MIN(Inputs!$B$8,L65*Inputs!$B$30))</f>
        <v>8.8626516978473298</v>
      </c>
      <c r="N65" s="21">
        <v>1.5914999999999999E-2</v>
      </c>
      <c r="O65" s="12">
        <f>(2/(Inputs!$B$26+1))*N65+(1-(2/(Inputs!$B$26+1)))*O64</f>
        <v>1.9759535347573E-2</v>
      </c>
      <c r="P65" s="19">
        <f ca="1">O65/(Prices!G65*SQRT(Inputs!$B$6))</f>
        <v>0.13035221106674147</v>
      </c>
      <c r="Q65" s="19">
        <f ca="1">MAX(-Inputs!$B$8,MIN(Inputs!$B$8,P65*Inputs!$B$31))</f>
        <v>3.9105663320022441</v>
      </c>
      <c r="R65" s="19">
        <f ca="1">MAX(-Inputs!$B$8,MIN(Inputs!$B$8,Inputs!$B$32*(40*(C65-AVERAGE(OFFSET(Prices!C65,-(Inputs!$B$25-1),0,Inputs!$B$25,1)))/(MAX(OFFSET(Prices!C65,-(Inputs!$B$25-1),0,Inputs!$B$25,1))-MIN(OFFSET(Prices!C65,-(Inputs!$B$25-1),0,Inputs!$B$25,1))))))</f>
        <v>18.081740412979322</v>
      </c>
    </row>
    <row r="66" spans="1:18" x14ac:dyDescent="0.25">
      <c r="A66" s="16">
        <f>Prices!A66</f>
        <v>63</v>
      </c>
      <c r="B66" s="17">
        <f>Prices!B66</f>
        <v>45958</v>
      </c>
      <c r="C66" s="18">
        <f>Prices!C66</f>
        <v>2625.27</v>
      </c>
      <c r="D66" s="19">
        <f>(2/(Inputs!$B$21+1))*C66+(1-(2/(Inputs!$B$21+1)))*D65</f>
        <v>2471.2415574894912</v>
      </c>
      <c r="E66" s="19">
        <f>(2/(Inputs!$B$22+1))*C66+(1-(2/(Inputs!$B$22+1)))*E65</f>
        <v>2425.6534482006464</v>
      </c>
      <c r="F66" s="20">
        <f t="shared" si="1"/>
        <v>45.588109288844862</v>
      </c>
      <c r="G66" s="19">
        <f ca="1">F66/(C66*Prices!G66)</f>
        <v>1.8365517140038208</v>
      </c>
      <c r="H66" s="19">
        <f ca="1">G66*Inputs!$B$29</f>
        <v>3.4343517051871451</v>
      </c>
      <c r="I66" s="19">
        <f ca="1">MAX(-Inputs!$B$8,MIN(Inputs!$B$8,H66))</f>
        <v>3.4343517051871451</v>
      </c>
      <c r="J66" s="19">
        <f>(2/(Inputs!$B$23+1))*C66+(1-(2/(Inputs!$B$23+1)))*J65</f>
        <v>2537.0048316743391</v>
      </c>
      <c r="K66" s="19">
        <f>(2/(Inputs!$B$24+1))*C66+(1-(2/(Inputs!$B$24+1)))*K65</f>
        <v>2471.2415574894912</v>
      </c>
      <c r="L66" s="19">
        <f ca="1">(J66-K66)/(C66*Prices!G66)</f>
        <v>2.6493236022894062</v>
      </c>
      <c r="M66" s="19">
        <f ca="1">MAX(-Inputs!$B$8,MIN(Inputs!$B$8,L66*Inputs!$B$30))</f>
        <v>9.9349635085852732</v>
      </c>
      <c r="N66" s="21">
        <v>1.5415999999999999E-2</v>
      </c>
      <c r="O66" s="12">
        <f>(2/(Inputs!$B$26+1))*N66+(1-(2/(Inputs!$B$26+1)))*O65</f>
        <v>1.9664073032241724E-2</v>
      </c>
      <c r="P66" s="19">
        <f ca="1">O66/(Prices!G66*SQRT(Inputs!$B$6))</f>
        <v>0.12998075422049377</v>
      </c>
      <c r="Q66" s="19">
        <f ca="1">MAX(-Inputs!$B$8,MIN(Inputs!$B$8,P66*Inputs!$B$31))</f>
        <v>3.8994226266148129</v>
      </c>
      <c r="R66" s="19">
        <f ca="1">MAX(-Inputs!$B$8,MIN(Inputs!$B$8,Inputs!$B$32*(40*(C66-AVERAGE(OFFSET(Prices!C66,-(Inputs!$B$25-1),0,Inputs!$B$25,1)))/(MAX(OFFSET(Prices!C66,-(Inputs!$B$25-1),0,Inputs!$B$25,1))-MIN(OFFSET(Prices!C66,-(Inputs!$B$25-1),0,Inputs!$B$25,1))))))</f>
        <v>17.033982300884869</v>
      </c>
    </row>
    <row r="67" spans="1:18" x14ac:dyDescent="0.25">
      <c r="A67" s="16">
        <f>Prices!A67</f>
        <v>64</v>
      </c>
      <c r="B67" s="17">
        <f>Prices!B67</f>
        <v>45959</v>
      </c>
      <c r="C67" s="18">
        <f>Prices!C67</f>
        <v>2585.81</v>
      </c>
      <c r="D67" s="19">
        <f>(2/(Inputs!$B$21+1))*C67+(1-(2/(Inputs!$B$21+1)))*D66</f>
        <v>2474.7667403359683</v>
      </c>
      <c r="E67" s="19">
        <f>(2/(Inputs!$B$22+1))*C67+(1-(2/(Inputs!$B$22+1)))*E66</f>
        <v>2426.8998026893573</v>
      </c>
      <c r="F67" s="20">
        <f t="shared" si="1"/>
        <v>47.86693764661095</v>
      </c>
      <c r="G67" s="19">
        <f ca="1">F67/(C67*Prices!G67)</f>
        <v>1.8938506510121429</v>
      </c>
      <c r="H67" s="19">
        <f ca="1">G67*Inputs!$B$29</f>
        <v>3.5415007173927076</v>
      </c>
      <c r="I67" s="19">
        <f ca="1">MAX(-Inputs!$B$8,MIN(Inputs!$B$8,H67))</f>
        <v>3.5415007173927076</v>
      </c>
      <c r="J67" s="19">
        <f>(2/(Inputs!$B$23+1))*C67+(1-(2/(Inputs!$B$23+1)))*J66</f>
        <v>2542.7466161832403</v>
      </c>
      <c r="K67" s="19">
        <f>(2/(Inputs!$B$24+1))*C67+(1-(2/(Inputs!$B$24+1)))*K66</f>
        <v>2474.7667403359683</v>
      </c>
      <c r="L67" s="19">
        <f ca="1">(J67-K67)/(C67*Prices!G67)</f>
        <v>2.6896170605180987</v>
      </c>
      <c r="M67" s="19">
        <f ca="1">MAX(-Inputs!$B$8,MIN(Inputs!$B$8,L67*Inputs!$B$30))</f>
        <v>10.086063976942871</v>
      </c>
      <c r="N67" s="21">
        <v>1.4916E-2</v>
      </c>
      <c r="O67" s="12">
        <f>(2/(Inputs!$B$26+1))*N67+(1-(2/(Inputs!$B$26+1)))*O66</f>
        <v>1.9559719778785862E-2</v>
      </c>
      <c r="P67" s="19">
        <f ca="1">O67/(Prices!G67*SQRT(Inputs!$B$6))</f>
        <v>0.12506890294020109</v>
      </c>
      <c r="Q67" s="19">
        <f ca="1">MAX(-Inputs!$B$8,MIN(Inputs!$B$8,P67*Inputs!$B$31))</f>
        <v>3.752067088206033</v>
      </c>
      <c r="R67" s="19">
        <f ca="1">MAX(-Inputs!$B$8,MIN(Inputs!$B$8,Inputs!$B$32*(40*(C67-AVERAGE(OFFSET(Prices!C67,-(Inputs!$B$25-1),0,Inputs!$B$25,1)))/(MAX(OFFSET(Prices!C67,-(Inputs!$B$25-1),0,Inputs!$B$25,1))-MIN(OFFSET(Prices!C67,-(Inputs!$B$25-1),0,Inputs!$B$25,1))))))</f>
        <v>11.97188790560465</v>
      </c>
    </row>
    <row r="68" spans="1:18" x14ac:dyDescent="0.25">
      <c r="A68" s="16">
        <f>Prices!A68</f>
        <v>65</v>
      </c>
      <c r="B68" s="17">
        <f>Prices!B68</f>
        <v>45960</v>
      </c>
      <c r="C68" s="18">
        <f>Prices!C68</f>
        <v>2569.98</v>
      </c>
      <c r="D68" s="19">
        <f>(2/(Inputs!$B$21+1))*C68+(1-(2/(Inputs!$B$21+1)))*D67</f>
        <v>2477.6963790948616</v>
      </c>
      <c r="E68" s="19">
        <f>(2/(Inputs!$B$22+1))*C68+(1-(2/(Inputs!$B$22+1)))*E67</f>
        <v>2428.0132672598684</v>
      </c>
      <c r="F68" s="20">
        <f t="shared" ref="F68:F99" si="2">D68-E68</f>
        <v>49.683111834993269</v>
      </c>
      <c r="G68" s="19">
        <f ca="1">F68/(C68*Prices!G68)</f>
        <v>1.9835884558113044</v>
      </c>
      <c r="H68" s="19">
        <f ca="1">G68*Inputs!$B$29</f>
        <v>3.7093104123671394</v>
      </c>
      <c r="I68" s="19">
        <f ca="1">MAX(-Inputs!$B$8,MIN(Inputs!$B$8,H68))</f>
        <v>3.7093104123671394</v>
      </c>
      <c r="J68" s="19">
        <f>(2/(Inputs!$B$23+1))*C68+(1-(2/(Inputs!$B$23+1)))*J67</f>
        <v>2545.9505436910945</v>
      </c>
      <c r="K68" s="19">
        <f>(2/(Inputs!$B$24+1))*C68+(1-(2/(Inputs!$B$24+1)))*K67</f>
        <v>2477.6963790948616</v>
      </c>
      <c r="L68" s="19">
        <f ca="1">(J68-K68)/(C68*Prices!G68)</f>
        <v>2.7250340800669064</v>
      </c>
      <c r="M68" s="19">
        <f ca="1">MAX(-Inputs!$B$8,MIN(Inputs!$B$8,L68*Inputs!$B$30))</f>
        <v>10.218877800250899</v>
      </c>
      <c r="N68" s="21">
        <v>1.4416E-2</v>
      </c>
      <c r="O68" s="12">
        <f>(2/(Inputs!$B$26+1))*N68+(1-(2/(Inputs!$B$26+1)))*O67</f>
        <v>1.9446670992438918E-2</v>
      </c>
      <c r="P68" s="19">
        <f ca="1">O68/(Prices!G68*SQRT(Inputs!$B$6))</f>
        <v>0.12470900386474493</v>
      </c>
      <c r="Q68" s="19">
        <f ca="1">MAX(-Inputs!$B$8,MIN(Inputs!$B$8,P68*Inputs!$B$31))</f>
        <v>3.7412701159423478</v>
      </c>
      <c r="R68" s="19">
        <f ca="1">MAX(-Inputs!$B$8,MIN(Inputs!$B$8,Inputs!$B$32*(40*(C68-AVERAGE(OFFSET(Prices!C68,-(Inputs!$B$25-1),0,Inputs!$B$25,1)))/(MAX(OFFSET(Prices!C68,-(Inputs!$B$25-1),0,Inputs!$B$25,1))-MIN(OFFSET(Prices!C68,-(Inputs!$B$25-1),0,Inputs!$B$25,1))))))</f>
        <v>9.7887610619468397</v>
      </c>
    </row>
    <row r="69" spans="1:18" x14ac:dyDescent="0.25">
      <c r="A69" s="16">
        <f>Prices!A69</f>
        <v>66</v>
      </c>
      <c r="B69" s="17">
        <f>Prices!B69</f>
        <v>45961</v>
      </c>
      <c r="C69" s="18">
        <f>Prices!C69</f>
        <v>2592.42</v>
      </c>
      <c r="D69" s="19">
        <f>(2/(Inputs!$B$21+1))*C69+(1-(2/(Inputs!$B$21+1)))*D68</f>
        <v>2481.2263366611733</v>
      </c>
      <c r="E69" s="19">
        <f>(2/(Inputs!$B$22+1))*C69+(1-(2/(Inputs!$B$22+1)))*E68</f>
        <v>2429.2926970866397</v>
      </c>
      <c r="F69" s="20">
        <f t="shared" si="2"/>
        <v>51.933639574533572</v>
      </c>
      <c r="G69" s="19">
        <f ca="1">F69/(C69*Prices!G69)</f>
        <v>2.0676568873799783</v>
      </c>
      <c r="H69" s="19">
        <f ca="1">G69*Inputs!$B$29</f>
        <v>3.8665183794005595</v>
      </c>
      <c r="I69" s="19">
        <f ca="1">MAX(-Inputs!$B$8,MIN(Inputs!$B$8,H69))</f>
        <v>3.8665183794005595</v>
      </c>
      <c r="J69" s="19">
        <f>(2/(Inputs!$B$23+1))*C69+(1-(2/(Inputs!$B$23+1)))*J68</f>
        <v>2551.4175385509657</v>
      </c>
      <c r="K69" s="19">
        <f>(2/(Inputs!$B$24+1))*C69+(1-(2/(Inputs!$B$24+1)))*K68</f>
        <v>2481.2263366611733</v>
      </c>
      <c r="L69" s="19">
        <f ca="1">(J69-K69)/(C69*Prices!G69)</f>
        <v>2.7945532647027322</v>
      </c>
      <c r="M69" s="19">
        <f ca="1">MAX(-Inputs!$B$8,MIN(Inputs!$B$8,L69*Inputs!$B$30))</f>
        <v>10.479574742635245</v>
      </c>
      <c r="N69" s="21">
        <v>1.3918E-2</v>
      </c>
      <c r="O69" s="12">
        <f>(2/(Inputs!$B$26+1))*N69+(1-(2/(Inputs!$B$26+1)))*O68</f>
        <v>1.9325161739857842E-2</v>
      </c>
      <c r="P69" s="19">
        <f ca="1">O69/(Prices!G69*SQRT(Inputs!$B$6))</f>
        <v>0.12466318856747091</v>
      </c>
      <c r="Q69" s="19">
        <f ca="1">MAX(-Inputs!$B$8,MIN(Inputs!$B$8,P69*Inputs!$B$31))</f>
        <v>3.7398956570241273</v>
      </c>
      <c r="R69" s="19">
        <f ca="1">MAX(-Inputs!$B$8,MIN(Inputs!$B$8,Inputs!$B$32*(40*(C69-AVERAGE(OFFSET(Prices!C69,-(Inputs!$B$25-1),0,Inputs!$B$25,1)))/(MAX(OFFSET(Prices!C69,-(Inputs!$B$25-1),0,Inputs!$B$25,1))-MIN(OFFSET(Prices!C69,-(Inputs!$B$25-1),0,Inputs!$B$25,1))))))</f>
        <v>12.127256637168118</v>
      </c>
    </row>
    <row r="70" spans="1:18" x14ac:dyDescent="0.25">
      <c r="A70" s="16">
        <f>Prices!A70</f>
        <v>67</v>
      </c>
      <c r="B70" s="17">
        <f>Prices!B70</f>
        <v>45964</v>
      </c>
      <c r="C70" s="18">
        <f>Prices!C70</f>
        <v>2552.92</v>
      </c>
      <c r="D70" s="19">
        <f>(2/(Inputs!$B$21+1))*C70+(1-(2/(Inputs!$B$21+1)))*D69</f>
        <v>2483.4322955331368</v>
      </c>
      <c r="E70" s="19">
        <f>(2/(Inputs!$B$22+1))*C70+(1-(2/(Inputs!$B$22+1)))*E69</f>
        <v>2430.2547772649541</v>
      </c>
      <c r="F70" s="20">
        <f t="shared" si="2"/>
        <v>53.177518268182666</v>
      </c>
      <c r="G70" s="19">
        <f ca="1">F70/(C70*Prices!G70)</f>
        <v>2.0920980963752567</v>
      </c>
      <c r="H70" s="19">
        <f ca="1">G70*Inputs!$B$29</f>
        <v>3.9122234402217302</v>
      </c>
      <c r="I70" s="19">
        <f ca="1">MAX(-Inputs!$B$8,MIN(Inputs!$B$8,H70))</f>
        <v>3.9122234402217302</v>
      </c>
      <c r="J70" s="19">
        <f>(2/(Inputs!$B$23+1))*C70+(1-(2/(Inputs!$B$23+1)))*J69</f>
        <v>2551.5942987214403</v>
      </c>
      <c r="K70" s="19">
        <f>(2/(Inputs!$B$24+1))*C70+(1-(2/(Inputs!$B$24+1)))*K69</f>
        <v>2483.4322955331368</v>
      </c>
      <c r="L70" s="19">
        <f ca="1">(J70-K70)/(C70*Prices!G70)</f>
        <v>2.6816143693696168</v>
      </c>
      <c r="M70" s="19">
        <f ca="1">MAX(-Inputs!$B$8,MIN(Inputs!$B$8,L70*Inputs!$B$30))</f>
        <v>10.056053885136063</v>
      </c>
      <c r="N70" s="21">
        <v>1.3422999999999999E-2</v>
      </c>
      <c r="O70" s="12">
        <f>(2/(Inputs!$B$26+1))*N70+(1-(2/(Inputs!$B$26+1)))*O69</f>
        <v>1.9195443899421405E-2</v>
      </c>
      <c r="P70" s="19">
        <f ca="1">O70/(Prices!G70*SQRT(Inputs!$B$6))</f>
        <v>0.12049509310783074</v>
      </c>
      <c r="Q70" s="19">
        <f ca="1">MAX(-Inputs!$B$8,MIN(Inputs!$B$8,P70*Inputs!$B$31))</f>
        <v>3.6148527932349221</v>
      </c>
      <c r="R70" s="19">
        <f ca="1">MAX(-Inputs!$B$8,MIN(Inputs!$B$8,Inputs!$B$32*(40*(C70-AVERAGE(OFFSET(Prices!C70,-(Inputs!$B$25-1),0,Inputs!$B$25,1)))/(MAX(OFFSET(Prices!C70,-(Inputs!$B$25-1),0,Inputs!$B$25,1))-MIN(OFFSET(Prices!C70,-(Inputs!$B$25-1),0,Inputs!$B$25,1))))))</f>
        <v>7.2648672566371753</v>
      </c>
    </row>
    <row r="71" spans="1:18" x14ac:dyDescent="0.25">
      <c r="A71" s="16">
        <f>Prices!A71</f>
        <v>68</v>
      </c>
      <c r="B71" s="17">
        <f>Prices!B71</f>
        <v>45965</v>
      </c>
      <c r="C71" s="18">
        <f>Prices!C71</f>
        <v>2551.73</v>
      </c>
      <c r="D71" s="19">
        <f>(2/(Inputs!$B$21+1))*C71+(1-(2/(Inputs!$B$21+1)))*D70</f>
        <v>2485.5337633628865</v>
      </c>
      <c r="E71" s="19">
        <f>(2/(Inputs!$B$22+1))*C71+(1-(2/(Inputs!$B$22+1)))*E70</f>
        <v>2431.2001097376001</v>
      </c>
      <c r="F71" s="20">
        <f t="shared" si="2"/>
        <v>54.333653625286388</v>
      </c>
      <c r="G71" s="19">
        <f ca="1">F71/(C71*Prices!G71)</f>
        <v>2.1893474444270207</v>
      </c>
      <c r="H71" s="19">
        <f ca="1">G71*Inputs!$B$29</f>
        <v>4.0940797210785291</v>
      </c>
      <c r="I71" s="19">
        <f ca="1">MAX(-Inputs!$B$8,MIN(Inputs!$B$8,H71))</f>
        <v>4.0940797210785291</v>
      </c>
      <c r="J71" s="19">
        <f>(2/(Inputs!$B$23+1))*C71+(1-(2/(Inputs!$B$23+1)))*J70</f>
        <v>2551.6102635777411</v>
      </c>
      <c r="K71" s="19">
        <f>(2/(Inputs!$B$24+1))*C71+(1-(2/(Inputs!$B$24+1)))*K70</f>
        <v>2485.5337633628865</v>
      </c>
      <c r="L71" s="19">
        <f ca="1">(J71-K71)/(C71*Prices!G71)</f>
        <v>2.6625195846345204</v>
      </c>
      <c r="M71" s="19">
        <f ca="1">MAX(-Inputs!$B$8,MIN(Inputs!$B$8,L71*Inputs!$B$30))</f>
        <v>9.9844484423794508</v>
      </c>
      <c r="N71" s="21">
        <v>1.2931E-2</v>
      </c>
      <c r="O71" s="12">
        <f>(2/(Inputs!$B$26+1))*N71+(1-(2/(Inputs!$B$26+1)))*O70</f>
        <v>1.9057763813719833E-2</v>
      </c>
      <c r="P71" s="19">
        <f ca="1">O71/(Prices!G71*SQRT(Inputs!$B$6))</f>
        <v>0.12247077215436339</v>
      </c>
      <c r="Q71" s="19">
        <f ca="1">MAX(-Inputs!$B$8,MIN(Inputs!$B$8,P71*Inputs!$B$31))</f>
        <v>3.6741231646309016</v>
      </c>
      <c r="R71" s="19">
        <f ca="1">MAX(-Inputs!$B$8,MIN(Inputs!$B$8,Inputs!$B$32*(40*(C71-AVERAGE(OFFSET(Prices!C71,-(Inputs!$B$25-1),0,Inputs!$B$25,1)))/(MAX(OFFSET(Prices!C71,-(Inputs!$B$25-1),0,Inputs!$B$25,1))-MIN(OFFSET(Prices!C71,-(Inputs!$B$25-1),0,Inputs!$B$25,1))))))</f>
        <v>6.9627433628319144</v>
      </c>
    </row>
    <row r="72" spans="1:18" x14ac:dyDescent="0.25">
      <c r="A72" s="16">
        <f>Prices!A72</f>
        <v>69</v>
      </c>
      <c r="B72" s="17">
        <f>Prices!B72</f>
        <v>45966</v>
      </c>
      <c r="C72" s="18">
        <f>Prices!C72</f>
        <v>2556.15</v>
      </c>
      <c r="D72" s="19">
        <f>(2/(Inputs!$B$21+1))*C72+(1-(2/(Inputs!$B$21+1)))*D71</f>
        <v>2487.7065706440285</v>
      </c>
      <c r="E72" s="19">
        <f>(2/(Inputs!$B$22+1))*C72+(1-(2/(Inputs!$B$22+1)))*E71</f>
        <v>2432.172482424467</v>
      </c>
      <c r="F72" s="20">
        <f t="shared" si="2"/>
        <v>55.534088219561454</v>
      </c>
      <c r="G72" s="19">
        <f ca="1">F72/(C72*Prices!G72)</f>
        <v>2.4218755147718265</v>
      </c>
      <c r="H72" s="19">
        <f ca="1">G72*Inputs!$B$29</f>
        <v>4.5289072126233156</v>
      </c>
      <c r="I72" s="19">
        <f ca="1">MAX(-Inputs!$B$8,MIN(Inputs!$B$8,H72))</f>
        <v>4.5289072126233156</v>
      </c>
      <c r="J72" s="19">
        <f>(2/(Inputs!$B$23+1))*C72+(1-(2/(Inputs!$B$23+1)))*J71</f>
        <v>2552.1443502156535</v>
      </c>
      <c r="K72" s="19">
        <f>(2/(Inputs!$B$24+1))*C72+(1-(2/(Inputs!$B$24+1)))*K71</f>
        <v>2487.7065706440285</v>
      </c>
      <c r="L72" s="19">
        <f ca="1">(J72-K72)/(C72*Prices!G72)</f>
        <v>2.8101709341796988</v>
      </c>
      <c r="M72" s="19">
        <f ca="1">MAX(-Inputs!$B$8,MIN(Inputs!$B$8,L72*Inputs!$B$30))</f>
        <v>10.53814100317387</v>
      </c>
      <c r="N72" s="21">
        <v>1.2444999999999999E-2</v>
      </c>
      <c r="O72" s="12">
        <f>(2/(Inputs!$B$26+1))*N72+(1-(2/(Inputs!$B$26+1)))*O71</f>
        <v>1.891242834528643E-2</v>
      </c>
      <c r="P72" s="19">
        <f ca="1">O72/(Prices!G72*SQRT(Inputs!$B$6))</f>
        <v>0.13176674539126385</v>
      </c>
      <c r="Q72" s="19">
        <f ca="1">MAX(-Inputs!$B$8,MIN(Inputs!$B$8,P72*Inputs!$B$31))</f>
        <v>3.9530023617379153</v>
      </c>
      <c r="R72" s="19">
        <f ca="1">MAX(-Inputs!$B$8,MIN(Inputs!$B$8,Inputs!$B$32*(40*(C72-AVERAGE(OFFSET(Prices!C72,-(Inputs!$B$25-1),0,Inputs!$B$25,1)))/(MAX(OFFSET(Prices!C72,-(Inputs!$B$25-1),0,Inputs!$B$25,1))-MIN(OFFSET(Prices!C72,-(Inputs!$B$25-1),0,Inputs!$B$25,1))))))</f>
        <v>7.3366371681416807</v>
      </c>
    </row>
    <row r="73" spans="1:18" x14ac:dyDescent="0.25">
      <c r="A73" s="16">
        <f>Prices!A73</f>
        <v>70</v>
      </c>
      <c r="B73" s="17">
        <f>Prices!B73</f>
        <v>45967</v>
      </c>
      <c r="C73" s="18">
        <f>Prices!C73</f>
        <v>2546.04</v>
      </c>
      <c r="D73" s="19">
        <f>(2/(Inputs!$B$21+1))*C73+(1-(2/(Inputs!$B$21+1)))*D72</f>
        <v>2489.5014453934432</v>
      </c>
      <c r="E73" s="19">
        <f>(2/(Inputs!$B$22+1))*C73+(1-(2/(Inputs!$B$22+1)))*E72</f>
        <v>2433.0586109659107</v>
      </c>
      <c r="F73" s="20">
        <f t="shared" si="2"/>
        <v>56.442834427532489</v>
      </c>
      <c r="G73" s="19">
        <f ca="1">F73/(C73*Prices!G73)</f>
        <v>2.4783986029478413</v>
      </c>
      <c r="H73" s="19">
        <f ca="1">G73*Inputs!$B$29</f>
        <v>4.6346053875124635</v>
      </c>
      <c r="I73" s="19">
        <f ca="1">MAX(-Inputs!$B$8,MIN(Inputs!$B$8,H73))</f>
        <v>4.6346053875124635</v>
      </c>
      <c r="J73" s="19">
        <f>(2/(Inputs!$B$23+1))*C73+(1-(2/(Inputs!$B$23+1)))*J72</f>
        <v>2551.4261913667528</v>
      </c>
      <c r="K73" s="19">
        <f>(2/(Inputs!$B$24+1))*C73+(1-(2/(Inputs!$B$24+1)))*K72</f>
        <v>2489.5014453934432</v>
      </c>
      <c r="L73" s="19">
        <f ca="1">(J73-K73)/(C73*Prices!G73)</f>
        <v>2.7191087312455515</v>
      </c>
      <c r="M73" s="19">
        <f ca="1">MAX(-Inputs!$B$8,MIN(Inputs!$B$8,L73*Inputs!$B$30))</f>
        <v>10.196657742170817</v>
      </c>
      <c r="N73" s="21">
        <v>1.1965E-2</v>
      </c>
      <c r="O73" s="12">
        <f>(2/(Inputs!$B$26+1))*N73+(1-(2/(Inputs!$B$26+1)))*O72</f>
        <v>1.8759737612422993E-2</v>
      </c>
      <c r="P73" s="19">
        <f ca="1">O73/(Prices!G73*SQRT(Inputs!$B$6))</f>
        <v>0.13107936843889839</v>
      </c>
      <c r="Q73" s="19">
        <f ca="1">MAX(-Inputs!$B$8,MIN(Inputs!$B$8,P73*Inputs!$B$31))</f>
        <v>3.9323810531669516</v>
      </c>
      <c r="R73" s="19">
        <f ca="1">MAX(-Inputs!$B$8,MIN(Inputs!$B$8,Inputs!$B$32*(40*(C73-AVERAGE(OFFSET(Prices!C73,-(Inputs!$B$25-1),0,Inputs!$B$25,1)))/(MAX(OFFSET(Prices!C73,-(Inputs!$B$25-1),0,Inputs!$B$25,1))-MIN(OFFSET(Prices!C73,-(Inputs!$B$25-1),0,Inputs!$B$25,1))))))</f>
        <v>6.0925958702065577</v>
      </c>
    </row>
    <row r="74" spans="1:18" x14ac:dyDescent="0.25">
      <c r="A74" s="16">
        <f>Prices!A74</f>
        <v>71</v>
      </c>
      <c r="B74" s="17">
        <f>Prices!B74</f>
        <v>45968</v>
      </c>
      <c r="C74" s="18">
        <f>Prices!C74</f>
        <v>2562.4299999999998</v>
      </c>
      <c r="D74" s="19">
        <f>(2/(Inputs!$B$21+1))*C74+(1-(2/(Inputs!$B$21+1)))*D73</f>
        <v>2491.7454009197986</v>
      </c>
      <c r="E74" s="19">
        <f>(2/(Inputs!$B$22+1))*C74+(1-(2/(Inputs!$B$22+1)))*E73</f>
        <v>2434.0653922035303</v>
      </c>
      <c r="F74" s="20">
        <f t="shared" si="2"/>
        <v>57.680008716268276</v>
      </c>
      <c r="G74" s="19">
        <f ca="1">F74/(C74*Prices!G74)</f>
        <v>2.5437448876685296</v>
      </c>
      <c r="H74" s="19">
        <f ca="1">G74*Inputs!$B$29</f>
        <v>4.756802939940151</v>
      </c>
      <c r="I74" s="19">
        <f ca="1">MAX(-Inputs!$B$8,MIN(Inputs!$B$8,H74))</f>
        <v>4.756802939940151</v>
      </c>
      <c r="J74" s="19">
        <f>(2/(Inputs!$B$23+1))*C74+(1-(2/(Inputs!$B$23+1)))*J73</f>
        <v>2552.7207570883115</v>
      </c>
      <c r="K74" s="19">
        <f>(2/(Inputs!$B$24+1))*C74+(1-(2/(Inputs!$B$24+1)))*K73</f>
        <v>2491.7454009197986</v>
      </c>
      <c r="L74" s="19">
        <f ca="1">(J74-K74)/(C74*Prices!G74)</f>
        <v>2.6890729384317149</v>
      </c>
      <c r="M74" s="19">
        <f ca="1">MAX(-Inputs!$B$8,MIN(Inputs!$B$8,L74*Inputs!$B$30))</f>
        <v>10.084023519118931</v>
      </c>
      <c r="N74" s="21">
        <v>1.1492E-2</v>
      </c>
      <c r="O74" s="12">
        <f>(2/(Inputs!$B$26+1))*N74+(1-(2/(Inputs!$B$26+1)))*O73</f>
        <v>1.8600007115446661E-2</v>
      </c>
      <c r="P74" s="19">
        <f ca="1">O74/(Prices!G74*SQRT(Inputs!$B$6))</f>
        <v>0.13136914529684937</v>
      </c>
      <c r="Q74" s="19">
        <f ca="1">MAX(-Inputs!$B$8,MIN(Inputs!$B$8,P74*Inputs!$B$31))</f>
        <v>3.9410743589054813</v>
      </c>
      <c r="R74" s="19">
        <f ca="1">MAX(-Inputs!$B$8,MIN(Inputs!$B$8,Inputs!$B$32*(40*(C74-AVERAGE(OFFSET(Prices!C74,-(Inputs!$B$25-1),0,Inputs!$B$25,1)))/(MAX(OFFSET(Prices!C74,-(Inputs!$B$25-1),0,Inputs!$B$25,1))-MIN(OFFSET(Prices!C74,-(Inputs!$B$25-1),0,Inputs!$B$25,1))))))</f>
        <v>7.8529793510325065</v>
      </c>
    </row>
    <row r="75" spans="1:18" x14ac:dyDescent="0.25">
      <c r="A75" s="16">
        <f>Prices!A75</f>
        <v>72</v>
      </c>
      <c r="B75" s="17">
        <f>Prices!B75</f>
        <v>45971</v>
      </c>
      <c r="C75" s="18">
        <f>Prices!C75</f>
        <v>2575.2600000000002</v>
      </c>
      <c r="D75" s="19">
        <f>(2/(Inputs!$B$21+1))*C75+(1-(2/(Inputs!$B$21+1)))*D74</f>
        <v>2494.315080891497</v>
      </c>
      <c r="E75" s="19">
        <f>(2/(Inputs!$B$22+1))*C75+(1-(2/(Inputs!$B$22+1)))*E74</f>
        <v>2435.1641829256819</v>
      </c>
      <c r="F75" s="20">
        <f t="shared" si="2"/>
        <v>59.150897965815147</v>
      </c>
      <c r="G75" s="19">
        <f ca="1">F75/(C75*Prices!G75)</f>
        <v>2.6188250147386531</v>
      </c>
      <c r="H75" s="19">
        <f ca="1">G75*Inputs!$B$29</f>
        <v>4.8972027775612821</v>
      </c>
      <c r="I75" s="19">
        <f ca="1">MAX(-Inputs!$B$8,MIN(Inputs!$B$8,H75))</f>
        <v>4.8972027775612821</v>
      </c>
      <c r="J75" s="19">
        <f>(2/(Inputs!$B$23+1))*C75+(1-(2/(Inputs!$B$23+1)))*J74</f>
        <v>2555.3724327249806</v>
      </c>
      <c r="K75" s="19">
        <f>(2/(Inputs!$B$24+1))*C75+(1-(2/(Inputs!$B$24+1)))*K74</f>
        <v>2494.315080891497</v>
      </c>
      <c r="L75" s="19">
        <f ca="1">(J75-K75)/(C75*Prices!G75)</f>
        <v>2.7032306493070553</v>
      </c>
      <c r="M75" s="19">
        <f ca="1">MAX(-Inputs!$B$8,MIN(Inputs!$B$8,L75*Inputs!$B$30))</f>
        <v>10.137114934901458</v>
      </c>
      <c r="N75" s="21">
        <v>1.1029000000000001E-2</v>
      </c>
      <c r="O75" s="12">
        <f>(2/(Inputs!$B$26+1))*N75+(1-(2/(Inputs!$B$26+1)))*O74</f>
        <v>1.8433611354667614E-2</v>
      </c>
      <c r="P75" s="19">
        <f ca="1">O75/(Prices!G75*SQRT(Inputs!$B$6))</f>
        <v>0.1313580416025632</v>
      </c>
      <c r="Q75" s="19">
        <f ca="1">MAX(-Inputs!$B$8,MIN(Inputs!$B$8,P75*Inputs!$B$31))</f>
        <v>3.940741248076896</v>
      </c>
      <c r="R75" s="19">
        <f ca="1">MAX(-Inputs!$B$8,MIN(Inputs!$B$8,Inputs!$B$32*(40*(C75-AVERAGE(OFFSET(Prices!C75,-(Inputs!$B$25-1),0,Inputs!$B$25,1)))/(MAX(OFFSET(Prices!C75,-(Inputs!$B$25-1),0,Inputs!$B$25,1))-MIN(OFFSET(Prices!C75,-(Inputs!$B$25-1),0,Inputs!$B$25,1))))))</f>
        <v>9.2062831858408298</v>
      </c>
    </row>
    <row r="76" spans="1:18" x14ac:dyDescent="0.25">
      <c r="A76" s="16">
        <f>Prices!A76</f>
        <v>73</v>
      </c>
      <c r="B76" s="17">
        <f>Prices!B76</f>
        <v>45972</v>
      </c>
      <c r="C76" s="18">
        <f>Prices!C76</f>
        <v>2632.98</v>
      </c>
      <c r="D76" s="19">
        <f>(2/(Inputs!$B$21+1))*C76+(1-(2/(Inputs!$B$21+1)))*D75</f>
        <v>2498.5816937871432</v>
      </c>
      <c r="E76" s="19">
        <f>(2/(Inputs!$B$22+1))*C76+(1-(2/(Inputs!$B$22+1)))*E75</f>
        <v>2436.7036056266493</v>
      </c>
      <c r="F76" s="20">
        <f t="shared" si="2"/>
        <v>61.878088160493917</v>
      </c>
      <c r="G76" s="19">
        <f ca="1">F76/(C76*Prices!G76)</f>
        <v>2.5297261717627988</v>
      </c>
      <c r="H76" s="19">
        <f ca="1">G76*Inputs!$B$29</f>
        <v>4.7305879411964344</v>
      </c>
      <c r="I76" s="19">
        <f ca="1">MAX(-Inputs!$B$8,MIN(Inputs!$B$8,H76))</f>
        <v>4.7305879411964344</v>
      </c>
      <c r="J76" s="19">
        <f>(2/(Inputs!$B$23+1))*C76+(1-(2/(Inputs!$B$23+1)))*J75</f>
        <v>2564.5027347573359</v>
      </c>
      <c r="K76" s="19">
        <f>(2/(Inputs!$B$24+1))*C76+(1-(2/(Inputs!$B$24+1)))*K75</f>
        <v>2498.5816937871432</v>
      </c>
      <c r="L76" s="19">
        <f ca="1">(J76-K76)/(C76*Prices!G76)</f>
        <v>2.6950118785120067</v>
      </c>
      <c r="M76" s="19">
        <f ca="1">MAX(-Inputs!$B$8,MIN(Inputs!$B$8,L76*Inputs!$B$30))</f>
        <v>10.106294544420026</v>
      </c>
      <c r="N76" s="21">
        <v>1.0574999999999999E-2</v>
      </c>
      <c r="O76" s="12">
        <f>(2/(Inputs!$B$26+1))*N76+(1-(2/(Inputs!$B$26+1)))*O75</f>
        <v>1.8260894621597995E-2</v>
      </c>
      <c r="P76" s="19">
        <f ca="1">O76/(Prices!G76*SQRT(Inputs!$B$6))</f>
        <v>0.12285313823274516</v>
      </c>
      <c r="Q76" s="19">
        <f ca="1">MAX(-Inputs!$B$8,MIN(Inputs!$B$8,P76*Inputs!$B$31))</f>
        <v>3.6855941469823548</v>
      </c>
      <c r="R76" s="19">
        <f ca="1">MAX(-Inputs!$B$8,MIN(Inputs!$B$8,Inputs!$B$32*(40*(C76-AVERAGE(OFFSET(Prices!C76,-(Inputs!$B$25-1),0,Inputs!$B$25,1)))/(MAX(OFFSET(Prices!C76,-(Inputs!$B$25-1),0,Inputs!$B$25,1))-MIN(OFFSET(Prices!C76,-(Inputs!$B$25-1),0,Inputs!$B$25,1))))))</f>
        <v>15.378892863084509</v>
      </c>
    </row>
    <row r="77" spans="1:18" x14ac:dyDescent="0.25">
      <c r="A77" s="16">
        <f>Prices!A77</f>
        <v>74</v>
      </c>
      <c r="B77" s="17">
        <f>Prices!B77</f>
        <v>45973</v>
      </c>
      <c r="C77" s="18">
        <f>Prices!C77</f>
        <v>2647.2</v>
      </c>
      <c r="D77" s="19">
        <f>(2/(Inputs!$B$21+1))*C77+(1-(2/(Inputs!$B$21+1)))*D76</f>
        <v>2503.1545647475391</v>
      </c>
      <c r="E77" s="19">
        <f>(2/(Inputs!$B$22+1))*C77+(1-(2/(Inputs!$B$22+1)))*E76</f>
        <v>2438.341709863018</v>
      </c>
      <c r="F77" s="20">
        <f t="shared" si="2"/>
        <v>64.81285488452113</v>
      </c>
      <c r="G77" s="19">
        <f ca="1">F77/(C77*Prices!G77)</f>
        <v>2.6955362317133336</v>
      </c>
      <c r="H77" s="19">
        <f ca="1">G77*Inputs!$B$29</f>
        <v>5.0406527533039345</v>
      </c>
      <c r="I77" s="19">
        <f ca="1">MAX(-Inputs!$B$8,MIN(Inputs!$B$8,H77))</f>
        <v>5.0406527533039345</v>
      </c>
      <c r="J77" s="19">
        <f>(2/(Inputs!$B$23+1))*C77+(1-(2/(Inputs!$B$23+1)))*J76</f>
        <v>2574.2318247858848</v>
      </c>
      <c r="K77" s="19">
        <f>(2/(Inputs!$B$24+1))*C77+(1-(2/(Inputs!$B$24+1)))*K76</f>
        <v>2503.1545647475391</v>
      </c>
      <c r="L77" s="19">
        <f ca="1">(J77-K77)/(C77*Prices!G77)</f>
        <v>2.9560699035034741</v>
      </c>
      <c r="M77" s="19">
        <f ca="1">MAX(-Inputs!$B$8,MIN(Inputs!$B$8,L77*Inputs!$B$30))</f>
        <v>11.085262138138027</v>
      </c>
      <c r="N77" s="21">
        <v>1.0132E-2</v>
      </c>
      <c r="O77" s="12">
        <f>(2/(Inputs!$B$26+1))*N77+(1-(2/(Inputs!$B$26+1)))*O76</f>
        <v>1.8082237596947489E-2</v>
      </c>
      <c r="P77" s="19">
        <f ca="1">O77/(Prices!G77*SQRT(Inputs!$B$6))</f>
        <v>0.12442365791760951</v>
      </c>
      <c r="Q77" s="19">
        <f ca="1">MAX(-Inputs!$B$8,MIN(Inputs!$B$8,P77*Inputs!$B$31))</f>
        <v>3.7327097375282854</v>
      </c>
      <c r="R77" s="19">
        <f ca="1">MAX(-Inputs!$B$8,MIN(Inputs!$B$8,Inputs!$B$32*(40*(C77-AVERAGE(OFFSET(Prices!C77,-(Inputs!$B$25-1),0,Inputs!$B$25,1)))/(MAX(OFFSET(Prices!C77,-(Inputs!$B$25-1),0,Inputs!$B$25,1))-MIN(OFFSET(Prices!C77,-(Inputs!$B$25-1),0,Inputs!$B$25,1))))))</f>
        <v>15.468856514568591</v>
      </c>
    </row>
    <row r="78" spans="1:18" x14ac:dyDescent="0.25">
      <c r="A78" s="16">
        <f>Prices!A78</f>
        <v>75</v>
      </c>
      <c r="B78" s="17">
        <f>Prices!B78</f>
        <v>45974</v>
      </c>
      <c r="C78" s="18">
        <f>Prices!C78</f>
        <v>2628.95</v>
      </c>
      <c r="D78" s="19">
        <f>(2/(Inputs!$B$21+1))*C78+(1-(2/(Inputs!$B$21+1)))*D77</f>
        <v>2507.0251935245378</v>
      </c>
      <c r="E78" s="19">
        <f>(2/(Inputs!$B$22+1))*C78+(1-(2/(Inputs!$B$22+1)))*E77</f>
        <v>2439.8250428601932</v>
      </c>
      <c r="F78" s="20">
        <f t="shared" si="2"/>
        <v>67.200150664344619</v>
      </c>
      <c r="G78" s="19">
        <f ca="1">F78/(C78*Prices!G78)</f>
        <v>2.8022472413341522</v>
      </c>
      <c r="H78" s="19">
        <f ca="1">G78*Inputs!$B$29</f>
        <v>5.2402023412948644</v>
      </c>
      <c r="I78" s="19">
        <f ca="1">MAX(-Inputs!$B$8,MIN(Inputs!$B$8,H78))</f>
        <v>5.2402023412948644</v>
      </c>
      <c r="J78" s="19">
        <f>(2/(Inputs!$B$23+1))*C78+(1-(2/(Inputs!$B$23+1)))*J77</f>
        <v>2580.669257164016</v>
      </c>
      <c r="K78" s="19">
        <f>(2/(Inputs!$B$24+1))*C78+(1-(2/(Inputs!$B$24+1)))*K77</f>
        <v>2507.0251935245378</v>
      </c>
      <c r="L78" s="19">
        <f ca="1">(J78-K78)/(C78*Prices!G78)</f>
        <v>3.0709585043216383</v>
      </c>
      <c r="M78" s="19">
        <f ca="1">MAX(-Inputs!$B$8,MIN(Inputs!$B$8,L78*Inputs!$B$30))</f>
        <v>11.516094391206144</v>
      </c>
      <c r="N78" s="21">
        <v>9.7020000000000006E-3</v>
      </c>
      <c r="O78" s="12">
        <f>(2/(Inputs!$B$26+1))*N78+(1-(2/(Inputs!$B$26+1)))*O77</f>
        <v>1.7898056550860728E-2</v>
      </c>
      <c r="P78" s="19">
        <f ca="1">O78/(Prices!G78*SQRT(Inputs!$B$6))</f>
        <v>0.12263217280064782</v>
      </c>
      <c r="Q78" s="19">
        <f ca="1">MAX(-Inputs!$B$8,MIN(Inputs!$B$8,P78*Inputs!$B$31))</f>
        <v>3.6789651840194346</v>
      </c>
      <c r="R78" s="19">
        <f ca="1">MAX(-Inputs!$B$8,MIN(Inputs!$B$8,Inputs!$B$32*(40*(C78-AVERAGE(OFFSET(Prices!C78,-(Inputs!$B$25-1),0,Inputs!$B$25,1)))/(MAX(OFFSET(Prices!C78,-(Inputs!$B$25-1),0,Inputs!$B$25,1))-MIN(OFFSET(Prices!C78,-(Inputs!$B$25-1),0,Inputs!$B$25,1))))))</f>
        <v>12.865200659703291</v>
      </c>
    </row>
    <row r="79" spans="1:18" x14ac:dyDescent="0.25">
      <c r="A79" s="16">
        <f>Prices!A79</f>
        <v>76</v>
      </c>
      <c r="B79" s="17">
        <f>Prices!B79</f>
        <v>45975</v>
      </c>
      <c r="C79" s="18">
        <f>Prices!C79</f>
        <v>2612.0700000000002</v>
      </c>
      <c r="D79" s="19">
        <f>(2/(Inputs!$B$21+1))*C79+(1-(2/(Inputs!$B$21+1)))*D78</f>
        <v>2510.2573414160906</v>
      </c>
      <c r="E79" s="19">
        <f>(2/(Inputs!$B$22+1))*C79+(1-(2/(Inputs!$B$22+1)))*E78</f>
        <v>2441.1654705422147</v>
      </c>
      <c r="F79" s="20">
        <f t="shared" si="2"/>
        <v>69.091870873875905</v>
      </c>
      <c r="G79" s="19">
        <f ca="1">F79/(C79*Prices!G79)</f>
        <v>2.9183251486452226</v>
      </c>
      <c r="H79" s="19">
        <f ca="1">G79*Inputs!$B$29</f>
        <v>5.4572680279665668</v>
      </c>
      <c r="I79" s="19">
        <f ca="1">MAX(-Inputs!$B$8,MIN(Inputs!$B$8,H79))</f>
        <v>5.4572680279665668</v>
      </c>
      <c r="J79" s="19">
        <f>(2/(Inputs!$B$23+1))*C79+(1-(2/(Inputs!$B$23+1)))*J78</f>
        <v>2584.3634622035438</v>
      </c>
      <c r="K79" s="19">
        <f>(2/(Inputs!$B$24+1))*C79+(1-(2/(Inputs!$B$24+1)))*K78</f>
        <v>2510.2573414160906</v>
      </c>
      <c r="L79" s="19">
        <f ca="1">(J79-K79)/(C79*Prices!G79)</f>
        <v>3.1301186844013595</v>
      </c>
      <c r="M79" s="19">
        <f ca="1">MAX(-Inputs!$B$8,MIN(Inputs!$B$8,L79*Inputs!$B$30))</f>
        <v>11.737945066505098</v>
      </c>
      <c r="N79" s="21">
        <v>9.2840000000000006E-3</v>
      </c>
      <c r="O79" s="12">
        <f>(2/(Inputs!$B$26+1))*N79+(1-(2/(Inputs!$B$26+1)))*O78</f>
        <v>1.7708736626665986E-2</v>
      </c>
      <c r="P79" s="19">
        <f ca="1">O79/(Prices!G79*SQRT(Inputs!$B$6))</f>
        <v>0.12211222161999238</v>
      </c>
      <c r="Q79" s="19">
        <f ca="1">MAX(-Inputs!$B$8,MIN(Inputs!$B$8,P79*Inputs!$B$31))</f>
        <v>3.6633666485997716</v>
      </c>
      <c r="R79" s="19">
        <f ca="1">MAX(-Inputs!$B$8,MIN(Inputs!$B$8,Inputs!$B$32*(40*(C79-AVERAGE(OFFSET(Prices!C79,-(Inputs!$B$25-1),0,Inputs!$B$25,1)))/(MAX(OFFSET(Prices!C79,-(Inputs!$B$25-1),0,Inputs!$B$25,1))-MIN(OFFSET(Prices!C79,-(Inputs!$B$25-1),0,Inputs!$B$25,1))))))</f>
        <v>11.033145973853113</v>
      </c>
    </row>
    <row r="80" spans="1:18" x14ac:dyDescent="0.25">
      <c r="A80" s="16">
        <f>Prices!A80</f>
        <v>77</v>
      </c>
      <c r="B80" s="17">
        <f>Prices!B80</f>
        <v>45978</v>
      </c>
      <c r="C80" s="18">
        <f>Prices!C80</f>
        <v>2588.2600000000002</v>
      </c>
      <c r="D80" s="19">
        <f>(2/(Inputs!$B$21+1))*C80+(1-(2/(Inputs!$B$21+1)))*D79</f>
        <v>2512.6574232186726</v>
      </c>
      <c r="E80" s="19">
        <f>(2/(Inputs!$B$22+1))*C80+(1-(2/(Inputs!$B$22+1)))*E79</f>
        <v>2442.3101750516139</v>
      </c>
      <c r="F80" s="20">
        <f t="shared" si="2"/>
        <v>70.347248167058751</v>
      </c>
      <c r="G80" s="19">
        <f ca="1">F80/(C80*Prices!G80)</f>
        <v>2.951617578721176</v>
      </c>
      <c r="H80" s="19">
        <f ca="1">G80*Inputs!$B$29</f>
        <v>5.5195248722085992</v>
      </c>
      <c r="I80" s="19">
        <f ca="1">MAX(-Inputs!$B$8,MIN(Inputs!$B$8,H80))</f>
        <v>5.5195248722085992</v>
      </c>
      <c r="J80" s="19">
        <f>(2/(Inputs!$B$23+1))*C80+(1-(2/(Inputs!$B$23+1)))*J79</f>
        <v>2584.8218784148917</v>
      </c>
      <c r="K80" s="19">
        <f>(2/(Inputs!$B$24+1))*C80+(1-(2/(Inputs!$B$24+1)))*K79</f>
        <v>2512.6574232186726</v>
      </c>
      <c r="L80" s="19">
        <f ca="1">(J80-K80)/(C80*Prices!G80)</f>
        <v>3.0278636345541998</v>
      </c>
      <c r="M80" s="19">
        <f ca="1">MAX(-Inputs!$B$8,MIN(Inputs!$B$8,L80*Inputs!$B$30))</f>
        <v>11.354488629578249</v>
      </c>
      <c r="N80" s="21">
        <v>8.881E-3</v>
      </c>
      <c r="O80" s="12">
        <f>(2/(Inputs!$B$26+1))*N80+(1-(2/(Inputs!$B$26+1)))*O79</f>
        <v>1.7514720437068931E-2</v>
      </c>
      <c r="P80" s="19">
        <f ca="1">O80/(Prices!G80*SQRT(Inputs!$B$6))</f>
        <v>0.11887871510285987</v>
      </c>
      <c r="Q80" s="19">
        <f ca="1">MAX(-Inputs!$B$8,MIN(Inputs!$B$8,P80*Inputs!$B$31))</f>
        <v>3.5663614530857961</v>
      </c>
      <c r="R80" s="19">
        <f ca="1">MAX(-Inputs!$B$8,MIN(Inputs!$B$8,Inputs!$B$32*(40*(C80-AVERAGE(OFFSET(Prices!C80,-(Inputs!$B$25-1),0,Inputs!$B$25,1)))/(MAX(OFFSET(Prices!C80,-(Inputs!$B$25-1),0,Inputs!$B$25,1))-MIN(OFFSET(Prices!C80,-(Inputs!$B$25-1),0,Inputs!$B$25,1))))))</f>
        <v>7.7564243484055275</v>
      </c>
    </row>
    <row r="81" spans="1:18" x14ac:dyDescent="0.25">
      <c r="A81" s="16">
        <f>Prices!A81</f>
        <v>78</v>
      </c>
      <c r="B81" s="17">
        <f>Prices!B81</f>
        <v>45979</v>
      </c>
      <c r="C81" s="18">
        <f>Prices!C81</f>
        <v>2610.84</v>
      </c>
      <c r="D81" s="19">
        <f>(2/(Inputs!$B$21+1))*C81+(1-(2/(Inputs!$B$21+1)))*D80</f>
        <v>2515.6784255811749</v>
      </c>
      <c r="E81" s="19">
        <f>(2/(Inputs!$B$22+1))*C81+(1-(2/(Inputs!$B$22+1)))*E80</f>
        <v>2443.6216911990718</v>
      </c>
      <c r="F81" s="20">
        <f t="shared" si="2"/>
        <v>72.056734382103059</v>
      </c>
      <c r="G81" s="19">
        <f ca="1">F81/(C81*Prices!G81)</f>
        <v>2.9891650561410339</v>
      </c>
      <c r="H81" s="19">
        <f ca="1">G81*Inputs!$B$29</f>
        <v>5.5897386549837336</v>
      </c>
      <c r="I81" s="19">
        <f ca="1">MAX(-Inputs!$B$8,MIN(Inputs!$B$8,H81))</f>
        <v>5.5897386549837336</v>
      </c>
      <c r="J81" s="19">
        <f>(2/(Inputs!$B$23+1))*C81+(1-(2/(Inputs!$B$23+1)))*J80</f>
        <v>2587.8828338954922</v>
      </c>
      <c r="K81" s="19">
        <f>(2/(Inputs!$B$24+1))*C81+(1-(2/(Inputs!$B$24+1)))*K80</f>
        <v>2515.6784255811749</v>
      </c>
      <c r="L81" s="19">
        <f ca="1">(J81-K81)/(C81*Prices!G81)</f>
        <v>2.9952910867149019</v>
      </c>
      <c r="M81" s="19">
        <f ca="1">MAX(-Inputs!$B$8,MIN(Inputs!$B$8,L81*Inputs!$B$30))</f>
        <v>11.232341575180882</v>
      </c>
      <c r="N81" s="21">
        <v>8.4939999999999998E-3</v>
      </c>
      <c r="O81" s="12">
        <f>(2/(Inputs!$B$26+1))*N81+(1-(2/(Inputs!$B$26+1)))*O80</f>
        <v>1.7316462845045438E-2</v>
      </c>
      <c r="P81" s="19">
        <f ca="1">O81/(Prices!G81*SQRT(Inputs!$B$6))</f>
        <v>0.11721812796410346</v>
      </c>
      <c r="Q81" s="19">
        <f ca="1">MAX(-Inputs!$B$8,MIN(Inputs!$B$8,P81*Inputs!$B$31))</f>
        <v>3.5165438389231038</v>
      </c>
      <c r="R81" s="19">
        <f ca="1">MAX(-Inputs!$B$8,MIN(Inputs!$B$8,Inputs!$B$32*(40*(C81-AVERAGE(OFFSET(Prices!C81,-(Inputs!$B$25-1),0,Inputs!$B$25,1)))/(MAX(OFFSET(Prices!C81,-(Inputs!$B$25-1),0,Inputs!$B$25,1))-MIN(OFFSET(Prices!C81,-(Inputs!$B$25-1),0,Inputs!$B$25,1))))))</f>
        <v>9.8772337413608131</v>
      </c>
    </row>
    <row r="82" spans="1:18" x14ac:dyDescent="0.25">
      <c r="A82" s="16">
        <f>Prices!A82</f>
        <v>79</v>
      </c>
      <c r="B82" s="17">
        <f>Prices!B82</f>
        <v>45980</v>
      </c>
      <c r="C82" s="18">
        <f>Prices!C82</f>
        <v>2593.9499999999998</v>
      </c>
      <c r="D82" s="19">
        <f>(2/(Inputs!$B$21+1))*C82+(1-(2/(Inputs!$B$21+1)))*D81</f>
        <v>2518.0867817171388</v>
      </c>
      <c r="E82" s="19">
        <f>(2/(Inputs!$B$22+1))*C82+(1-(2/(Inputs!$B$22+1)))*E81</f>
        <v>2444.791561306472</v>
      </c>
      <c r="F82" s="20">
        <f t="shared" si="2"/>
        <v>73.295220410666843</v>
      </c>
      <c r="G82" s="19">
        <f ca="1">F82/(C82*Prices!G82)</f>
        <v>3.0347326673517623</v>
      </c>
      <c r="H82" s="19">
        <f ca="1">G82*Inputs!$B$29</f>
        <v>5.6749500879477957</v>
      </c>
      <c r="I82" s="19">
        <f ca="1">MAX(-Inputs!$B$8,MIN(Inputs!$B$8,H82))</f>
        <v>5.6749500879477957</v>
      </c>
      <c r="J82" s="19">
        <f>(2/(Inputs!$B$23+1))*C82+(1-(2/(Inputs!$B$23+1)))*J81</f>
        <v>2588.5966181430813</v>
      </c>
      <c r="K82" s="19">
        <f>(2/(Inputs!$B$24+1))*C82+(1-(2/(Inputs!$B$24+1)))*K81</f>
        <v>2518.0867817171388</v>
      </c>
      <c r="L82" s="19">
        <f ca="1">(J82-K82)/(C82*Prices!G82)</f>
        <v>2.9194059690732028</v>
      </c>
      <c r="M82" s="19">
        <f ca="1">MAX(-Inputs!$B$8,MIN(Inputs!$B$8,L82*Inputs!$B$30))</f>
        <v>10.94777238402451</v>
      </c>
      <c r="N82" s="21">
        <v>8.1220000000000007E-3</v>
      </c>
      <c r="O82" s="12">
        <f>(2/(Inputs!$B$26+1))*N82+(1-(2/(Inputs!$B$26+1)))*O81</f>
        <v>1.7114386738560923E-2</v>
      </c>
      <c r="P82" s="19">
        <f ca="1">O82/(Prices!G82*SQRT(Inputs!$B$6))</f>
        <v>0.11488087744616347</v>
      </c>
      <c r="Q82" s="19">
        <f ca="1">MAX(-Inputs!$B$8,MIN(Inputs!$B$8,P82*Inputs!$B$31))</f>
        <v>3.4464263233849044</v>
      </c>
      <c r="R82" s="19">
        <f ca="1">MAX(-Inputs!$B$8,MIN(Inputs!$B$8,Inputs!$B$32*(40*(C82-AVERAGE(OFFSET(Prices!C82,-(Inputs!$B$25-1),0,Inputs!$B$25,1)))/(MAX(OFFSET(Prices!C82,-(Inputs!$B$25-1),0,Inputs!$B$25,1))-MIN(OFFSET(Prices!C82,-(Inputs!$B$25-1),0,Inputs!$B$25,1))))))</f>
        <v>7.3678949121493815</v>
      </c>
    </row>
    <row r="83" spans="1:18" x14ac:dyDescent="0.25">
      <c r="A83" s="16">
        <f>Prices!A83</f>
        <v>80</v>
      </c>
      <c r="B83" s="17">
        <f>Prices!B83</f>
        <v>45981</v>
      </c>
      <c r="C83" s="18">
        <f>Prices!C83</f>
        <v>2590.0500000000002</v>
      </c>
      <c r="D83" s="19">
        <f>(2/(Inputs!$B$21+1))*C83+(1-(2/(Inputs!$B$21+1)))*D82</f>
        <v>2520.3010345873809</v>
      </c>
      <c r="E83" s="19">
        <f>(2/(Inputs!$B$22+1))*C83+(1-(2/(Inputs!$B$22+1)))*E82</f>
        <v>2445.9219771717912</v>
      </c>
      <c r="F83" s="20">
        <f t="shared" si="2"/>
        <v>74.379057415589614</v>
      </c>
      <c r="G83" s="19">
        <f ca="1">F83/(C83*Prices!G83)</f>
        <v>3.1050770758567756</v>
      </c>
      <c r="H83" s="19">
        <f ca="1">G83*Inputs!$B$29</f>
        <v>5.8064941318521708</v>
      </c>
      <c r="I83" s="19">
        <f ca="1">MAX(-Inputs!$B$8,MIN(Inputs!$B$8,H83))</f>
        <v>5.8064941318521708</v>
      </c>
      <c r="J83" s="19">
        <f>(2/(Inputs!$B$23+1))*C83+(1-(2/(Inputs!$B$23+1)))*J82</f>
        <v>2588.7676042438952</v>
      </c>
      <c r="K83" s="19">
        <f>(2/(Inputs!$B$24+1))*C83+(1-(2/(Inputs!$B$24+1)))*K82</f>
        <v>2520.3010345873809</v>
      </c>
      <c r="L83" s="19">
        <f ca="1">(J83-K83)/(C83*Prices!G83)</f>
        <v>2.8582504711660253</v>
      </c>
      <c r="M83" s="19">
        <f ca="1">MAX(-Inputs!$B$8,MIN(Inputs!$B$8,L83*Inputs!$B$30))</f>
        <v>10.718439266872595</v>
      </c>
      <c r="N83" s="21">
        <v>7.7679999999999997E-3</v>
      </c>
      <c r="O83" s="12">
        <f>(2/(Inputs!$B$26+1))*N83+(1-(2/(Inputs!$B$26+1)))*O82</f>
        <v>1.6908971645405738E-2</v>
      </c>
      <c r="P83" s="19">
        <f ca="1">O83/(Prices!G83*SQRT(Inputs!$B$6))</f>
        <v>0.11426864455378996</v>
      </c>
      <c r="Q83" s="19">
        <f ca="1">MAX(-Inputs!$B$8,MIN(Inputs!$B$8,P83*Inputs!$B$31))</f>
        <v>3.4280593366136989</v>
      </c>
      <c r="R83" s="19">
        <f ca="1">MAX(-Inputs!$B$8,MIN(Inputs!$B$8,Inputs!$B$32*(40*(C83-AVERAGE(OFFSET(Prices!C83,-(Inputs!$B$25-1),0,Inputs!$B$25,1)))/(MAX(OFFSET(Prices!C83,-(Inputs!$B$25-1),0,Inputs!$B$25,1))-MIN(OFFSET(Prices!C83,-(Inputs!$B$25-1),0,Inputs!$B$25,1))))))</f>
        <v>6.4521941876927276</v>
      </c>
    </row>
    <row r="84" spans="1:18" x14ac:dyDescent="0.25">
      <c r="A84" s="16">
        <f>Prices!A84</f>
        <v>81</v>
      </c>
      <c r="B84" s="17">
        <f>Prices!B84</f>
        <v>45982</v>
      </c>
      <c r="C84" s="18">
        <f>Prices!C84</f>
        <v>2607.39</v>
      </c>
      <c r="D84" s="19">
        <f>(2/(Inputs!$B$21+1))*C84+(1-(2/(Inputs!$B$21+1)))*D83</f>
        <v>2522.9806950616153</v>
      </c>
      <c r="E84" s="19">
        <f>(2/(Inputs!$B$22+1))*C84+(1-(2/(Inputs!$B$22+1)))*E83</f>
        <v>2447.1785376607268</v>
      </c>
      <c r="F84" s="20">
        <f t="shared" si="2"/>
        <v>75.802157400888518</v>
      </c>
      <c r="G84" s="19">
        <f ca="1">F84/(C84*Prices!G84)</f>
        <v>3.1503086267984166</v>
      </c>
      <c r="H84" s="19">
        <f ca="1">G84*Inputs!$B$29</f>
        <v>5.8910771321130397</v>
      </c>
      <c r="I84" s="19">
        <f ca="1">MAX(-Inputs!$B$8,MIN(Inputs!$B$8,H84))</f>
        <v>5.8910771321130397</v>
      </c>
      <c r="J84" s="19">
        <f>(2/(Inputs!$B$23+1))*C84+(1-(2/(Inputs!$B$23+1)))*J83</f>
        <v>2590.9584743328487</v>
      </c>
      <c r="K84" s="19">
        <f>(2/(Inputs!$B$24+1))*C84+(1-(2/(Inputs!$B$24+1)))*K83</f>
        <v>2522.9806950616153</v>
      </c>
      <c r="L84" s="19">
        <f ca="1">(J84-K84)/(C84*Prices!G84)</f>
        <v>2.8251304687306313</v>
      </c>
      <c r="M84" s="19">
        <f ca="1">MAX(-Inputs!$B$8,MIN(Inputs!$B$8,L84*Inputs!$B$30))</f>
        <v>10.594239257739867</v>
      </c>
      <c r="N84" s="21">
        <v>7.4320000000000002E-3</v>
      </c>
      <c r="O84" s="12">
        <f>(2/(Inputs!$B$26+1))*N84+(1-(2/(Inputs!$B$26+1)))*O83</f>
        <v>1.6700686554297919E-2</v>
      </c>
      <c r="P84" s="19">
        <f ca="1">O84/(Prices!G84*SQRT(Inputs!$B$6))</f>
        <v>0.11310762263564376</v>
      </c>
      <c r="Q84" s="19">
        <f ca="1">MAX(-Inputs!$B$8,MIN(Inputs!$B$8,P84*Inputs!$B$31))</f>
        <v>3.3932286790693129</v>
      </c>
      <c r="R84" s="19">
        <f ca="1">MAX(-Inputs!$B$8,MIN(Inputs!$B$8,Inputs!$B$32*(40*(C84-AVERAGE(OFFSET(Prices!C84,-(Inputs!$B$25-1),0,Inputs!$B$25,1)))/(MAX(OFFSET(Prices!C84,-(Inputs!$B$25-1),0,Inputs!$B$25,1))-MIN(OFFSET(Prices!C84,-(Inputs!$B$25-1),0,Inputs!$B$25,1))))))</f>
        <v>7.8995545007911865</v>
      </c>
    </row>
    <row r="85" spans="1:18" x14ac:dyDescent="0.25">
      <c r="A85" s="16">
        <f>Prices!A85</f>
        <v>82</v>
      </c>
      <c r="B85" s="17">
        <f>Prices!B85</f>
        <v>45985</v>
      </c>
      <c r="C85" s="18">
        <f>Prices!C85</f>
        <v>2586.44</v>
      </c>
      <c r="D85" s="19">
        <f>(2/(Inputs!$B$21+1))*C85+(1-(2/(Inputs!$B$21+1)))*D84</f>
        <v>2524.9332890597198</v>
      </c>
      <c r="E85" s="19">
        <f>(2/(Inputs!$B$22+1))*C85+(1-(2/(Inputs!$B$22+1)))*E84</f>
        <v>2448.2622844493594</v>
      </c>
      <c r="F85" s="20">
        <f t="shared" si="2"/>
        <v>76.671004610360342</v>
      </c>
      <c r="G85" s="19">
        <f ca="1">F85/(C85*Prices!G85)</f>
        <v>3.1807611427602591</v>
      </c>
      <c r="H85" s="19">
        <f ca="1">G85*Inputs!$B$29</f>
        <v>5.9480233369616853</v>
      </c>
      <c r="I85" s="19">
        <f ca="1">MAX(-Inputs!$B$8,MIN(Inputs!$B$8,H85))</f>
        <v>5.9480233369616853</v>
      </c>
      <c r="J85" s="19">
        <f>(2/(Inputs!$B$23+1))*C85+(1-(2/(Inputs!$B$23+1)))*J84</f>
        <v>2590.4268891172196</v>
      </c>
      <c r="K85" s="19">
        <f>(2/(Inputs!$B$24+1))*C85+(1-(2/(Inputs!$B$24+1)))*K84</f>
        <v>2524.9332890597198</v>
      </c>
      <c r="L85" s="19">
        <f ca="1">(J85-K85)/(C85*Prices!G85)</f>
        <v>2.7170571094124805</v>
      </c>
      <c r="M85" s="19">
        <f ca="1">MAX(-Inputs!$B$8,MIN(Inputs!$B$8,L85*Inputs!$B$30))</f>
        <v>10.188964160296802</v>
      </c>
      <c r="N85" s="21">
        <v>7.1149999999999998E-3</v>
      </c>
      <c r="O85" s="12">
        <f>(2/(Inputs!$B$26+1))*N85+(1-(2/(Inputs!$B$26+1)))*O84</f>
        <v>1.6490012124533132E-2</v>
      </c>
      <c r="P85" s="19">
        <f ca="1">O85/(Prices!G85*SQRT(Inputs!$B$6))</f>
        <v>0.11058680322172193</v>
      </c>
      <c r="Q85" s="19">
        <f ca="1">MAX(-Inputs!$B$8,MIN(Inputs!$B$8,P85*Inputs!$B$31))</f>
        <v>3.317604096651658</v>
      </c>
      <c r="R85" s="19">
        <f ca="1">MAX(-Inputs!$B$8,MIN(Inputs!$B$8,Inputs!$B$32*(40*(C85-AVERAGE(OFFSET(Prices!C85,-(Inputs!$B$25-1),0,Inputs!$B$25,1)))/(MAX(OFFSET(Prices!C85,-(Inputs!$B$25-1),0,Inputs!$B$25,1))-MIN(OFFSET(Prices!C85,-(Inputs!$B$25-1),0,Inputs!$B$25,1))))))</f>
        <v>4.9465442584729198</v>
      </c>
    </row>
    <row r="86" spans="1:18" x14ac:dyDescent="0.25">
      <c r="A86" s="16">
        <f>Prices!A86</f>
        <v>83</v>
      </c>
      <c r="B86" s="17">
        <f>Prices!B86</f>
        <v>45986</v>
      </c>
      <c r="C86" s="18">
        <f>Prices!C86</f>
        <v>2576.7800000000002</v>
      </c>
      <c r="D86" s="19">
        <f>(2/(Inputs!$B$21+1))*C86+(1-(2/(Inputs!$B$21+1)))*D85</f>
        <v>2526.5285724732671</v>
      </c>
      <c r="E86" s="19">
        <f>(2/(Inputs!$B$22+1))*C86+(1-(2/(Inputs!$B$22+1)))*E85</f>
        <v>2449.2624223135667</v>
      </c>
      <c r="F86" s="20">
        <f t="shared" si="2"/>
        <v>77.266150159700373</v>
      </c>
      <c r="G86" s="19">
        <f ca="1">F86/(C86*Prices!G86)</f>
        <v>3.2277281986278079</v>
      </c>
      <c r="H86" s="19">
        <f ca="1">G86*Inputs!$B$29</f>
        <v>6.0358517314340014</v>
      </c>
      <c r="I86" s="19">
        <f ca="1">MAX(-Inputs!$B$8,MIN(Inputs!$B$8,H86))</f>
        <v>6.0358517314340014</v>
      </c>
      <c r="J86" s="19">
        <f>(2/(Inputs!$B$23+1))*C86+(1-(2/(Inputs!$B$23+1)))*J85</f>
        <v>2588.8213727504876</v>
      </c>
      <c r="K86" s="19">
        <f>(2/(Inputs!$B$24+1))*C86+(1-(2/(Inputs!$B$24+1)))*K85</f>
        <v>2526.5285724732671</v>
      </c>
      <c r="L86" s="19">
        <f ca="1">(J86-K86)/(C86*Prices!G86)</f>
        <v>2.6022291470546652</v>
      </c>
      <c r="M86" s="19">
        <f ca="1">MAX(-Inputs!$B$8,MIN(Inputs!$B$8,L86*Inputs!$B$30))</f>
        <v>9.7583593014549947</v>
      </c>
      <c r="N86" s="21">
        <v>6.8170000000000001E-3</v>
      </c>
      <c r="O86" s="12">
        <f>(2/(Inputs!$B$26+1))*N86+(1-(2/(Inputs!$B$26+1)))*O85</f>
        <v>1.6277418451466467E-2</v>
      </c>
      <c r="P86" s="19">
        <f ca="1">O86/(Prices!G86*SQRT(Inputs!$B$6))</f>
        <v>0.10950919065059836</v>
      </c>
      <c r="Q86" s="19">
        <f ca="1">MAX(-Inputs!$B$8,MIN(Inputs!$B$8,P86*Inputs!$B$31))</f>
        <v>3.2852757195179509</v>
      </c>
      <c r="R86" s="19">
        <f ca="1">MAX(-Inputs!$B$8,MIN(Inputs!$B$8,Inputs!$B$32*(40*(C86-AVERAGE(OFFSET(Prices!C86,-(Inputs!$B$25-1),0,Inputs!$B$25,1)))/(MAX(OFFSET(Prices!C86,-(Inputs!$B$25-1),0,Inputs!$B$25,1))-MIN(OFFSET(Prices!C86,-(Inputs!$B$25-1),0,Inputs!$B$25,1))))))</f>
        <v>3.4057434016971766</v>
      </c>
    </row>
    <row r="87" spans="1:18" x14ac:dyDescent="0.25">
      <c r="A87" s="16">
        <f>Prices!A87</f>
        <v>84</v>
      </c>
      <c r="B87" s="17">
        <f>Prices!B87</f>
        <v>45987</v>
      </c>
      <c r="C87" s="18">
        <f>Prices!C87</f>
        <v>2527.27</v>
      </c>
      <c r="D87" s="19">
        <f>(2/(Inputs!$B$21+1))*C87+(1-(2/(Inputs!$B$21+1)))*D86</f>
        <v>2526.5513856279358</v>
      </c>
      <c r="E87" s="19">
        <f>(2/(Inputs!$B$22+1))*C87+(1-(2/(Inputs!$B$22+1)))*E86</f>
        <v>2449.8694851749401</v>
      </c>
      <c r="F87" s="20">
        <f t="shared" si="2"/>
        <v>76.681900452995706</v>
      </c>
      <c r="G87" s="19">
        <f ca="1">F87/(C87*Prices!G87)</f>
        <v>3.1134697899390402</v>
      </c>
      <c r="H87" s="19">
        <f ca="1">G87*Inputs!$B$29</f>
        <v>5.8221885071860058</v>
      </c>
      <c r="I87" s="19">
        <f ca="1">MAX(-Inputs!$B$8,MIN(Inputs!$B$8,H87))</f>
        <v>5.8221885071860058</v>
      </c>
      <c r="J87" s="19">
        <f>(2/(Inputs!$B$23+1))*C87+(1-(2/(Inputs!$B$23+1)))*J86</f>
        <v>2581.5800347798422</v>
      </c>
      <c r="K87" s="19">
        <f>(2/(Inputs!$B$24+1))*C87+(1-(2/(Inputs!$B$24+1)))*K86</f>
        <v>2526.5513856279358</v>
      </c>
      <c r="L87" s="19">
        <f ca="1">(J87-K87)/(C87*Prices!G87)</f>
        <v>2.234295651300878</v>
      </c>
      <c r="M87" s="19">
        <f ca="1">MAX(-Inputs!$B$8,MIN(Inputs!$B$8,L87*Inputs!$B$30))</f>
        <v>8.3786086923782932</v>
      </c>
      <c r="N87" s="21">
        <v>6.5399999999999998E-3</v>
      </c>
      <c r="O87" s="12">
        <f>(2/(Inputs!$B$26+1))*N87+(1-(2/(Inputs!$B$26+1)))*O86</f>
        <v>1.6063409254730938E-2</v>
      </c>
      <c r="P87" s="19">
        <f ca="1">O87/(Prices!G87*SQRT(Inputs!$B$6))</f>
        <v>0.1030199114025554</v>
      </c>
      <c r="Q87" s="19">
        <f ca="1">MAX(-Inputs!$B$8,MIN(Inputs!$B$8,P87*Inputs!$B$31))</f>
        <v>3.0905973420766619</v>
      </c>
      <c r="R87" s="19">
        <f ca="1">MAX(-Inputs!$B$8,MIN(Inputs!$B$8,Inputs!$B$32*(40*(C87-AVERAGE(OFFSET(Prices!C87,-(Inputs!$B$25-1),0,Inputs!$B$25,1)))/(MAX(OFFSET(Prices!C87,-(Inputs!$B$25-1),0,Inputs!$B$25,1))-MIN(OFFSET(Prices!C87,-(Inputs!$B$25-1),0,Inputs!$B$25,1))))))</f>
        <v>-3.1514040303930111</v>
      </c>
    </row>
    <row r="88" spans="1:18" x14ac:dyDescent="0.25">
      <c r="A88" s="16">
        <f>Prices!A88</f>
        <v>85</v>
      </c>
      <c r="B88" s="17">
        <f>Prices!B88</f>
        <v>45988</v>
      </c>
      <c r="C88" s="18">
        <f>Prices!C88</f>
        <v>2497.89</v>
      </c>
      <c r="D88" s="19">
        <f>(2/(Inputs!$B$21+1))*C88+(1-(2/(Inputs!$B$21+1)))*D87</f>
        <v>2525.669496839384</v>
      </c>
      <c r="E88" s="19">
        <f>(2/(Inputs!$B$22+1))*C88+(1-(2/(Inputs!$B$22+1)))*E87</f>
        <v>2450.2431856794151</v>
      </c>
      <c r="F88" s="20">
        <f t="shared" si="2"/>
        <v>75.426311159968918</v>
      </c>
      <c r="G88" s="19">
        <f ca="1">F88/(C88*Prices!G88)</f>
        <v>3.0582258158208391</v>
      </c>
      <c r="H88" s="19">
        <f ca="1">G88*Inputs!$B$29</f>
        <v>5.7188822755849698</v>
      </c>
      <c r="I88" s="19">
        <f ca="1">MAX(-Inputs!$B$8,MIN(Inputs!$B$8,H88))</f>
        <v>5.7188822755849698</v>
      </c>
      <c r="J88" s="19">
        <f>(2/(Inputs!$B$23+1))*C88+(1-(2/(Inputs!$B$23+1)))*J87</f>
        <v>2571.7341483351547</v>
      </c>
      <c r="K88" s="19">
        <f>(2/(Inputs!$B$24+1))*C88+(1-(2/(Inputs!$B$24+1)))*K87</f>
        <v>2525.669496839384</v>
      </c>
      <c r="L88" s="19">
        <f ca="1">(J88-K88)/(C88*Prices!G88)</f>
        <v>1.867731620897872</v>
      </c>
      <c r="M88" s="19">
        <f ca="1">MAX(-Inputs!$B$8,MIN(Inputs!$B$8,L88*Inputs!$B$30))</f>
        <v>7.0039935783670204</v>
      </c>
      <c r="N88" s="21">
        <v>6.2839999999999997E-3</v>
      </c>
      <c r="O88" s="12">
        <f>(2/(Inputs!$B$26+1))*N88+(1-(2/(Inputs!$B$26+1)))*O87</f>
        <v>1.584847718319839E-2</v>
      </c>
      <c r="P88" s="19">
        <f ca="1">O88/(Prices!G88*SQRT(Inputs!$B$6))</f>
        <v>0.10032000550215796</v>
      </c>
      <c r="Q88" s="19">
        <f ca="1">MAX(-Inputs!$B$8,MIN(Inputs!$B$8,P88*Inputs!$B$31))</f>
        <v>3.0096001650647386</v>
      </c>
      <c r="R88" s="19">
        <f ca="1">MAX(-Inputs!$B$8,MIN(Inputs!$B$8,Inputs!$B$32*(40*(C88-AVERAGE(OFFSET(Prices!C88,-(Inputs!$B$25-1),0,Inputs!$B$25,1)))/(MAX(OFFSET(Prices!C88,-(Inputs!$B$25-1),0,Inputs!$B$25,1))-MIN(OFFSET(Prices!C88,-(Inputs!$B$25-1),0,Inputs!$B$25,1))))))</f>
        <v>-7.9319460241960096</v>
      </c>
    </row>
    <row r="89" spans="1:18" x14ac:dyDescent="0.25">
      <c r="A89" s="16">
        <f>Prices!A89</f>
        <v>86</v>
      </c>
      <c r="B89" s="17">
        <f>Prices!B89</f>
        <v>45989</v>
      </c>
      <c r="C89" s="18">
        <f>Prices!C89</f>
        <v>2481.71</v>
      </c>
      <c r="D89" s="19">
        <f>(2/(Inputs!$B$21+1))*C89+(1-(2/(Inputs!$B$21+1)))*D88</f>
        <v>2524.3168969366338</v>
      </c>
      <c r="E89" s="19">
        <f>(2/(Inputs!$B$22+1))*C89+(1-(2/(Inputs!$B$22+1)))*E88</f>
        <v>2450.4880636118714</v>
      </c>
      <c r="F89" s="20">
        <f t="shared" si="2"/>
        <v>73.8288333247624</v>
      </c>
      <c r="G89" s="19">
        <f ca="1">F89/(C89*Prices!G89)</f>
        <v>3.0129609516547848</v>
      </c>
      <c r="H89" s="19">
        <f ca="1">G89*Inputs!$B$29</f>
        <v>5.6342369795944478</v>
      </c>
      <c r="I89" s="19">
        <f ca="1">MAX(-Inputs!$B$8,MIN(Inputs!$B$8,H89))</f>
        <v>5.6342369795944478</v>
      </c>
      <c r="J89" s="19">
        <f>(2/(Inputs!$B$23+1))*C89+(1-(2/(Inputs!$B$23+1)))*J88</f>
        <v>2561.1430720604308</v>
      </c>
      <c r="K89" s="19">
        <f>(2/(Inputs!$B$24+1))*C89+(1-(2/(Inputs!$B$24+1)))*K88</f>
        <v>2524.3168969366338</v>
      </c>
      <c r="L89" s="19">
        <f ca="1">(J89-K89)/(C89*Prices!G89)</f>
        <v>1.5028793311513167</v>
      </c>
      <c r="M89" s="19">
        <f ca="1">MAX(-Inputs!$B$8,MIN(Inputs!$B$8,L89*Inputs!$B$30))</f>
        <v>5.6357974918174376</v>
      </c>
      <c r="N89" s="21">
        <v>6.0499999999999998E-3</v>
      </c>
      <c r="O89" s="12">
        <f>(2/(Inputs!$B$26+1))*N89+(1-(2/(Inputs!$B$26+1)))*O88</f>
        <v>1.5633126036314907E-2</v>
      </c>
      <c r="P89" s="19">
        <f ca="1">O89/(Prices!G89*SQRT(Inputs!$B$6))</f>
        <v>9.8956511074564643E-2</v>
      </c>
      <c r="Q89" s="19">
        <f ca="1">MAX(-Inputs!$B$8,MIN(Inputs!$B$8,P89*Inputs!$B$31))</f>
        <v>2.9686953322369392</v>
      </c>
      <c r="R89" s="19">
        <f ca="1">MAX(-Inputs!$B$8,MIN(Inputs!$B$8,Inputs!$B$32*(40*(C89-AVERAGE(OFFSET(Prices!C89,-(Inputs!$B$25-1),0,Inputs!$B$25,1)))/(MAX(OFFSET(Prices!C89,-(Inputs!$B$25-1),0,Inputs!$B$25,1))-MIN(OFFSET(Prices!C89,-(Inputs!$B$25-1),0,Inputs!$B$25,1))))))</f>
        <v>-10.894023125780329</v>
      </c>
    </row>
    <row r="90" spans="1:18" x14ac:dyDescent="0.25">
      <c r="A90" s="16">
        <f>Prices!A90</f>
        <v>87</v>
      </c>
      <c r="B90" s="17">
        <f>Prices!B90</f>
        <v>45992</v>
      </c>
      <c r="C90" s="18">
        <f>Prices!C90</f>
        <v>2490.04</v>
      </c>
      <c r="D90" s="19">
        <f>(2/(Inputs!$B$21+1))*C90+(1-(2/(Inputs!$B$21+1)))*D89</f>
        <v>2523.2622231847372</v>
      </c>
      <c r="E90" s="19">
        <f>(2/(Inputs!$B$22+1))*C90+(1-(2/(Inputs!$B$22+1)))*E89</f>
        <v>2450.795860782207</v>
      </c>
      <c r="F90" s="20">
        <f t="shared" si="2"/>
        <v>72.466362402530194</v>
      </c>
      <c r="G90" s="19">
        <f ca="1">F90/(C90*Prices!G90)</f>
        <v>2.9530973865193113</v>
      </c>
      <c r="H90" s="19">
        <f ca="1">G90*Inputs!$B$29</f>
        <v>5.5222921127911127</v>
      </c>
      <c r="I90" s="19">
        <f ca="1">MAX(-Inputs!$B$8,MIN(Inputs!$B$8,H90))</f>
        <v>5.5222921127911127</v>
      </c>
      <c r="J90" s="19">
        <f>(2/(Inputs!$B$23+1))*C90+(1-(2/(Inputs!$B$23+1)))*J89</f>
        <v>2552.7780047592037</v>
      </c>
      <c r="K90" s="19">
        <f>(2/(Inputs!$B$24+1))*C90+(1-(2/(Inputs!$B$24+1)))*K89</f>
        <v>2523.2622231847372</v>
      </c>
      <c r="L90" s="19">
        <f ca="1">(J90-K90)/(C90*Prices!G90)</f>
        <v>1.2028060266702232</v>
      </c>
      <c r="M90" s="19">
        <f ca="1">MAX(-Inputs!$B$8,MIN(Inputs!$B$8,L90*Inputs!$B$30))</f>
        <v>4.5105226000133367</v>
      </c>
      <c r="N90" s="21">
        <v>5.8380000000000003E-3</v>
      </c>
      <c r="O90" s="12">
        <f>(2/(Inputs!$B$26+1))*N90+(1-(2/(Inputs!$B$26+1)))*O89</f>
        <v>1.5417848541011282E-2</v>
      </c>
      <c r="P90" s="19">
        <f ca="1">O90/(Prices!G90*SQRT(Inputs!$B$6))</f>
        <v>9.7780313130647958E-2</v>
      </c>
      <c r="Q90" s="19">
        <f ca="1">MAX(-Inputs!$B$8,MIN(Inputs!$B$8,P90*Inputs!$B$31))</f>
        <v>2.9334093939194386</v>
      </c>
      <c r="R90" s="19">
        <f ca="1">MAX(-Inputs!$B$8,MIN(Inputs!$B$8,Inputs!$B$32*(40*(C90-AVERAGE(OFFSET(Prices!C90,-(Inputs!$B$25-1),0,Inputs!$B$25,1)))/(MAX(OFFSET(Prices!C90,-(Inputs!$B$25-1),0,Inputs!$B$25,1))-MIN(OFFSET(Prices!C90,-(Inputs!$B$25-1),0,Inputs!$B$25,1))))))</f>
        <v>-9.7218337766679124</v>
      </c>
    </row>
    <row r="91" spans="1:18" x14ac:dyDescent="0.25">
      <c r="A91" s="16">
        <f>Prices!A91</f>
        <v>88</v>
      </c>
      <c r="B91" s="17">
        <f>Prices!B91</f>
        <v>45993</v>
      </c>
      <c r="C91" s="18">
        <f>Prices!C91</f>
        <v>2517.77</v>
      </c>
      <c r="D91" s="19">
        <f>(2/(Inputs!$B$21+1))*C91+(1-(2/(Inputs!$B$21+1)))*D90</f>
        <v>2523.0932317021297</v>
      </c>
      <c r="E91" s="19">
        <f>(2/(Inputs!$B$22+1))*C91+(1-(2/(Inputs!$B$22+1)))*E90</f>
        <v>2451.3170603091939</v>
      </c>
      <c r="F91" s="20">
        <f t="shared" si="2"/>
        <v>71.776171392935794</v>
      </c>
      <c r="G91" s="19">
        <f ca="1">F91/(C91*Prices!G91)</f>
        <v>2.8672479553600927</v>
      </c>
      <c r="H91" s="19">
        <f ca="1">G91*Inputs!$B$29</f>
        <v>5.3617536765233735</v>
      </c>
      <c r="I91" s="19">
        <f ca="1">MAX(-Inputs!$B$8,MIN(Inputs!$B$8,H91))</f>
        <v>5.3617536765233735</v>
      </c>
      <c r="J91" s="19">
        <f>(2/(Inputs!$B$23+1))*C91+(1-(2/(Inputs!$B$23+1)))*J90</f>
        <v>2548.6594159640031</v>
      </c>
      <c r="K91" s="19">
        <f>(2/(Inputs!$B$24+1))*C91+(1-(2/(Inputs!$B$24+1)))*K90</f>
        <v>2523.0932317021297</v>
      </c>
      <c r="L91" s="19">
        <f ca="1">(J91-K91)/(C91*Prices!G91)</f>
        <v>1.0212942279954254</v>
      </c>
      <c r="M91" s="19">
        <f ca="1">MAX(-Inputs!$B$8,MIN(Inputs!$B$8,L91*Inputs!$B$30))</f>
        <v>3.8298533549828448</v>
      </c>
      <c r="N91" s="21">
        <v>5.6490000000000004E-3</v>
      </c>
      <c r="O91" s="12">
        <f>(2/(Inputs!$B$26+1))*N91+(1-(2/(Inputs!$B$26+1)))*O90</f>
        <v>1.5203148573076969E-2</v>
      </c>
      <c r="P91" s="19">
        <f ca="1">O91/(Prices!G91*SQRT(Inputs!$B$6))</f>
        <v>9.5568457023858328E-2</v>
      </c>
      <c r="Q91" s="19">
        <f ca="1">MAX(-Inputs!$B$8,MIN(Inputs!$B$8,P91*Inputs!$B$31))</f>
        <v>2.8670537107157497</v>
      </c>
      <c r="R91" s="19">
        <f ca="1">MAX(-Inputs!$B$8,MIN(Inputs!$B$8,Inputs!$B$32*(40*(C91-AVERAGE(OFFSET(Prices!C91,-(Inputs!$B$25-1),0,Inputs!$B$25,1)))/(MAX(OFFSET(Prices!C91,-(Inputs!$B$25-1),0,Inputs!$B$25,1))-MIN(OFFSET(Prices!C91,-(Inputs!$B$25-1),0,Inputs!$B$25,1))))))</f>
        <v>-5.6340860973888951</v>
      </c>
    </row>
    <row r="92" spans="1:18" x14ac:dyDescent="0.25">
      <c r="A92" s="16">
        <f>Prices!A92</f>
        <v>89</v>
      </c>
      <c r="B92" s="17">
        <f>Prices!B92</f>
        <v>45994</v>
      </c>
      <c r="C92" s="18">
        <f>Prices!C92</f>
        <v>2515.29</v>
      </c>
      <c r="D92" s="19">
        <f>(2/(Inputs!$B$21+1))*C92+(1-(2/(Inputs!$B$21+1)))*D91</f>
        <v>2522.8531322651411</v>
      </c>
      <c r="E92" s="19">
        <f>(2/(Inputs!$B$22+1))*C92+(1-(2/(Inputs!$B$22+1)))*E91</f>
        <v>2451.8149041978386</v>
      </c>
      <c r="F92" s="20">
        <f t="shared" si="2"/>
        <v>71.038228067302498</v>
      </c>
      <c r="G92" s="19">
        <f ca="1">F92/(C92*Prices!G92)</f>
        <v>2.8451497289328933</v>
      </c>
      <c r="H92" s="19">
        <f ca="1">G92*Inputs!$B$29</f>
        <v>5.3204299931045105</v>
      </c>
      <c r="I92" s="19">
        <f ca="1">MAX(-Inputs!$B$8,MIN(Inputs!$B$8,H92))</f>
        <v>5.3204299931045105</v>
      </c>
      <c r="J92" s="19">
        <f>(2/(Inputs!$B$23+1))*C92+(1-(2/(Inputs!$B$23+1)))*J91</f>
        <v>2544.7336023211792</v>
      </c>
      <c r="K92" s="19">
        <f>(2/(Inputs!$B$24+1))*C92+(1-(2/(Inputs!$B$24+1)))*K91</f>
        <v>2522.8531322651411</v>
      </c>
      <c r="L92" s="19">
        <f ca="1">(J92-K92)/(C92*Prices!G92)</f>
        <v>0.87633398442711263</v>
      </c>
      <c r="M92" s="19">
        <f ca="1">MAX(-Inputs!$B$8,MIN(Inputs!$B$8,L92*Inputs!$B$30))</f>
        <v>3.2862524416016723</v>
      </c>
      <c r="N92" s="21">
        <v>5.4840000000000002E-3</v>
      </c>
      <c r="O92" s="12">
        <f>(2/(Inputs!$B$26+1))*N92+(1-(2/(Inputs!$B$26+1)))*O91</f>
        <v>1.4989540912130223E-2</v>
      </c>
      <c r="P92" s="19">
        <f ca="1">O92/(Prices!G92*SQRT(Inputs!$B$6))</f>
        <v>9.4377706616069049E-2</v>
      </c>
      <c r="Q92" s="19">
        <f ca="1">MAX(-Inputs!$B$8,MIN(Inputs!$B$8,P92*Inputs!$B$31))</f>
        <v>2.8313311984820713</v>
      </c>
      <c r="R92" s="19">
        <f ca="1">MAX(-Inputs!$B$8,MIN(Inputs!$B$8,Inputs!$B$32*(40*(C92-AVERAGE(OFFSET(Prices!C92,-(Inputs!$B$25-1),0,Inputs!$B$25,1)))/(MAX(OFFSET(Prices!C92,-(Inputs!$B$25-1),0,Inputs!$B$25,1))-MIN(OFFSET(Prices!C92,-(Inputs!$B$25-1),0,Inputs!$B$25,1))))))</f>
        <v>-6.072341349546738</v>
      </c>
    </row>
    <row r="93" spans="1:18" x14ac:dyDescent="0.25">
      <c r="A93" s="16">
        <f>Prices!A93</f>
        <v>90</v>
      </c>
      <c r="B93" s="17">
        <f>Prices!B93</f>
        <v>45995</v>
      </c>
      <c r="C93" s="18">
        <f>Prices!C93</f>
        <v>2519.85</v>
      </c>
      <c r="D93" s="19">
        <f>(2/(Inputs!$B$21+1))*C93+(1-(2/(Inputs!$B$21+1)))*D92</f>
        <v>2522.7607281954447</v>
      </c>
      <c r="E93" s="19">
        <f>(2/(Inputs!$B$22+1))*C93+(1-(2/(Inputs!$B$22+1)))*E92</f>
        <v>2452.344360196299</v>
      </c>
      <c r="F93" s="20">
        <f t="shared" si="2"/>
        <v>70.416367999145677</v>
      </c>
      <c r="G93" s="19">
        <f ca="1">F93/(C93*Prices!G93)</f>
        <v>3.0051427452229897</v>
      </c>
      <c r="H93" s="19">
        <f ca="1">G93*Inputs!$B$29</f>
        <v>5.6196169335669914</v>
      </c>
      <c r="I93" s="19">
        <f ca="1">MAX(-Inputs!$B$8,MIN(Inputs!$B$8,H93))</f>
        <v>5.6196169335669914</v>
      </c>
      <c r="J93" s="19">
        <f>(2/(Inputs!$B$23+1))*C93+(1-(2/(Inputs!$B$23+1)))*J92</f>
        <v>2541.806119695158</v>
      </c>
      <c r="K93" s="19">
        <f>(2/(Inputs!$B$24+1))*C93+(1-(2/(Inputs!$B$24+1)))*K92</f>
        <v>2522.7607281954447</v>
      </c>
      <c r="L93" s="19">
        <f ca="1">(J93-K93)/(C93*Prices!G93)</f>
        <v>0.81279568545752756</v>
      </c>
      <c r="M93" s="19">
        <f ca="1">MAX(-Inputs!$B$8,MIN(Inputs!$B$8,L93*Inputs!$B$30))</f>
        <v>3.0479838204657286</v>
      </c>
      <c r="N93" s="21">
        <v>5.3420000000000004E-3</v>
      </c>
      <c r="O93" s="12">
        <f>(2/(Inputs!$B$26+1))*N93+(1-(2/(Inputs!$B$26+1)))*O92</f>
        <v>1.4777507045929558E-2</v>
      </c>
      <c r="P93" s="19">
        <f ca="1">O93/(Prices!G93*SQRT(Inputs!$B$6))</f>
        <v>9.9322436931821662E-2</v>
      </c>
      <c r="Q93" s="19">
        <f ca="1">MAX(-Inputs!$B$8,MIN(Inputs!$B$8,P93*Inputs!$B$31))</f>
        <v>2.9796731079546497</v>
      </c>
      <c r="R93" s="19">
        <f ca="1">MAX(-Inputs!$B$8,MIN(Inputs!$B$8,Inputs!$B$32*(40*(C93-AVERAGE(OFFSET(Prices!C93,-(Inputs!$B$25-1),0,Inputs!$B$25,1)))/(MAX(OFFSET(Prices!C93,-(Inputs!$B$25-1),0,Inputs!$B$25,1))-MIN(OFFSET(Prices!C93,-(Inputs!$B$25-1),0,Inputs!$B$25,1))))))</f>
        <v>-5.5059877313935255</v>
      </c>
    </row>
    <row r="94" spans="1:18" x14ac:dyDescent="0.25">
      <c r="A94" s="16">
        <f>Prices!A94</f>
        <v>91</v>
      </c>
      <c r="B94" s="17">
        <f>Prices!B94</f>
        <v>45996</v>
      </c>
      <c r="C94" s="18">
        <f>Prices!C94</f>
        <v>2522.0700000000002</v>
      </c>
      <c r="D94" s="19">
        <f>(2/(Inputs!$B$21+1))*C94+(1-(2/(Inputs!$B$21+1)))*D93</f>
        <v>2522.7394750202002</v>
      </c>
      <c r="E94" s="19">
        <f>(2/(Inputs!$B$22+1))*C94+(1-(2/(Inputs!$B$22+1)))*E93</f>
        <v>2452.8869721792075</v>
      </c>
      <c r="F94" s="20">
        <f t="shared" si="2"/>
        <v>69.852502840992656</v>
      </c>
      <c r="G94" s="19">
        <f ca="1">F94/(C94*Prices!G94)</f>
        <v>3.000030729988882</v>
      </c>
      <c r="H94" s="19">
        <f ca="1">G94*Inputs!$B$29</f>
        <v>5.6100574650792092</v>
      </c>
      <c r="I94" s="19">
        <f ca="1">MAX(-Inputs!$B$8,MIN(Inputs!$B$8,H94))</f>
        <v>5.6100574650792092</v>
      </c>
      <c r="J94" s="19">
        <f>(2/(Inputs!$B$23+1))*C94+(1-(2/(Inputs!$B$23+1)))*J93</f>
        <v>2539.4842232604333</v>
      </c>
      <c r="K94" s="19">
        <f>(2/(Inputs!$B$24+1))*C94+(1-(2/(Inputs!$B$24+1)))*K93</f>
        <v>2522.7394750202002</v>
      </c>
      <c r="L94" s="19">
        <f ca="1">(J94-K94)/(C94*Prices!G94)</f>
        <v>0.71915475098977366</v>
      </c>
      <c r="M94" s="19">
        <f ca="1">MAX(-Inputs!$B$8,MIN(Inputs!$B$8,L94*Inputs!$B$30))</f>
        <v>2.6968303162116514</v>
      </c>
      <c r="N94" s="21">
        <v>5.2249999999999996E-3</v>
      </c>
      <c r="O94" s="12">
        <f>(2/(Inputs!$B$26+1))*N94+(1-(2/(Inputs!$B$26+1)))*O93</f>
        <v>1.4567561836128907E-2</v>
      </c>
      <c r="P94" s="19">
        <f ca="1">O94/(Prices!G94*SQRT(Inputs!$B$6))</f>
        <v>9.8620626131545958E-2</v>
      </c>
      <c r="Q94" s="19">
        <f ca="1">MAX(-Inputs!$B$8,MIN(Inputs!$B$8,P94*Inputs!$B$31))</f>
        <v>2.9586187839463789</v>
      </c>
      <c r="R94" s="19">
        <f ca="1">MAX(-Inputs!$B$8,MIN(Inputs!$B$8,Inputs!$B$32*(40*(C94-AVERAGE(OFFSET(Prices!C94,-(Inputs!$B$25-1),0,Inputs!$B$25,1)))/(MAX(OFFSET(Prices!C94,-(Inputs!$B$25-1),0,Inputs!$B$25,1))-MIN(OFFSET(Prices!C94,-(Inputs!$B$25-1),0,Inputs!$B$25,1))))))</f>
        <v>-5.360181314803782</v>
      </c>
    </row>
    <row r="95" spans="1:18" x14ac:dyDescent="0.25">
      <c r="A95" s="16">
        <f>Prices!A95</f>
        <v>92</v>
      </c>
      <c r="B95" s="17">
        <f>Prices!B95</f>
        <v>45999</v>
      </c>
      <c r="C95" s="18">
        <f>Prices!C95</f>
        <v>2547.41</v>
      </c>
      <c r="D95" s="19">
        <f>(2/(Inputs!$B$21+1))*C95+(1-(2/(Inputs!$B$21+1)))*D94</f>
        <v>2523.4985680965019</v>
      </c>
      <c r="E95" s="19">
        <f>(2/(Inputs!$B$22+1))*C95+(1-(2/(Inputs!$B$22+1)))*E94</f>
        <v>2453.6225599443496</v>
      </c>
      <c r="F95" s="20">
        <f t="shared" si="2"/>
        <v>69.876008152152281</v>
      </c>
      <c r="G95" s="19">
        <f ca="1">F95/(C95*Prices!G95)</f>
        <v>2.9738984759552558</v>
      </c>
      <c r="H95" s="19">
        <f ca="1">G95*Inputs!$B$29</f>
        <v>5.561190150036329</v>
      </c>
      <c r="I95" s="19">
        <f ca="1">MAX(-Inputs!$B$8,MIN(Inputs!$B$8,H95))</f>
        <v>5.561190150036329</v>
      </c>
      <c r="J95" s="19">
        <f>(2/(Inputs!$B$23+1))*C95+(1-(2/(Inputs!$B$23+1)))*J94</f>
        <v>2540.416667582735</v>
      </c>
      <c r="K95" s="19">
        <f>(2/(Inputs!$B$24+1))*C95+(1-(2/(Inputs!$B$24+1)))*K94</f>
        <v>2523.4985680965019</v>
      </c>
      <c r="L95" s="19">
        <f ca="1">(J95-K95)/(C95*Prices!G95)</f>
        <v>0.72002839899803872</v>
      </c>
      <c r="M95" s="19">
        <f ca="1">MAX(-Inputs!$B$8,MIN(Inputs!$B$8,L95*Inputs!$B$30))</f>
        <v>2.7001064962426451</v>
      </c>
      <c r="N95" s="21">
        <v>5.1320000000000003E-3</v>
      </c>
      <c r="O95" s="12">
        <f>(2/(Inputs!$B$26+1))*N95+(1-(2/(Inputs!$B$26+1)))*O94</f>
        <v>1.4360186850719481E-2</v>
      </c>
      <c r="P95" s="19">
        <f ca="1">O95/(Prices!G95*SQRT(Inputs!$B$6))</f>
        <v>9.7305414959271849E-2</v>
      </c>
      <c r="Q95" s="19">
        <f ca="1">MAX(-Inputs!$B$8,MIN(Inputs!$B$8,P95*Inputs!$B$31))</f>
        <v>2.9191624487781556</v>
      </c>
      <c r="R95" s="19">
        <f ca="1">MAX(-Inputs!$B$8,MIN(Inputs!$B$8,Inputs!$B$32*(40*(C95-AVERAGE(OFFSET(Prices!C95,-(Inputs!$B$25-1),0,Inputs!$B$25,1)))/(MAX(OFFSET(Prices!C95,-(Inputs!$B$25-1),0,Inputs!$B$25,1))-MIN(OFFSET(Prices!C95,-(Inputs!$B$25-1),0,Inputs!$B$25,1))))))</f>
        <v>-1.9570972238356388</v>
      </c>
    </row>
    <row r="96" spans="1:18" x14ac:dyDescent="0.25">
      <c r="A96" s="16">
        <f>Prices!A96</f>
        <v>93</v>
      </c>
      <c r="B96" s="17">
        <f>Prices!B96</f>
        <v>46000</v>
      </c>
      <c r="C96" s="18">
        <f>Prices!C96</f>
        <v>2568.13</v>
      </c>
      <c r="D96" s="19">
        <f>(2/(Inputs!$B$21+1))*C96+(1-(2/(Inputs!$B$21+1)))*D95</f>
        <v>2524.8718429243022</v>
      </c>
      <c r="E96" s="19">
        <f>(2/(Inputs!$B$22+1))*C96+(1-(2/(Inputs!$B$22+1)))*E95</f>
        <v>2454.5136684272734</v>
      </c>
      <c r="F96" s="20">
        <f t="shared" si="2"/>
        <v>70.358174497028813</v>
      </c>
      <c r="G96" s="19">
        <f ca="1">F96/(C96*Prices!G96)</f>
        <v>2.9757976221549365</v>
      </c>
      <c r="H96" s="19">
        <f ca="1">G96*Inputs!$B$29</f>
        <v>5.564741553429732</v>
      </c>
      <c r="I96" s="19">
        <f ca="1">MAX(-Inputs!$B$8,MIN(Inputs!$B$8,H96))</f>
        <v>5.564741553429732</v>
      </c>
      <c r="J96" s="19">
        <f>(2/(Inputs!$B$23+1))*C96+(1-(2/(Inputs!$B$23+1)))*J95</f>
        <v>2543.6770596318247</v>
      </c>
      <c r="K96" s="19">
        <f>(2/(Inputs!$B$24+1))*C96+(1-(2/(Inputs!$B$24+1)))*K95</f>
        <v>2524.8718429243022</v>
      </c>
      <c r="L96" s="19">
        <f ca="1">(J96-K96)/(C96*Prices!G96)</f>
        <v>0.7953662749552568</v>
      </c>
      <c r="M96" s="19">
        <f ca="1">MAX(-Inputs!$B$8,MIN(Inputs!$B$8,L96*Inputs!$B$30))</f>
        <v>2.9826235310822131</v>
      </c>
      <c r="N96" s="21">
        <v>5.0629999999999998E-3</v>
      </c>
      <c r="O96" s="12">
        <f>(2/(Inputs!$B$26+1))*N96+(1-(2/(Inputs!$B$26+1)))*O95</f>
        <v>1.4155853073780592E-2</v>
      </c>
      <c r="P96" s="19">
        <f ca="1">O96/(Prices!G96*SQRT(Inputs!$B$6))</f>
        <v>9.6099670254226346E-2</v>
      </c>
      <c r="Q96" s="19">
        <f ca="1">MAX(-Inputs!$B$8,MIN(Inputs!$B$8,P96*Inputs!$B$31))</f>
        <v>2.8829901076267905</v>
      </c>
      <c r="R96" s="19">
        <f ca="1">MAX(-Inputs!$B$8,MIN(Inputs!$B$8,Inputs!$B$32*(40*(C96-AVERAGE(OFFSET(Prices!C96,-(Inputs!$B$25-1),0,Inputs!$B$25,1)))/(MAX(OFFSET(Prices!C96,-(Inputs!$B$25-1),0,Inputs!$B$25,1))-MIN(OFFSET(Prices!C96,-(Inputs!$B$25-1),0,Inputs!$B$25,1))))))</f>
        <v>1.0469508653733159</v>
      </c>
    </row>
    <row r="97" spans="1:18" x14ac:dyDescent="0.25">
      <c r="A97" s="16">
        <f>Prices!A97</f>
        <v>94</v>
      </c>
      <c r="B97" s="17">
        <f>Prices!B97</f>
        <v>46001</v>
      </c>
      <c r="C97" s="18">
        <f>Prices!C97</f>
        <v>2573.1</v>
      </c>
      <c r="D97" s="19">
        <f>(2/(Inputs!$B$21+1))*C97+(1-(2/(Inputs!$B$21+1)))*D96</f>
        <v>2526.3557862189391</v>
      </c>
      <c r="E97" s="19">
        <f>(2/(Inputs!$B$22+1))*C97+(1-(2/(Inputs!$B$22+1)))*E96</f>
        <v>2455.4365192566329</v>
      </c>
      <c r="F97" s="20">
        <f t="shared" si="2"/>
        <v>70.91926696230621</v>
      </c>
      <c r="G97" s="19">
        <f ca="1">F97/(C97*Prices!G97)</f>
        <v>3.0815612693403884</v>
      </c>
      <c r="H97" s="19">
        <f ca="1">G97*Inputs!$B$29</f>
        <v>5.7625195736665269</v>
      </c>
      <c r="I97" s="19">
        <f ca="1">MAX(-Inputs!$B$8,MIN(Inputs!$B$8,H97))</f>
        <v>5.7625195736665269</v>
      </c>
      <c r="J97" s="19">
        <f>(2/(Inputs!$B$23+1))*C97+(1-(2/(Inputs!$B$23+1)))*J96</f>
        <v>2547.1385820280802</v>
      </c>
      <c r="K97" s="19">
        <f>(2/(Inputs!$B$24+1))*C97+(1-(2/(Inputs!$B$24+1)))*K96</f>
        <v>2526.3557862189391</v>
      </c>
      <c r="L97" s="19">
        <f ca="1">(J97-K97)/(C97*Prices!G97)</f>
        <v>0.90304738581263588</v>
      </c>
      <c r="M97" s="19">
        <f ca="1">MAX(-Inputs!$B$8,MIN(Inputs!$B$8,L97*Inputs!$B$30))</f>
        <v>3.3864276967973845</v>
      </c>
      <c r="N97" s="21">
        <v>5.019E-3</v>
      </c>
      <c r="O97" s="12">
        <f>(2/(Inputs!$B$26+1))*N97+(1-(2/(Inputs!$B$26+1)))*O96</f>
        <v>1.3955043116115085E-2</v>
      </c>
      <c r="P97" s="19">
        <f ca="1">O97/(Prices!G97*SQRT(Inputs!$B$6))</f>
        <v>9.7515675575312724E-2</v>
      </c>
      <c r="Q97" s="19">
        <f ca="1">MAX(-Inputs!$B$8,MIN(Inputs!$B$8,P97*Inputs!$B$31))</f>
        <v>2.9254702672593815</v>
      </c>
      <c r="R97" s="19">
        <f ca="1">MAX(-Inputs!$B$8,MIN(Inputs!$B$8,Inputs!$B$32*(40*(C97-AVERAGE(OFFSET(Prices!C97,-(Inputs!$B$25-1),0,Inputs!$B$25,1)))/(MAX(OFFSET(Prices!C97,-(Inputs!$B$25-1),0,Inputs!$B$25,1))-MIN(OFFSET(Prices!C97,-(Inputs!$B$25-1),0,Inputs!$B$25,1))))))</f>
        <v>1.5153060607889648</v>
      </c>
    </row>
    <row r="98" spans="1:18" x14ac:dyDescent="0.25">
      <c r="A98" s="16">
        <f>Prices!A98</f>
        <v>95</v>
      </c>
      <c r="B98" s="17">
        <f>Prices!B98</f>
        <v>46002</v>
      </c>
      <c r="C98" s="18">
        <f>Prices!C98</f>
        <v>2545.0300000000002</v>
      </c>
      <c r="D98" s="19">
        <f>(2/(Inputs!$B$21+1))*C98+(1-(2/(Inputs!$B$21+1)))*D97</f>
        <v>2526.9303774122022</v>
      </c>
      <c r="E98" s="19">
        <f>(2/(Inputs!$B$22+1))*C98+(1-(2/(Inputs!$B$22+1)))*E97</f>
        <v>2456.1337447877099</v>
      </c>
      <c r="F98" s="20">
        <f t="shared" si="2"/>
        <v>70.796632624492304</v>
      </c>
      <c r="G98" s="19">
        <f ca="1">F98/(C98*Prices!G98)</f>
        <v>3.0753058907725981</v>
      </c>
      <c r="H98" s="19">
        <f ca="1">G98*Inputs!$B$29</f>
        <v>5.7508220157447587</v>
      </c>
      <c r="I98" s="19">
        <f ca="1">MAX(-Inputs!$B$8,MIN(Inputs!$B$8,H98))</f>
        <v>5.7508220157447587</v>
      </c>
      <c r="J98" s="19">
        <f>(2/(Inputs!$B$23+1))*C98+(1-(2/(Inputs!$B$23+1)))*J97</f>
        <v>2546.8905135541886</v>
      </c>
      <c r="K98" s="19">
        <f>(2/(Inputs!$B$24+1))*C98+(1-(2/(Inputs!$B$24+1)))*K97</f>
        <v>2526.9303774122022</v>
      </c>
      <c r="L98" s="19">
        <f ca="1">(J98-K98)/(C98*Prices!G98)</f>
        <v>0.86704016819068186</v>
      </c>
      <c r="M98" s="19">
        <f ca="1">MAX(-Inputs!$B$8,MIN(Inputs!$B$8,L98*Inputs!$B$30))</f>
        <v>3.2514006307150569</v>
      </c>
      <c r="N98" s="21">
        <v>5.0010000000000002E-3</v>
      </c>
      <c r="O98" s="12">
        <f>(2/(Inputs!$B$26+1))*N98+(1-(2/(Inputs!$B$26+1)))*O97</f>
        <v>1.375825095971695E-2</v>
      </c>
      <c r="P98" s="19">
        <f ca="1">O98/(Prices!G98*SQRT(Inputs!$B$6))</f>
        <v>9.5063077376471183E-2</v>
      </c>
      <c r="Q98" s="19">
        <f ca="1">MAX(-Inputs!$B$8,MIN(Inputs!$B$8,P98*Inputs!$B$31))</f>
        <v>2.8518923212941356</v>
      </c>
      <c r="R98" s="19">
        <f ca="1">MAX(-Inputs!$B$8,MIN(Inputs!$B$8,Inputs!$B$32*(40*(C98-AVERAGE(OFFSET(Prices!C98,-(Inputs!$B$25-1),0,Inputs!$B$25,1)))/(MAX(OFFSET(Prices!C98,-(Inputs!$B$25-1),0,Inputs!$B$25,1))-MIN(OFFSET(Prices!C98,-(Inputs!$B$25-1),0,Inputs!$B$25,1))))))</f>
        <v>-3.2730255604569405</v>
      </c>
    </row>
    <row r="99" spans="1:18" x14ac:dyDescent="0.25">
      <c r="A99" s="16">
        <f>Prices!A99</f>
        <v>96</v>
      </c>
      <c r="B99" s="17">
        <f>Prices!B99</f>
        <v>46003</v>
      </c>
      <c r="C99" s="18">
        <f>Prices!C99</f>
        <v>2565.9899999999998</v>
      </c>
      <c r="D99" s="19">
        <f>(2/(Inputs!$B$21+1))*C99+(1-(2/(Inputs!$B$21+1)))*D98</f>
        <v>2528.1322119533652</v>
      </c>
      <c r="E99" s="19">
        <f>(2/(Inputs!$B$22+1))*C99+(1-(2/(Inputs!$B$22+1)))*E98</f>
        <v>2456.9886572796345</v>
      </c>
      <c r="F99" s="20">
        <f t="shared" si="2"/>
        <v>71.143554673730705</v>
      </c>
      <c r="G99" s="19">
        <f ca="1">F99/(C99*Prices!G99)</f>
        <v>3.0756640090561227</v>
      </c>
      <c r="H99" s="19">
        <f ca="1">G99*Inputs!$B$29</f>
        <v>5.7514916969349494</v>
      </c>
      <c r="I99" s="19">
        <f ca="1">MAX(-Inputs!$B$8,MIN(Inputs!$B$8,H99))</f>
        <v>5.7514916969349494</v>
      </c>
      <c r="J99" s="19">
        <f>(2/(Inputs!$B$23+1))*C99+(1-(2/(Inputs!$B$23+1)))*J98</f>
        <v>2549.1375119595782</v>
      </c>
      <c r="K99" s="19">
        <f>(2/(Inputs!$B$24+1))*C99+(1-(2/(Inputs!$B$24+1)))*K98</f>
        <v>2528.1322119533652</v>
      </c>
      <c r="L99" s="19">
        <f ca="1">(J99-K99)/(C99*Prices!G99)</f>
        <v>0.90809695305245686</v>
      </c>
      <c r="M99" s="19">
        <f ca="1">MAX(-Inputs!$B$8,MIN(Inputs!$B$8,L99*Inputs!$B$30))</f>
        <v>3.4053635739467132</v>
      </c>
      <c r="N99" s="21">
        <v>5.0070000000000002E-3</v>
      </c>
      <c r="O99" s="12">
        <f>(2/(Inputs!$B$26+1))*N99+(1-(2/(Inputs!$B$26+1)))*O98</f>
        <v>1.3565915773789105E-2</v>
      </c>
      <c r="P99" s="19">
        <f ca="1">O99/(Prices!G99*SQRT(Inputs!$B$6))</f>
        <v>9.4056198778678837E-2</v>
      </c>
      <c r="Q99" s="19">
        <f ca="1">MAX(-Inputs!$B$8,MIN(Inputs!$B$8,P99*Inputs!$B$31))</f>
        <v>2.8216859633603653</v>
      </c>
      <c r="R99" s="19">
        <f ca="1">MAX(-Inputs!$B$8,MIN(Inputs!$B$8,Inputs!$B$32*(40*(C99-AVERAGE(OFFSET(Prices!C99,-(Inputs!$B$25-1),0,Inputs!$B$25,1)))/(MAX(OFFSET(Prices!C99,-(Inputs!$B$25-1),0,Inputs!$B$25,1))-MIN(OFFSET(Prices!C99,-(Inputs!$B$25-1),0,Inputs!$B$25,1))))))</f>
        <v>7.0596410659095013E-2</v>
      </c>
    </row>
    <row r="100" spans="1:18" x14ac:dyDescent="0.25">
      <c r="A100" s="16">
        <f>Prices!A100</f>
        <v>97</v>
      </c>
      <c r="B100" s="17">
        <f>Prices!B100</f>
        <v>46006</v>
      </c>
      <c r="C100" s="18">
        <f>Prices!C100</f>
        <v>2573.71</v>
      </c>
      <c r="D100" s="19">
        <f>(2/(Inputs!$B$21+1))*C100+(1-(2/(Inputs!$B$21+1)))*D99</f>
        <v>2529.5346054317233</v>
      </c>
      <c r="E100" s="19">
        <f>(2/(Inputs!$B$22+1))*C100+(1-(2/(Inputs!$B$22+1)))*E99</f>
        <v>2457.8969945770691</v>
      </c>
      <c r="F100" s="20">
        <f t="shared" ref="F100:F131" si="3">D100-E100</f>
        <v>71.637610854654213</v>
      </c>
      <c r="G100" s="19">
        <f ca="1">F100/(C100*Prices!G100)</f>
        <v>3.1652236422499462</v>
      </c>
      <c r="H100" s="19">
        <f ca="1">G100*Inputs!$B$29</f>
        <v>5.9189682110073996</v>
      </c>
      <c r="I100" s="19">
        <f ca="1">MAX(-Inputs!$B$8,MIN(Inputs!$B$8,H100))</f>
        <v>5.9189682110073996</v>
      </c>
      <c r="J100" s="19">
        <f>(2/(Inputs!$B$23+1))*C100+(1-(2/(Inputs!$B$23+1)))*J99</f>
        <v>2552.0283929055104</v>
      </c>
      <c r="K100" s="19">
        <f>(2/(Inputs!$B$24+1))*C100+(1-(2/(Inputs!$B$24+1)))*K99</f>
        <v>2529.5346054317233</v>
      </c>
      <c r="L100" s="19">
        <f ca="1">(J100-K100)/(C100*Prices!G100)</f>
        <v>0.99386156330967068</v>
      </c>
      <c r="M100" s="19">
        <f ca="1">MAX(-Inputs!$B$8,MIN(Inputs!$B$8,L100*Inputs!$B$30))</f>
        <v>3.7269808624112652</v>
      </c>
      <c r="N100" s="21">
        <v>5.0379999999999999E-3</v>
      </c>
      <c r="O100" s="12">
        <f>(2/(Inputs!$B$26+1))*N100+(1-(2/(Inputs!$B$26+1)))*O99</f>
        <v>1.3378489053486048E-2</v>
      </c>
      <c r="P100" s="19">
        <f ca="1">O100/(Prices!G100*SQRT(Inputs!$B$6))</f>
        <v>9.508456027757213E-2</v>
      </c>
      <c r="Q100" s="19">
        <f ca="1">MAX(-Inputs!$B$8,MIN(Inputs!$B$8,P100*Inputs!$B$31))</f>
        <v>2.8525368083271641</v>
      </c>
      <c r="R100" s="19">
        <f ca="1">MAX(-Inputs!$B$8,MIN(Inputs!$B$8,Inputs!$B$32*(40*(C100-AVERAGE(OFFSET(Prices!C100,-(Inputs!$B$25-1),0,Inputs!$B$25,1)))/(MAX(OFFSET(Prices!C100,-(Inputs!$B$25-1),0,Inputs!$B$25,1))-MIN(OFFSET(Prices!C100,-(Inputs!$B$25-1),0,Inputs!$B$25,1))))))</f>
        <v>1.0371623663059872</v>
      </c>
    </row>
    <row r="101" spans="1:18" x14ac:dyDescent="0.25">
      <c r="A101" s="16">
        <f>Prices!A101</f>
        <v>98</v>
      </c>
      <c r="B101" s="17">
        <f>Prices!B101</f>
        <v>46007</v>
      </c>
      <c r="C101" s="18">
        <f>Prices!C101</f>
        <v>2603.23</v>
      </c>
      <c r="D101" s="19">
        <f>(2/(Inputs!$B$21+1))*C101+(1-(2/(Inputs!$B$21+1)))*D100</f>
        <v>2531.8021560338243</v>
      </c>
      <c r="E101" s="19">
        <f>(2/(Inputs!$B$22+1))*C101+(1-(2/(Inputs!$B$22+1)))*E100</f>
        <v>2459.0279907282206</v>
      </c>
      <c r="F101" s="20">
        <f t="shared" si="3"/>
        <v>72.774165305603674</v>
      </c>
      <c r="G101" s="19">
        <f ca="1">F101/(C101*Prices!G101)</f>
        <v>3.1198918063789569</v>
      </c>
      <c r="H101" s="19">
        <f ca="1">G101*Inputs!$B$29</f>
        <v>5.8341976779286497</v>
      </c>
      <c r="I101" s="19">
        <f ca="1">MAX(-Inputs!$B$8,MIN(Inputs!$B$8,H101))</f>
        <v>5.8341976779286497</v>
      </c>
      <c r="J101" s="19">
        <f>(2/(Inputs!$B$23+1))*C101+(1-(2/(Inputs!$B$23+1)))*J100</f>
        <v>2558.0521113872146</v>
      </c>
      <c r="K101" s="19">
        <f>(2/(Inputs!$B$24+1))*C101+(1-(2/(Inputs!$B$24+1)))*K100</f>
        <v>2531.8021560338243</v>
      </c>
      <c r="L101" s="19">
        <f ca="1">(J101-K101)/(C101*Prices!G101)</f>
        <v>1.1253584329128636</v>
      </c>
      <c r="M101" s="19">
        <f ca="1">MAX(-Inputs!$B$8,MIN(Inputs!$B$8,L101*Inputs!$B$30))</f>
        <v>4.2200941234232383</v>
      </c>
      <c r="N101" s="21">
        <v>5.0949999999999997E-3</v>
      </c>
      <c r="O101" s="12">
        <f>(2/(Inputs!$B$26+1))*N101+(1-(2/(Inputs!$B$26+1)))*O100</f>
        <v>1.3196434349013826E-2</v>
      </c>
      <c r="P101" s="19">
        <f ca="1">O101/(Prices!G101*SQRT(Inputs!$B$6))</f>
        <v>9.2047386048824745E-2</v>
      </c>
      <c r="Q101" s="19">
        <f ca="1">MAX(-Inputs!$B$8,MIN(Inputs!$B$8,P101*Inputs!$B$31))</f>
        <v>2.7614215814647425</v>
      </c>
      <c r="R101" s="19">
        <f ca="1">MAX(-Inputs!$B$8,MIN(Inputs!$B$8,Inputs!$B$32*(40*(C101-AVERAGE(OFFSET(Prices!C101,-(Inputs!$B$25-1),0,Inputs!$B$25,1)))/(MAX(OFFSET(Prices!C101,-(Inputs!$B$25-1),0,Inputs!$B$25,1))-MIN(OFFSET(Prices!C101,-(Inputs!$B$25-1),0,Inputs!$B$25,1))))))</f>
        <v>5.6609946220314269</v>
      </c>
    </row>
    <row r="102" spans="1:18" x14ac:dyDescent="0.25">
      <c r="A102" s="16">
        <f>Prices!A102</f>
        <v>99</v>
      </c>
      <c r="B102" s="17">
        <f>Prices!B102</f>
        <v>46008</v>
      </c>
      <c r="C102" s="18">
        <f>Prices!C102</f>
        <v>2600.37</v>
      </c>
      <c r="D102" s="19">
        <f>(2/(Inputs!$B$21+1))*C102+(1-(2/(Inputs!$B$21+1)))*D101</f>
        <v>2533.911935848168</v>
      </c>
      <c r="E102" s="19">
        <f>(2/(Inputs!$B$22+1))*C102+(1-(2/(Inputs!$B$22+1)))*E101</f>
        <v>2460.1279285435653</v>
      </c>
      <c r="F102" s="20">
        <f t="shared" si="3"/>
        <v>73.78400730460271</v>
      </c>
      <c r="G102" s="19">
        <f ca="1">F102/(C102*Prices!G102)</f>
        <v>3.2664187900524917</v>
      </c>
      <c r="H102" s="19">
        <f ca="1">G102*Inputs!$B$29</f>
        <v>6.10820313739816</v>
      </c>
      <c r="I102" s="19">
        <f ca="1">MAX(-Inputs!$B$8,MIN(Inputs!$B$8,H102))</f>
        <v>6.10820313739816</v>
      </c>
      <c r="J102" s="19">
        <f>(2/(Inputs!$B$23+1))*C102+(1-(2/(Inputs!$B$23+1)))*J101</f>
        <v>2563.0306865181306</v>
      </c>
      <c r="K102" s="19">
        <f>(2/(Inputs!$B$24+1))*C102+(1-(2/(Inputs!$B$24+1)))*K101</f>
        <v>2533.911935848168</v>
      </c>
      <c r="L102" s="19">
        <f ca="1">(J102-K102)/(C102*Prices!G102)</f>
        <v>1.289087402620458</v>
      </c>
      <c r="M102" s="19">
        <f ca="1">MAX(-Inputs!$B$8,MIN(Inputs!$B$8,L102*Inputs!$B$30))</f>
        <v>4.8340777598267177</v>
      </c>
      <c r="N102" s="21">
        <v>5.1749999999999999E-3</v>
      </c>
      <c r="O102" s="12">
        <f>(2/(Inputs!$B$26+1))*N102+(1-(2/(Inputs!$B$26+1)))*O101</f>
        <v>1.302013908859594E-2</v>
      </c>
      <c r="P102" s="19">
        <f ca="1">O102/(Prices!G102*SQRT(Inputs!$B$6))</f>
        <v>9.3678604933355933E-2</v>
      </c>
      <c r="Q102" s="19">
        <f ca="1">MAX(-Inputs!$B$8,MIN(Inputs!$B$8,P102*Inputs!$B$31))</f>
        <v>2.8103581480006778</v>
      </c>
      <c r="R102" s="19">
        <f ca="1">MAX(-Inputs!$B$8,MIN(Inputs!$B$8,Inputs!$B$32*(40*(C102-AVERAGE(OFFSET(Prices!C102,-(Inputs!$B$25-1),0,Inputs!$B$25,1)))/(MAX(OFFSET(Prices!C102,-(Inputs!$B$25-1),0,Inputs!$B$25,1))-MIN(OFFSET(Prices!C102,-(Inputs!$B$25-1),0,Inputs!$B$25,1))))))</f>
        <v>4.9824823252159405</v>
      </c>
    </row>
    <row r="103" spans="1:18" x14ac:dyDescent="0.25">
      <c r="A103" s="16">
        <f>Prices!A103</f>
        <v>100</v>
      </c>
      <c r="B103" s="17">
        <f>Prices!B103</f>
        <v>46009</v>
      </c>
      <c r="C103" s="18">
        <f>Prices!C103</f>
        <v>2649.08</v>
      </c>
      <c r="D103" s="19">
        <f>(2/(Inputs!$B$21+1))*C103+(1-(2/(Inputs!$B$21+1)))*D102</f>
        <v>2537.4555685913015</v>
      </c>
      <c r="E103" s="19">
        <f>(2/(Inputs!$B$22+1))*C103+(1-(2/(Inputs!$B$22+1)))*E102</f>
        <v>2461.5983726794129</v>
      </c>
      <c r="F103" s="20">
        <f t="shared" si="3"/>
        <v>75.857195911888539</v>
      </c>
      <c r="G103" s="19">
        <f ca="1">F103/(C103*Prices!G103)</f>
        <v>3.1610404677644741</v>
      </c>
      <c r="H103" s="19">
        <f ca="1">G103*Inputs!$B$29</f>
        <v>5.9111456747195668</v>
      </c>
      <c r="I103" s="19">
        <f ca="1">MAX(-Inputs!$B$8,MIN(Inputs!$B$8,H103))</f>
        <v>5.9111456747195668</v>
      </c>
      <c r="J103" s="19">
        <f>(2/(Inputs!$B$23+1))*C103+(1-(2/(Inputs!$B$23+1)))*J102</f>
        <v>2573.1541351630563</v>
      </c>
      <c r="K103" s="19">
        <f>(2/(Inputs!$B$24+1))*C103+(1-(2/(Inputs!$B$24+1)))*K102</f>
        <v>2537.4555685913015</v>
      </c>
      <c r="L103" s="19">
        <f ca="1">(J103-K103)/(C103*Prices!G103)</f>
        <v>1.4875927355075835</v>
      </c>
      <c r="M103" s="19">
        <f ca="1">MAX(-Inputs!$B$8,MIN(Inputs!$B$8,L103*Inputs!$B$30))</f>
        <v>5.5784727581534383</v>
      </c>
      <c r="N103" s="21">
        <v>5.2810000000000001E-3</v>
      </c>
      <c r="O103" s="12">
        <f>(2/(Inputs!$B$26+1))*N103+(1-(2/(Inputs!$B$26+1)))*O102</f>
        <v>1.285004811961581E-2</v>
      </c>
      <c r="P103" s="19">
        <f ca="1">O103/(Prices!G103*SQRT(Inputs!$B$6))</f>
        <v>8.8657017275203295E-2</v>
      </c>
      <c r="Q103" s="19">
        <f ca="1">MAX(-Inputs!$B$8,MIN(Inputs!$B$8,P103*Inputs!$B$31))</f>
        <v>2.6597105182560989</v>
      </c>
      <c r="R103" s="19">
        <f ca="1">MAX(-Inputs!$B$8,MIN(Inputs!$B$8,Inputs!$B$32*(40*(C103-AVERAGE(OFFSET(Prices!C103,-(Inputs!$B$25-1),0,Inputs!$B$25,1)))/(MAX(OFFSET(Prices!C103,-(Inputs!$B$25-1),0,Inputs!$B$25,1))-MIN(OFFSET(Prices!C103,-(Inputs!$B$25-1),0,Inputs!$B$25,1))))))</f>
        <v>12.746089502300224</v>
      </c>
    </row>
    <row r="104" spans="1:18" x14ac:dyDescent="0.25">
      <c r="A104" s="16">
        <f>Prices!A104</f>
        <v>101</v>
      </c>
      <c r="B104" s="17">
        <f>Prices!B104</f>
        <v>46010</v>
      </c>
      <c r="C104" s="18">
        <f>Prices!C104</f>
        <v>2637.45</v>
      </c>
      <c r="D104" s="19">
        <f>(2/(Inputs!$B$21+1))*C104+(1-(2/(Inputs!$B$21+1)))*D103</f>
        <v>2540.5323203269536</v>
      </c>
      <c r="E104" s="19">
        <f>(2/(Inputs!$B$22+1))*C104+(1-(2/(Inputs!$B$22+1)))*E103</f>
        <v>2462.9668678336589</v>
      </c>
      <c r="F104" s="20">
        <f t="shared" si="3"/>
        <v>77.565452493294742</v>
      </c>
      <c r="G104" s="19">
        <f ca="1">F104/(C104*Prices!G104)</f>
        <v>3.2649935013640925</v>
      </c>
      <c r="H104" s="19">
        <f ca="1">G104*Inputs!$B$29</f>
        <v>6.1055378475508535</v>
      </c>
      <c r="I104" s="19">
        <f ca="1">MAX(-Inputs!$B$8,MIN(Inputs!$B$8,H104))</f>
        <v>6.1055378475508535</v>
      </c>
      <c r="J104" s="19">
        <f>(2/(Inputs!$B$23+1))*C104+(1-(2/(Inputs!$B$23+1)))*J103</f>
        <v>2580.7183545556381</v>
      </c>
      <c r="K104" s="19">
        <f>(2/(Inputs!$B$24+1))*C104+(1-(2/(Inputs!$B$24+1)))*K103</f>
        <v>2540.5323203269536</v>
      </c>
      <c r="L104" s="19">
        <f ca="1">(J104-K104)/(C104*Prices!G104)</f>
        <v>1.6915667527833016</v>
      </c>
      <c r="M104" s="19">
        <f ca="1">MAX(-Inputs!$B$8,MIN(Inputs!$B$8,L104*Inputs!$B$30))</f>
        <v>6.3433753229373808</v>
      </c>
      <c r="N104" s="21">
        <v>5.411E-3</v>
      </c>
      <c r="O104" s="12">
        <f>(2/(Inputs!$B$26+1))*N104+(1-(2/(Inputs!$B$26+1)))*O103</f>
        <v>1.2686552556547331E-2</v>
      </c>
      <c r="P104" s="19">
        <f ca="1">O104/(Prices!G104*SQRT(Inputs!$B$6))</f>
        <v>8.8028209075741701E-2</v>
      </c>
      <c r="Q104" s="19">
        <f ca="1">MAX(-Inputs!$B$8,MIN(Inputs!$B$8,P104*Inputs!$B$31))</f>
        <v>2.6408462722722512</v>
      </c>
      <c r="R104" s="19">
        <f ca="1">MAX(-Inputs!$B$8,MIN(Inputs!$B$8,Inputs!$B$32*(40*(C104-AVERAGE(OFFSET(Prices!C104,-(Inputs!$B$25-1),0,Inputs!$B$25,1)))/(MAX(OFFSET(Prices!C104,-(Inputs!$B$25-1),0,Inputs!$B$25,1))-MIN(OFFSET(Prices!C104,-(Inputs!$B$25-1),0,Inputs!$B$25,1))))))</f>
        <v>10.622542869092308</v>
      </c>
    </row>
    <row r="105" spans="1:18" x14ac:dyDescent="0.25">
      <c r="A105" s="16">
        <f>Prices!A105</f>
        <v>102</v>
      </c>
      <c r="B105" s="17">
        <f>Prices!B105</f>
        <v>46013</v>
      </c>
      <c r="C105" s="18">
        <f>Prices!C105</f>
        <v>2677.36</v>
      </c>
      <c r="D105" s="19">
        <f>(2/(Inputs!$B$21+1))*C105+(1-(2/(Inputs!$B$21+1)))*D104</f>
        <v>2544.7424027784318</v>
      </c>
      <c r="E105" s="19">
        <f>(2/(Inputs!$B$22+1))*C105+(1-(2/(Inputs!$B$22+1)))*E104</f>
        <v>2464.6352968777551</v>
      </c>
      <c r="F105" s="20">
        <f t="shared" si="3"/>
        <v>80.107105900676743</v>
      </c>
      <c r="G105" s="19">
        <f ca="1">F105/(C105*Prices!G105)</f>
        <v>3.3402435501390078</v>
      </c>
      <c r="H105" s="19">
        <f ca="1">G105*Inputs!$B$29</f>
        <v>6.2462554387599445</v>
      </c>
      <c r="I105" s="19">
        <f ca="1">MAX(-Inputs!$B$8,MIN(Inputs!$B$8,H105))</f>
        <v>6.2462554387599445</v>
      </c>
      <c r="J105" s="19">
        <f>(2/(Inputs!$B$23+1))*C105+(1-(2/(Inputs!$B$23+1)))*J104</f>
        <v>2592.0879599020336</v>
      </c>
      <c r="K105" s="19">
        <f>(2/(Inputs!$B$24+1))*C105+(1-(2/(Inputs!$B$24+1)))*K104</f>
        <v>2544.7424027784318</v>
      </c>
      <c r="L105" s="19">
        <f ca="1">(J105-K105)/(C105*Prices!G105)</f>
        <v>1.9741780711180683</v>
      </c>
      <c r="M105" s="19">
        <f ca="1">MAX(-Inputs!$B$8,MIN(Inputs!$B$8,L105*Inputs!$B$30))</f>
        <v>7.4031677666927562</v>
      </c>
      <c r="N105" s="21">
        <v>5.5649999999999996E-3</v>
      </c>
      <c r="O105" s="12">
        <f>(2/(Inputs!$B$26+1))*N105+(1-(2/(Inputs!$B$26+1)))*O104</f>
        <v>1.2530034917941895E-2</v>
      </c>
      <c r="P105" s="19">
        <f ca="1">O105/(Prices!G105*SQRT(Inputs!$B$6))</f>
        <v>8.7427117840472052E-2</v>
      </c>
      <c r="Q105" s="19">
        <f ca="1">MAX(-Inputs!$B$8,MIN(Inputs!$B$8,P105*Inputs!$B$31))</f>
        <v>2.6228135352141617</v>
      </c>
      <c r="R105" s="19">
        <f ca="1">MAX(-Inputs!$B$8,MIN(Inputs!$B$8,Inputs!$B$32*(40*(C105-AVERAGE(OFFSET(Prices!C105,-(Inputs!$B$25-1),0,Inputs!$B$25,1)))/(MAX(OFFSET(Prices!C105,-(Inputs!$B$25-1),0,Inputs!$B$25,1))-MIN(OFFSET(Prices!C105,-(Inputs!$B$25-1),0,Inputs!$B$25,1))))))</f>
        <v>14.628729874776363</v>
      </c>
    </row>
    <row r="106" spans="1:18" x14ac:dyDescent="0.25">
      <c r="A106" s="16">
        <f>Prices!A106</f>
        <v>103</v>
      </c>
      <c r="B106" s="17">
        <f>Prices!B106</f>
        <v>46014</v>
      </c>
      <c r="C106" s="18">
        <f>Prices!C106</f>
        <v>2678.3</v>
      </c>
      <c r="D106" s="19">
        <f>(2/(Inputs!$B$21+1))*C106+(1-(2/(Inputs!$B$21+1)))*D105</f>
        <v>2548.8518673083263</v>
      </c>
      <c r="E106" s="19">
        <f>(2/(Inputs!$B$22+1))*C106+(1-(2/(Inputs!$B$22+1)))*E105</f>
        <v>2466.298057213337</v>
      </c>
      <c r="F106" s="20">
        <f t="shared" si="3"/>
        <v>82.553810094989331</v>
      </c>
      <c r="G106" s="19">
        <f ca="1">F106/(C106*Prices!G106)</f>
        <v>3.4471627466461223</v>
      </c>
      <c r="H106" s="19">
        <f ca="1">G106*Inputs!$B$29</f>
        <v>6.446194336228249</v>
      </c>
      <c r="I106" s="19">
        <f ca="1">MAX(-Inputs!$B$8,MIN(Inputs!$B$8,H106))</f>
        <v>6.446194336228249</v>
      </c>
      <c r="J106" s="19">
        <f>(2/(Inputs!$B$23+1))*C106+(1-(2/(Inputs!$B$23+1)))*J105</f>
        <v>2602.2305528547354</v>
      </c>
      <c r="K106" s="19">
        <f>(2/(Inputs!$B$24+1))*C106+(1-(2/(Inputs!$B$24+1)))*K105</f>
        <v>2548.8518673083263</v>
      </c>
      <c r="L106" s="19">
        <f ca="1">(J106-K106)/(C106*Prices!G106)</f>
        <v>2.2289100414480756</v>
      </c>
      <c r="M106" s="19">
        <f ca="1">MAX(-Inputs!$B$8,MIN(Inputs!$B$8,L106*Inputs!$B$30))</f>
        <v>8.3584126554302838</v>
      </c>
      <c r="N106" s="21">
        <v>5.7419999999999997E-3</v>
      </c>
      <c r="O106" s="12">
        <f>(2/(Inputs!$B$26+1))*N106+(1-(2/(Inputs!$B$26+1)))*O105</f>
        <v>1.2380847337327788E-2</v>
      </c>
      <c r="P106" s="19">
        <f ca="1">O106/(Prices!G106*SQRT(Inputs!$B$6))</f>
        <v>8.6539478331619582E-2</v>
      </c>
      <c r="Q106" s="19">
        <f ca="1">MAX(-Inputs!$B$8,MIN(Inputs!$B$8,P106*Inputs!$B$31))</f>
        <v>2.5961843499485875</v>
      </c>
      <c r="R106" s="19">
        <f ca="1">MAX(-Inputs!$B$8,MIN(Inputs!$B$8,Inputs!$B$32*(40*(C106-AVERAGE(OFFSET(Prices!C106,-(Inputs!$B$25-1),0,Inputs!$B$25,1)))/(MAX(OFFSET(Prices!C106,-(Inputs!$B$25-1),0,Inputs!$B$25,1))-MIN(OFFSET(Prices!C106,-(Inputs!$B$25-1),0,Inputs!$B$25,1))))))</f>
        <v>14.503840480187113</v>
      </c>
    </row>
    <row r="107" spans="1:18" x14ac:dyDescent="0.25">
      <c r="A107" s="16">
        <f>Prices!A107</f>
        <v>104</v>
      </c>
      <c r="B107" s="17">
        <f>Prices!B107</f>
        <v>46015</v>
      </c>
      <c r="C107" s="18">
        <f>Prices!C107</f>
        <v>2662.33</v>
      </c>
      <c r="D107" s="19">
        <f>(2/(Inputs!$B$21+1))*C107+(1-(2/(Inputs!$B$21+1)))*D106</f>
        <v>2552.3435021603777</v>
      </c>
      <c r="E107" s="19">
        <f>(2/(Inputs!$B$22+1))*C107+(1-(2/(Inputs!$B$22+1)))*E106</f>
        <v>2467.8235976241281</v>
      </c>
      <c r="F107" s="20">
        <f t="shared" si="3"/>
        <v>84.519904536249669</v>
      </c>
      <c r="G107" s="19">
        <f ca="1">F107/(C107*Prices!G107)</f>
        <v>3.5285641733971915</v>
      </c>
      <c r="H107" s="19">
        <f ca="1">G107*Inputs!$B$29</f>
        <v>6.5984150042527485</v>
      </c>
      <c r="I107" s="19">
        <f ca="1">MAX(-Inputs!$B$8,MIN(Inputs!$B$8,H107))</f>
        <v>6.5984150042527485</v>
      </c>
      <c r="J107" s="19">
        <f>(2/(Inputs!$B$23+1))*C107+(1-(2/(Inputs!$B$23+1)))*J106</f>
        <v>2609.3010760482957</v>
      </c>
      <c r="K107" s="19">
        <f>(2/(Inputs!$B$24+1))*C107+(1-(2/(Inputs!$B$24+1)))*K106</f>
        <v>2552.3435021603777</v>
      </c>
      <c r="L107" s="19">
        <f ca="1">(J107-K107)/(C107*Prices!G107)</f>
        <v>2.3778831238307103</v>
      </c>
      <c r="M107" s="19">
        <f ca="1">MAX(-Inputs!$B$8,MIN(Inputs!$B$8,L107*Inputs!$B$30))</f>
        <v>8.9170617143651629</v>
      </c>
      <c r="N107" s="21">
        <v>5.9420000000000002E-3</v>
      </c>
      <c r="O107" s="12">
        <f>(2/(Inputs!$B$26+1))*N107+(1-(2/(Inputs!$B$26+1)))*O106</f>
        <v>1.2239334209034869E-2</v>
      </c>
      <c r="P107" s="19">
        <f ca="1">O107/(Prices!G107*SQRT(Inputs!$B$6))</f>
        <v>8.5023449259080605E-2</v>
      </c>
      <c r="Q107" s="19">
        <f ca="1">MAX(-Inputs!$B$8,MIN(Inputs!$B$8,P107*Inputs!$B$31))</f>
        <v>2.550703477772418</v>
      </c>
      <c r="R107" s="19">
        <f ca="1">MAX(-Inputs!$B$8,MIN(Inputs!$B$8,Inputs!$B$32*(40*(C107-AVERAGE(OFFSET(Prices!C107,-(Inputs!$B$25-1),0,Inputs!$B$25,1)))/(MAX(OFFSET(Prices!C107,-(Inputs!$B$25-1),0,Inputs!$B$25,1))-MIN(OFFSET(Prices!C107,-(Inputs!$B$25-1),0,Inputs!$B$25,1))))))</f>
        <v>11.956793326211862</v>
      </c>
    </row>
    <row r="108" spans="1:18" x14ac:dyDescent="0.25">
      <c r="A108" s="16">
        <f>Prices!A108</f>
        <v>105</v>
      </c>
      <c r="B108" s="17">
        <f>Prices!B108</f>
        <v>46016</v>
      </c>
      <c r="C108" s="18">
        <f>Prices!C108</f>
        <v>2630.15</v>
      </c>
      <c r="D108" s="19">
        <f>(2/(Inputs!$B$21+1))*C108+(1-(2/(Inputs!$B$21+1)))*D107</f>
        <v>2554.7375482477505</v>
      </c>
      <c r="E108" s="19">
        <f>(2/(Inputs!$B$22+1))*C108+(1-(2/(Inputs!$B$22+1)))*E107</f>
        <v>2469.0868381095438</v>
      </c>
      <c r="F108" s="20">
        <f t="shared" si="3"/>
        <v>85.650710138206705</v>
      </c>
      <c r="G108" s="19">
        <f ca="1">F108/(C108*Prices!G108)</f>
        <v>3.5480565149961105</v>
      </c>
      <c r="H108" s="19">
        <f ca="1">G108*Inputs!$B$29</f>
        <v>6.6348656830427268</v>
      </c>
      <c r="I108" s="19">
        <f ca="1">MAX(-Inputs!$B$8,MIN(Inputs!$B$8,H108))</f>
        <v>6.6348656830427268</v>
      </c>
      <c r="J108" s="19">
        <f>(2/(Inputs!$B$23+1))*C108+(1-(2/(Inputs!$B$23+1)))*J107</f>
        <v>2611.7538906308491</v>
      </c>
      <c r="K108" s="19">
        <f>(2/(Inputs!$B$24+1))*C108+(1-(2/(Inputs!$B$24+1)))*K107</f>
        <v>2554.7375482477505</v>
      </c>
      <c r="L108" s="19">
        <f ca="1">(J108-K108)/(C108*Prices!G108)</f>
        <v>2.3618859052910763</v>
      </c>
      <c r="M108" s="19">
        <f ca="1">MAX(-Inputs!$B$8,MIN(Inputs!$B$8,L108*Inputs!$B$30))</f>
        <v>8.8570721448415366</v>
      </c>
      <c r="N108" s="21">
        <v>6.1650000000000003E-3</v>
      </c>
      <c r="O108" s="12">
        <f>(2/(Inputs!$B$26+1))*N108+(1-(2/(Inputs!$B$26+1)))*O107</f>
        <v>1.2105832358286849E-2</v>
      </c>
      <c r="P108" s="19">
        <f ca="1">O108/(Prices!G108*SQRT(Inputs!$B$6))</f>
        <v>8.2435590086516741E-2</v>
      </c>
      <c r="Q108" s="19">
        <f ca="1">MAX(-Inputs!$B$8,MIN(Inputs!$B$8,P108*Inputs!$B$31))</f>
        <v>2.4730677025955021</v>
      </c>
      <c r="R108" s="19">
        <f ca="1">MAX(-Inputs!$B$8,MIN(Inputs!$B$8,Inputs!$B$32*(40*(C108-AVERAGE(OFFSET(Prices!C108,-(Inputs!$B$25-1),0,Inputs!$B$25,1)))/(MAX(OFFSET(Prices!C108,-(Inputs!$B$25-1),0,Inputs!$B$25,1))-MIN(OFFSET(Prices!C108,-(Inputs!$B$25-1),0,Inputs!$B$25,1))))))</f>
        <v>7.1591993488987065</v>
      </c>
    </row>
    <row r="109" spans="1:18" x14ac:dyDescent="0.25">
      <c r="A109" s="16">
        <f>Prices!A109</f>
        <v>106</v>
      </c>
      <c r="B109" s="17">
        <f>Prices!B109</f>
        <v>46017</v>
      </c>
      <c r="C109" s="18">
        <f>Prices!C109</f>
        <v>2624.08</v>
      </c>
      <c r="D109" s="19">
        <f>(2/(Inputs!$B$21+1))*C109+(1-(2/(Inputs!$B$21+1)))*D108</f>
        <v>2556.8711621478196</v>
      </c>
      <c r="E109" s="19">
        <f>(2/(Inputs!$B$22+1))*C109+(1-(2/(Inputs!$B$22+1)))*E108</f>
        <v>2470.2930105756177</v>
      </c>
      <c r="F109" s="20">
        <f t="shared" si="3"/>
        <v>86.578151572201932</v>
      </c>
      <c r="G109" s="19">
        <f ca="1">F109/(C109*Prices!G109)</f>
        <v>3.6084323227231714</v>
      </c>
      <c r="H109" s="19">
        <f ca="1">G109*Inputs!$B$29</f>
        <v>6.7477684434923306</v>
      </c>
      <c r="I109" s="19">
        <f ca="1">MAX(-Inputs!$B$8,MIN(Inputs!$B$8,H109))</f>
        <v>6.7477684434923306</v>
      </c>
      <c r="J109" s="19">
        <f>(2/(Inputs!$B$23+1))*C109+(1-(2/(Inputs!$B$23+1)))*J108</f>
        <v>2613.2040211448666</v>
      </c>
      <c r="K109" s="19">
        <f>(2/(Inputs!$B$24+1))*C109+(1-(2/(Inputs!$B$24+1)))*K108</f>
        <v>2556.8711621478196</v>
      </c>
      <c r="L109" s="19">
        <f ca="1">(J109-K109)/(C109*Prices!G109)</f>
        <v>2.3478591947857783</v>
      </c>
      <c r="M109" s="19">
        <f ca="1">MAX(-Inputs!$B$8,MIN(Inputs!$B$8,L109*Inputs!$B$30))</f>
        <v>8.8044719804466691</v>
      </c>
      <c r="N109" s="21">
        <v>6.411E-3</v>
      </c>
      <c r="O109" s="12">
        <f>(2/(Inputs!$B$26+1))*N109+(1-(2/(Inputs!$B$26+1)))*O108</f>
        <v>1.198067120755527E-2</v>
      </c>
      <c r="P109" s="19">
        <f ca="1">O109/(Prices!G109*SQRT(Inputs!$B$6))</f>
        <v>8.1893322861578549E-2</v>
      </c>
      <c r="Q109" s="19">
        <f ca="1">MAX(-Inputs!$B$8,MIN(Inputs!$B$8,P109*Inputs!$B$31))</f>
        <v>2.4567996858473564</v>
      </c>
      <c r="R109" s="19">
        <f ca="1">MAX(-Inputs!$B$8,MIN(Inputs!$B$8,Inputs!$B$32*(40*(C109-AVERAGE(OFFSET(Prices!C109,-(Inputs!$B$25-1),0,Inputs!$B$25,1)))/(MAX(OFFSET(Prices!C109,-(Inputs!$B$25-1),0,Inputs!$B$25,1))-MIN(OFFSET(Prices!C109,-(Inputs!$B$25-1),0,Inputs!$B$25,1))))))</f>
        <v>6.18192685284086</v>
      </c>
    </row>
    <row r="110" spans="1:18" x14ac:dyDescent="0.25">
      <c r="A110" s="16">
        <f>Prices!A110</f>
        <v>107</v>
      </c>
      <c r="B110" s="17">
        <f>Prices!B110</f>
        <v>46020</v>
      </c>
      <c r="C110" s="18">
        <f>Prices!C110</f>
        <v>2659.33</v>
      </c>
      <c r="D110" s="19">
        <f>(2/(Inputs!$B$21+1))*C110+(1-(2/(Inputs!$B$21+1)))*D109</f>
        <v>2560.0237417740409</v>
      </c>
      <c r="E110" s="19">
        <f>(2/(Inputs!$B$22+1))*C110+(1-(2/(Inputs!$B$22+1)))*E109</f>
        <v>2471.7641155516831</v>
      </c>
      <c r="F110" s="20">
        <f t="shared" si="3"/>
        <v>88.259626222357838</v>
      </c>
      <c r="G110" s="19">
        <f ca="1">F110/(C110*Prices!G110)</f>
        <v>3.5644944794046642</v>
      </c>
      <c r="H110" s="19">
        <f ca="1">G110*Inputs!$B$29</f>
        <v>6.6656046764867227</v>
      </c>
      <c r="I110" s="19">
        <f ca="1">MAX(-Inputs!$B$8,MIN(Inputs!$B$8,H110))</f>
        <v>6.6656046764867227</v>
      </c>
      <c r="J110" s="19">
        <f>(2/(Inputs!$B$23+1))*C110+(1-(2/(Inputs!$B$23+1)))*J109</f>
        <v>2618.6306068925296</v>
      </c>
      <c r="K110" s="19">
        <f>(2/(Inputs!$B$24+1))*C110+(1-(2/(Inputs!$B$24+1)))*K109</f>
        <v>2560.0237417740409</v>
      </c>
      <c r="L110" s="19">
        <f ca="1">(J110-K110)/(C110*Prices!G110)</f>
        <v>2.3669242224498284</v>
      </c>
      <c r="M110" s="19">
        <f ca="1">MAX(-Inputs!$B$8,MIN(Inputs!$B$8,L110*Inputs!$B$30))</f>
        <v>8.8759658341868573</v>
      </c>
      <c r="N110" s="21">
        <v>6.6769999999999998E-3</v>
      </c>
      <c r="O110" s="12">
        <f>(2/(Inputs!$B$26+1))*N110+(1-(2/(Inputs!$B$26+1)))*O109</f>
        <v>1.1864107005191417E-2</v>
      </c>
      <c r="P110" s="19">
        <f ca="1">O110/(Prices!G110*SQRT(Inputs!$B$6))</f>
        <v>7.9638517671154971E-2</v>
      </c>
      <c r="Q110" s="19">
        <f ca="1">MAX(-Inputs!$B$8,MIN(Inputs!$B$8,P110*Inputs!$B$31))</f>
        <v>2.3891555301346492</v>
      </c>
      <c r="R110" s="19">
        <f ca="1">MAX(-Inputs!$B$8,MIN(Inputs!$B$8,Inputs!$B$32*(40*(C110-AVERAGE(OFFSET(Prices!C110,-(Inputs!$B$25-1),0,Inputs!$B$25,1)))/(MAX(OFFSET(Prices!C110,-(Inputs!$B$25-1),0,Inputs!$B$25,1))-MIN(OFFSET(Prices!C110,-(Inputs!$B$25-1),0,Inputs!$B$25,1))))))</f>
        <v>10.823632941655154</v>
      </c>
    </row>
    <row r="111" spans="1:18" x14ac:dyDescent="0.25">
      <c r="A111" s="16">
        <f>Prices!A111</f>
        <v>108</v>
      </c>
      <c r="B111" s="17">
        <f>Prices!B111</f>
        <v>46021</v>
      </c>
      <c r="C111" s="18">
        <f>Prices!C111</f>
        <v>2678.91</v>
      </c>
      <c r="D111" s="19">
        <f>(2/(Inputs!$B$21+1))*C111+(1-(2/(Inputs!$B$21+1)))*D110</f>
        <v>2563.6817804886855</v>
      </c>
      <c r="E111" s="19">
        <f>(2/(Inputs!$B$22+1))*C111+(1-(2/(Inputs!$B$22+1)))*E110</f>
        <v>2473.3761457808528</v>
      </c>
      <c r="F111" s="20">
        <f t="shared" si="3"/>
        <v>90.305634707832724</v>
      </c>
      <c r="G111" s="19">
        <f ca="1">F111/(C111*Prices!G111)</f>
        <v>3.819306759022751</v>
      </c>
      <c r="H111" s="19">
        <f ca="1">G111*Inputs!$B$29</f>
        <v>7.1421036393725448</v>
      </c>
      <c r="I111" s="19">
        <f ca="1">MAX(-Inputs!$B$8,MIN(Inputs!$B$8,H111))</f>
        <v>7.1421036393725448</v>
      </c>
      <c r="J111" s="19">
        <f>(2/(Inputs!$B$23+1))*C111+(1-(2/(Inputs!$B$23+1)))*J110</f>
        <v>2625.7223001992907</v>
      </c>
      <c r="K111" s="19">
        <f>(2/(Inputs!$B$24+1))*C111+(1-(2/(Inputs!$B$24+1)))*K110</f>
        <v>2563.6817804886855</v>
      </c>
      <c r="L111" s="19">
        <f ca="1">(J111-K111)/(C111*Prices!G111)</f>
        <v>2.6238869482575744</v>
      </c>
      <c r="M111" s="19">
        <f ca="1">MAX(-Inputs!$B$8,MIN(Inputs!$B$8,L111*Inputs!$B$30))</f>
        <v>9.8395760559659031</v>
      </c>
      <c r="N111" s="21">
        <v>6.9649999999999998E-3</v>
      </c>
      <c r="O111" s="12">
        <f>(2/(Inputs!$B$26+1))*N111+(1-(2/(Inputs!$B$26+1)))*O110</f>
        <v>1.1756434323758638E-2</v>
      </c>
      <c r="P111" s="19">
        <f ca="1">O111/(Prices!G111*SQRT(Inputs!$B$6))</f>
        <v>8.3249849076260318E-2</v>
      </c>
      <c r="Q111" s="19">
        <f ca="1">MAX(-Inputs!$B$8,MIN(Inputs!$B$8,P111*Inputs!$B$31))</f>
        <v>2.4974954722878095</v>
      </c>
      <c r="R111" s="19">
        <f ca="1">MAX(-Inputs!$B$8,MIN(Inputs!$B$8,Inputs!$B$32*(40*(C111-AVERAGE(OFFSET(Prices!C111,-(Inputs!$B$25-1),0,Inputs!$B$25,1)))/(MAX(OFFSET(Prices!C111,-(Inputs!$B$25-1),0,Inputs!$B$25,1))-MIN(OFFSET(Prices!C111,-(Inputs!$B$25-1),0,Inputs!$B$25,1))))))</f>
        <v>13.118823529411745</v>
      </c>
    </row>
    <row r="112" spans="1:18" x14ac:dyDescent="0.25">
      <c r="A112" s="16">
        <f>Prices!A112</f>
        <v>109</v>
      </c>
      <c r="B112" s="17">
        <f>Prices!B112</f>
        <v>46022</v>
      </c>
      <c r="C112" s="18">
        <f>Prices!C112</f>
        <v>2695.22</v>
      </c>
      <c r="D112" s="19">
        <f>(2/(Inputs!$B$21+1))*C112+(1-(2/(Inputs!$B$21+1)))*D111</f>
        <v>2567.7291103198027</v>
      </c>
      <c r="E112" s="19">
        <f>(2/(Inputs!$B$22+1))*C112+(1-(2/(Inputs!$B$22+1)))*E111</f>
        <v>2475.1025570977336</v>
      </c>
      <c r="F112" s="20">
        <f t="shared" si="3"/>
        <v>92.626553222069106</v>
      </c>
      <c r="G112" s="19">
        <f ca="1">F112/(C112*Prices!G112)</f>
        <v>3.8938118737692151</v>
      </c>
      <c r="H112" s="19">
        <f ca="1">G112*Inputs!$B$29</f>
        <v>7.2814282039484324</v>
      </c>
      <c r="I112" s="19">
        <f ca="1">MAX(-Inputs!$B$8,MIN(Inputs!$B$8,H112))</f>
        <v>7.2814282039484324</v>
      </c>
      <c r="J112" s="19">
        <f>(2/(Inputs!$B$23+1))*C112+(1-(2/(Inputs!$B$23+1)))*J111</f>
        <v>2633.8985001758447</v>
      </c>
      <c r="K112" s="19">
        <f>(2/(Inputs!$B$24+1))*C112+(1-(2/(Inputs!$B$24+1)))*K111</f>
        <v>2567.7291103198027</v>
      </c>
      <c r="L112" s="19">
        <f ca="1">(J112-K112)/(C112*Prices!G112)</f>
        <v>2.7816122584612484</v>
      </c>
      <c r="M112" s="19">
        <f ca="1">MAX(-Inputs!$B$8,MIN(Inputs!$B$8,L112*Inputs!$B$30))</f>
        <v>10.431045969229681</v>
      </c>
      <c r="N112" s="21">
        <v>7.2719999999999998E-3</v>
      </c>
      <c r="O112" s="12">
        <f>(2/(Inputs!$B$26+1))*N112+(1-(2/(Inputs!$B$26+1)))*O111</f>
        <v>1.1657875327632074E-2</v>
      </c>
      <c r="P112" s="19">
        <f ca="1">O112/(Prices!G112*SQRT(Inputs!$B$6))</f>
        <v>8.2553046731928051E-2</v>
      </c>
      <c r="Q112" s="19">
        <f ca="1">MAX(-Inputs!$B$8,MIN(Inputs!$B$8,P112*Inputs!$B$31))</f>
        <v>2.4765914019578417</v>
      </c>
      <c r="R112" s="19">
        <f ca="1">MAX(-Inputs!$B$8,MIN(Inputs!$B$8,Inputs!$B$32*(40*(C112-AVERAGE(OFFSET(Prices!C112,-(Inputs!$B$25-1),0,Inputs!$B$25,1)))/(MAX(OFFSET(Prices!C112,-(Inputs!$B$25-1),0,Inputs!$B$25,1))-MIN(OFFSET(Prices!C112,-(Inputs!$B$25-1),0,Inputs!$B$25,1))))))</f>
        <v>13.799648728396798</v>
      </c>
    </row>
    <row r="113" spans="1:18" x14ac:dyDescent="0.25">
      <c r="A113" s="16">
        <f>Prices!A113</f>
        <v>110</v>
      </c>
      <c r="B113" s="17">
        <f>Prices!B113</f>
        <v>46023</v>
      </c>
      <c r="C113" s="18">
        <f>Prices!C113</f>
        <v>2629.03</v>
      </c>
      <c r="D113" s="19">
        <f>(2/(Inputs!$B$21+1))*C113+(1-(2/(Inputs!$B$21+1)))*D112</f>
        <v>2569.615291540732</v>
      </c>
      <c r="E113" s="19">
        <f>(2/(Inputs!$B$22+1))*C113+(1-(2/(Inputs!$B$22+1)))*E112</f>
        <v>2476.300436030825</v>
      </c>
      <c r="F113" s="20">
        <f t="shared" si="3"/>
        <v>93.31485550990692</v>
      </c>
      <c r="G113" s="19">
        <f ca="1">F113/(C113*Prices!G113)</f>
        <v>3.7192203639304742</v>
      </c>
      <c r="H113" s="19">
        <f ca="1">G113*Inputs!$B$29</f>
        <v>6.9549420805499871</v>
      </c>
      <c r="I113" s="19">
        <f ca="1">MAX(-Inputs!$B$8,MIN(Inputs!$B$8,H113))</f>
        <v>6.9549420805499871</v>
      </c>
      <c r="J113" s="19">
        <f>(2/(Inputs!$B$23+1))*C113+(1-(2/(Inputs!$B$23+1)))*J112</f>
        <v>2633.3257354492748</v>
      </c>
      <c r="K113" s="19">
        <f>(2/(Inputs!$B$24+1))*C113+(1-(2/(Inputs!$B$24+1)))*K112</f>
        <v>2569.615291540732</v>
      </c>
      <c r="L113" s="19">
        <f ca="1">(J113-K113)/(C113*Prices!G113)</f>
        <v>2.5392867950649753</v>
      </c>
      <c r="M113" s="19">
        <f ca="1">MAX(-Inputs!$B$8,MIN(Inputs!$B$8,L113*Inputs!$B$30))</f>
        <v>9.5223254814936578</v>
      </c>
      <c r="N113" s="21">
        <v>7.5989999999999999E-3</v>
      </c>
      <c r="O113" s="12">
        <f>(2/(Inputs!$B$26+1))*N113+(1-(2/(Inputs!$B$26+1)))*O112</f>
        <v>1.1568669276475325E-2</v>
      </c>
      <c r="P113" s="19">
        <f ca="1">O113/(Prices!G113*SQRT(Inputs!$B$6))</f>
        <v>7.5763510256760563E-2</v>
      </c>
      <c r="Q113" s="19">
        <f ca="1">MAX(-Inputs!$B$8,MIN(Inputs!$B$8,P113*Inputs!$B$31))</f>
        <v>2.2729053077028167</v>
      </c>
      <c r="R113" s="19">
        <f ca="1">MAX(-Inputs!$B$8,MIN(Inputs!$B$8,Inputs!$B$32*(40*(C113-AVERAGE(OFFSET(Prices!C113,-(Inputs!$B$25-1),0,Inputs!$B$25,1)))/(MAX(OFFSET(Prices!C113,-(Inputs!$B$25-1),0,Inputs!$B$25,1))-MIN(OFFSET(Prices!C113,-(Inputs!$B$25-1),0,Inputs!$B$25,1))))))</f>
        <v>4.8473139431408532</v>
      </c>
    </row>
    <row r="114" spans="1:18" x14ac:dyDescent="0.25">
      <c r="A114" s="16">
        <f>Prices!A114</f>
        <v>111</v>
      </c>
      <c r="B114" s="17">
        <f>Prices!B114</f>
        <v>46024</v>
      </c>
      <c r="C114" s="18">
        <f>Prices!C114</f>
        <v>2645.62</v>
      </c>
      <c r="D114" s="19">
        <f>(2/(Inputs!$B$21+1))*C114+(1-(2/(Inputs!$B$21+1)))*D113</f>
        <v>2571.9538979548634</v>
      </c>
      <c r="E114" s="19">
        <f>(2/(Inputs!$B$22+1))*C114+(1-(2/(Inputs!$B$22+1)))*E113</f>
        <v>2477.618098007239</v>
      </c>
      <c r="F114" s="20">
        <f t="shared" si="3"/>
        <v>94.335799947624309</v>
      </c>
      <c r="G114" s="19">
        <f ca="1">F114/(C114*Prices!G114)</f>
        <v>3.7425357636806154</v>
      </c>
      <c r="H114" s="19">
        <f ca="1">G114*Inputs!$B$29</f>
        <v>6.9985418780827509</v>
      </c>
      <c r="I114" s="19">
        <f ca="1">MAX(-Inputs!$B$8,MIN(Inputs!$B$8,H114))</f>
        <v>6.9985418780827509</v>
      </c>
      <c r="J114" s="19">
        <f>(2/(Inputs!$B$23+1))*C114+(1-(2/(Inputs!$B$23+1)))*J113</f>
        <v>2634.7721195140657</v>
      </c>
      <c r="K114" s="19">
        <f>(2/(Inputs!$B$24+1))*C114+(1-(2/(Inputs!$B$24+1)))*K113</f>
        <v>2571.9538979548634</v>
      </c>
      <c r="L114" s="19">
        <f ca="1">(J114-K114)/(C114*Prices!G114)</f>
        <v>2.4921550559454184</v>
      </c>
      <c r="M114" s="19">
        <f ca="1">MAX(-Inputs!$B$8,MIN(Inputs!$B$8,L114*Inputs!$B$30))</f>
        <v>9.3455814597953193</v>
      </c>
      <c r="N114" s="21">
        <v>7.9450000000000007E-3</v>
      </c>
      <c r="O114" s="12">
        <f>(2/(Inputs!$B$26+1))*N114+(1-(2/(Inputs!$B$26+1)))*O113</f>
        <v>1.1489028193475867E-2</v>
      </c>
      <c r="P114" s="19">
        <f ca="1">O114/(Prices!G114*SQRT(Inputs!$B$6))</f>
        <v>7.5366821560324385E-2</v>
      </c>
      <c r="Q114" s="19">
        <f ca="1">MAX(-Inputs!$B$8,MIN(Inputs!$B$8,P114*Inputs!$B$31))</f>
        <v>2.2610046468097313</v>
      </c>
      <c r="R114" s="19">
        <f ca="1">MAX(-Inputs!$B$8,MIN(Inputs!$B$8,Inputs!$B$32*(40*(C114-AVERAGE(OFFSET(Prices!C114,-(Inputs!$B$25-1),0,Inputs!$B$25,1)))/(MAX(OFFSET(Prices!C114,-(Inputs!$B$25-1),0,Inputs!$B$25,1))-MIN(OFFSET(Prices!C114,-(Inputs!$B$25-1),0,Inputs!$B$25,1))))))</f>
        <v>6.7502084211513482</v>
      </c>
    </row>
    <row r="115" spans="1:18" x14ac:dyDescent="0.25">
      <c r="A115" s="16">
        <f>Prices!A115</f>
        <v>112</v>
      </c>
      <c r="B115" s="17">
        <f>Prices!B115</f>
        <v>46027</v>
      </c>
      <c r="C115" s="18">
        <f>Prices!C115</f>
        <v>2661.65</v>
      </c>
      <c r="D115" s="19">
        <f>(2/(Inputs!$B$21+1))*C115+(1-(2/(Inputs!$B$21+1)))*D114</f>
        <v>2574.7137780177904</v>
      </c>
      <c r="E115" s="19">
        <f>(2/(Inputs!$B$22+1))*C115+(1-(2/(Inputs!$B$22+1)))*E114</f>
        <v>2479.05025288656</v>
      </c>
      <c r="F115" s="20">
        <f t="shared" si="3"/>
        <v>95.663525131230472</v>
      </c>
      <c r="G115" s="19">
        <f ca="1">F115/(C115*Prices!G115)</f>
        <v>3.8035681770312477</v>
      </c>
      <c r="H115" s="19">
        <f ca="1">G115*Inputs!$B$29</f>
        <v>7.1126724910484338</v>
      </c>
      <c r="I115" s="19">
        <f ca="1">MAX(-Inputs!$B$8,MIN(Inputs!$B$8,H115))</f>
        <v>7.1126724910484338</v>
      </c>
      <c r="J115" s="19">
        <f>(2/(Inputs!$B$23+1))*C115+(1-(2/(Inputs!$B$23+1)))*J114</f>
        <v>2637.9342231006458</v>
      </c>
      <c r="K115" s="19">
        <f>(2/(Inputs!$B$24+1))*C115+(1-(2/(Inputs!$B$24+1)))*K114</f>
        <v>2574.7137780177904</v>
      </c>
      <c r="L115" s="19">
        <f ca="1">(J115-K115)/(C115*Prices!G115)</f>
        <v>2.5136359205353829</v>
      </c>
      <c r="M115" s="19">
        <f ca="1">MAX(-Inputs!$B$8,MIN(Inputs!$B$8,L115*Inputs!$B$30))</f>
        <v>9.4261347020076851</v>
      </c>
      <c r="N115" s="21">
        <v>8.3079999999999994E-3</v>
      </c>
      <c r="O115" s="12">
        <f>(2/(Inputs!$B$26+1))*N115+(1-(2/(Inputs!$B$26+1)))*O114</f>
        <v>1.1419115485926947E-2</v>
      </c>
      <c r="P115" s="19">
        <f ca="1">O115/(Prices!G115*SQRT(Inputs!$B$6))</f>
        <v>7.5528046798200674E-2</v>
      </c>
      <c r="Q115" s="19">
        <f ca="1">MAX(-Inputs!$B$8,MIN(Inputs!$B$8,P115*Inputs!$B$31))</f>
        <v>2.2658414039460202</v>
      </c>
      <c r="R115" s="19">
        <f ca="1">MAX(-Inputs!$B$8,MIN(Inputs!$B$8,Inputs!$B$32*(40*(C115-AVERAGE(OFFSET(Prices!C115,-(Inputs!$B$25-1),0,Inputs!$B$25,1)))/(MAX(OFFSET(Prices!C115,-(Inputs!$B$25-1),0,Inputs!$B$25,1))-MIN(OFFSET(Prices!C115,-(Inputs!$B$25-1),0,Inputs!$B$25,1))))))</f>
        <v>8.5691724041029609</v>
      </c>
    </row>
    <row r="116" spans="1:18" x14ac:dyDescent="0.25">
      <c r="A116" s="16">
        <f>Prices!A116</f>
        <v>113</v>
      </c>
      <c r="B116" s="17">
        <f>Prices!B116</f>
        <v>46028</v>
      </c>
      <c r="C116" s="18">
        <f>Prices!C116</f>
        <v>2648.34</v>
      </c>
      <c r="D116" s="19">
        <f>(2/(Inputs!$B$21+1))*C116+(1-(2/(Inputs!$B$21+1)))*D115</f>
        <v>2576.9792002326276</v>
      </c>
      <c r="E116" s="19">
        <f>(2/(Inputs!$B$22+1))*C116+(1-(2/(Inputs!$B$22+1)))*E115</f>
        <v>2480.367682825186</v>
      </c>
      <c r="F116" s="20">
        <f t="shared" si="3"/>
        <v>96.611517407441625</v>
      </c>
      <c r="G116" s="19">
        <f ca="1">F116/(C116*Prices!G116)</f>
        <v>3.878111590357773</v>
      </c>
      <c r="H116" s="19">
        <f ca="1">G116*Inputs!$B$29</f>
        <v>7.2520686739690357</v>
      </c>
      <c r="I116" s="19">
        <f ca="1">MAX(-Inputs!$B$8,MIN(Inputs!$B$8,H116))</f>
        <v>7.2520686739690357</v>
      </c>
      <c r="J116" s="19">
        <f>(2/(Inputs!$B$23+1))*C116+(1-(2/(Inputs!$B$23+1)))*J115</f>
        <v>2639.1584321476284</v>
      </c>
      <c r="K116" s="19">
        <f>(2/(Inputs!$B$24+1))*C116+(1-(2/(Inputs!$B$24+1)))*K115</f>
        <v>2576.9792002326276</v>
      </c>
      <c r="L116" s="19">
        <f ca="1">(J116-K116)/(C116*Prices!G116)</f>
        <v>2.4959550003976525</v>
      </c>
      <c r="M116" s="19">
        <f ca="1">MAX(-Inputs!$B$8,MIN(Inputs!$B$8,L116*Inputs!$B$30))</f>
        <v>9.3598312514911974</v>
      </c>
      <c r="N116" s="21">
        <v>8.6870000000000003E-3</v>
      </c>
      <c r="O116" s="12">
        <f>(2/(Inputs!$B$26+1))*N116+(1-(2/(Inputs!$B$26+1)))*O115</f>
        <v>1.135906899173075E-2</v>
      </c>
      <c r="P116" s="19">
        <f ca="1">O116/(Prices!G116*SQRT(Inputs!$B$6))</f>
        <v>7.5472353475026954E-2</v>
      </c>
      <c r="Q116" s="19">
        <f ca="1">MAX(-Inputs!$B$8,MIN(Inputs!$B$8,P116*Inputs!$B$31))</f>
        <v>2.2641706042508085</v>
      </c>
      <c r="R116" s="19">
        <f ca="1">MAX(-Inputs!$B$8,MIN(Inputs!$B$8,Inputs!$B$32*(40*(C116-AVERAGE(OFFSET(Prices!C116,-(Inputs!$B$25-1),0,Inputs!$B$25,1)))/(MAX(OFFSET(Prices!C116,-(Inputs!$B$25-1),0,Inputs!$B$25,1))-MIN(OFFSET(Prices!C116,-(Inputs!$B$25-1),0,Inputs!$B$25,1))))))</f>
        <v>6.7733220926420836</v>
      </c>
    </row>
    <row r="117" spans="1:18" x14ac:dyDescent="0.25">
      <c r="A117" s="16">
        <f>Prices!A117</f>
        <v>114</v>
      </c>
      <c r="B117" s="17">
        <f>Prices!B117</f>
        <v>46029</v>
      </c>
      <c r="C117" s="18">
        <f>Prices!C117</f>
        <v>2633.05</v>
      </c>
      <c r="D117" s="19">
        <f>(2/(Inputs!$B$21+1))*C117+(1-(2/(Inputs!$B$21+1)))*D116</f>
        <v>2578.704455610085</v>
      </c>
      <c r="E117" s="19">
        <f>(2/(Inputs!$B$22+1))*C117+(1-(2/(Inputs!$B$22+1)))*E116</f>
        <v>2481.5558720639006</v>
      </c>
      <c r="F117" s="20">
        <f t="shared" si="3"/>
        <v>97.148583546184454</v>
      </c>
      <c r="G117" s="19">
        <f ca="1">F117/(C117*Prices!G117)</f>
        <v>3.9287510097733325</v>
      </c>
      <c r="H117" s="19">
        <f ca="1">G117*Inputs!$B$29</f>
        <v>7.3467643882761324</v>
      </c>
      <c r="I117" s="19">
        <f ca="1">MAX(-Inputs!$B$8,MIN(Inputs!$B$8,H117))</f>
        <v>7.3467643882761324</v>
      </c>
      <c r="J117" s="19">
        <f>(2/(Inputs!$B$23+1))*C117+(1-(2/(Inputs!$B$23+1)))*J116</f>
        <v>2638.4397930714372</v>
      </c>
      <c r="K117" s="19">
        <f>(2/(Inputs!$B$24+1))*C117+(1-(2/(Inputs!$B$24+1)))*K116</f>
        <v>2578.704455610085</v>
      </c>
      <c r="L117" s="19">
        <f ca="1">(J117-K117)/(C117*Prices!G117)</f>
        <v>2.4157353489242457</v>
      </c>
      <c r="M117" s="19">
        <f ca="1">MAX(-Inputs!$B$8,MIN(Inputs!$B$8,L117*Inputs!$B$30))</f>
        <v>9.0590075584659218</v>
      </c>
      <c r="N117" s="21">
        <v>9.0830000000000008E-3</v>
      </c>
      <c r="O117" s="12">
        <f>(2/(Inputs!$B$26+1))*N117+(1-(2/(Inputs!$B$26+1)))*O116</f>
        <v>1.1309045497406998E-2</v>
      </c>
      <c r="P117" s="19">
        <f ca="1">O117/(Prices!G117*SQRT(Inputs!$B$6))</f>
        <v>7.5263274194049753E-2</v>
      </c>
      <c r="Q117" s="19">
        <f ca="1">MAX(-Inputs!$B$8,MIN(Inputs!$B$8,P117*Inputs!$B$31))</f>
        <v>2.2578982258214926</v>
      </c>
      <c r="R117" s="19">
        <f ca="1">MAX(-Inputs!$B$8,MIN(Inputs!$B$8,Inputs!$B$32*(40*(C117-AVERAGE(OFFSET(Prices!C117,-(Inputs!$B$25-1),0,Inputs!$B$25,1)))/(MAX(OFFSET(Prices!C117,-(Inputs!$B$25-1),0,Inputs!$B$25,1))-MIN(OFFSET(Prices!C117,-(Inputs!$B$25-1),0,Inputs!$B$25,1))))))</f>
        <v>4.8145613788582162</v>
      </c>
    </row>
    <row r="118" spans="1:18" x14ac:dyDescent="0.25">
      <c r="A118" s="16">
        <f>Prices!A118</f>
        <v>115</v>
      </c>
      <c r="B118" s="17">
        <f>Prices!B118</f>
        <v>46030</v>
      </c>
      <c r="C118" s="18">
        <f>Prices!C118</f>
        <v>2634.31</v>
      </c>
      <c r="D118" s="19">
        <f>(2/(Inputs!$B$21+1))*C118+(1-(2/(Inputs!$B$21+1)))*D117</f>
        <v>2580.4153954374669</v>
      </c>
      <c r="E118" s="19">
        <f>(2/(Inputs!$B$22+1))*C118+(1-(2/(Inputs!$B$22+1)))*E117</f>
        <v>2482.7446201412245</v>
      </c>
      <c r="F118" s="20">
        <f t="shared" si="3"/>
        <v>97.670775296242482</v>
      </c>
      <c r="G118" s="19">
        <f ca="1">F118/(C118*Prices!G118)</f>
        <v>3.9548498044033922</v>
      </c>
      <c r="H118" s="19">
        <f ca="1">G118*Inputs!$B$29</f>
        <v>7.3955691342343437</v>
      </c>
      <c r="I118" s="19">
        <f ca="1">MAX(-Inputs!$B$8,MIN(Inputs!$B$8,H118))</f>
        <v>7.3955691342343437</v>
      </c>
      <c r="J118" s="19">
        <f>(2/(Inputs!$B$23+1))*C118+(1-(2/(Inputs!$B$23+1)))*J117</f>
        <v>2637.953935063033</v>
      </c>
      <c r="K118" s="19">
        <f>(2/(Inputs!$B$24+1))*C118+(1-(2/(Inputs!$B$24+1)))*K117</f>
        <v>2580.4153954374669</v>
      </c>
      <c r="L118" s="19">
        <f ca="1">(J118-K118)/(C118*Prices!G118)</f>
        <v>2.3298297929307119</v>
      </c>
      <c r="M118" s="19">
        <f ca="1">MAX(-Inputs!$B$8,MIN(Inputs!$B$8,L118*Inputs!$B$30))</f>
        <v>8.7368617234901702</v>
      </c>
      <c r="N118" s="21">
        <v>9.4929999999999997E-3</v>
      </c>
      <c r="O118" s="12">
        <f>(2/(Inputs!$B$26+1))*N118+(1-(2/(Inputs!$B$26+1)))*O117</f>
        <v>1.1269132409551899E-2</v>
      </c>
      <c r="P118" s="19">
        <f ca="1">O118/(Prices!G118*SQRT(Inputs!$B$6))</f>
        <v>7.5128157707257115E-2</v>
      </c>
      <c r="Q118" s="19">
        <f ca="1">MAX(-Inputs!$B$8,MIN(Inputs!$B$8,P118*Inputs!$B$31))</f>
        <v>2.2538447312177134</v>
      </c>
      <c r="R118" s="19">
        <f ca="1">MAX(-Inputs!$B$8,MIN(Inputs!$B$8,Inputs!$B$32*(40*(C118-AVERAGE(OFFSET(Prices!C118,-(Inputs!$B$25-1),0,Inputs!$B$25,1)))/(MAX(OFFSET(Prices!C118,-(Inputs!$B$25-1),0,Inputs!$B$25,1))-MIN(OFFSET(Prices!C118,-(Inputs!$B$25-1),0,Inputs!$B$25,1))))))</f>
        <v>4.9622265936022236</v>
      </c>
    </row>
    <row r="119" spans="1:18" x14ac:dyDescent="0.25">
      <c r="A119" s="16">
        <f>Prices!A119</f>
        <v>116</v>
      </c>
      <c r="B119" s="17">
        <f>Prices!B119</f>
        <v>46031</v>
      </c>
      <c r="C119" s="18">
        <f>Prices!C119</f>
        <v>2681.06</v>
      </c>
      <c r="D119" s="19">
        <f>(2/(Inputs!$B$21+1))*C119+(1-(2/(Inputs!$B$21+1)))*D118</f>
        <v>2583.5121525009295</v>
      </c>
      <c r="E119" s="19">
        <f>(2/(Inputs!$B$22+1))*C119+(1-(2/(Inputs!$B$22+1)))*E118</f>
        <v>2484.2879304903199</v>
      </c>
      <c r="F119" s="20">
        <f t="shared" si="3"/>
        <v>99.224222010609537</v>
      </c>
      <c r="G119" s="19">
        <f ca="1">F119/(C119*Prices!G119)</f>
        <v>3.8256694109394003</v>
      </c>
      <c r="H119" s="19">
        <f ca="1">G119*Inputs!$B$29</f>
        <v>7.1540017984566786</v>
      </c>
      <c r="I119" s="19">
        <f ca="1">MAX(-Inputs!$B$8,MIN(Inputs!$B$8,H119))</f>
        <v>7.1540017984566786</v>
      </c>
      <c r="J119" s="19">
        <f>(2/(Inputs!$B$23+1))*C119+(1-(2/(Inputs!$B$23+1)))*J118</f>
        <v>2643.0252368203232</v>
      </c>
      <c r="K119" s="19">
        <f>(2/(Inputs!$B$24+1))*C119+(1-(2/(Inputs!$B$24+1)))*K118</f>
        <v>2583.5121525009295</v>
      </c>
      <c r="L119" s="19">
        <f ca="1">(J119-K119)/(C119*Prices!G119)</f>
        <v>2.2945746675344827</v>
      </c>
      <c r="M119" s="19">
        <f ca="1">MAX(-Inputs!$B$8,MIN(Inputs!$B$8,L119*Inputs!$B$30))</f>
        <v>8.6046550032543099</v>
      </c>
      <c r="N119" s="21">
        <v>9.9170000000000005E-3</v>
      </c>
      <c r="O119" s="12">
        <f>(2/(Inputs!$B$26+1))*N119+(1-(2/(Inputs!$B$26+1)))*O118</f>
        <v>1.123941521373757E-2</v>
      </c>
      <c r="P119" s="19">
        <f ca="1">O119/(Prices!G119*SQRT(Inputs!$B$6))</f>
        <v>7.2613940020604922E-2</v>
      </c>
      <c r="Q119" s="19">
        <f ca="1">MAX(-Inputs!$B$8,MIN(Inputs!$B$8,P119*Inputs!$B$31))</f>
        <v>2.1784182006181476</v>
      </c>
      <c r="R119" s="19">
        <f ca="1">MAX(-Inputs!$B$8,MIN(Inputs!$B$8,Inputs!$B$32*(40*(C119-AVERAGE(OFFSET(Prices!C119,-(Inputs!$B$25-1),0,Inputs!$B$25,1)))/(MAX(OFFSET(Prices!C119,-(Inputs!$B$25-1),0,Inputs!$B$25,1))-MIN(OFFSET(Prices!C119,-(Inputs!$B$25-1),0,Inputs!$B$25,1))))))</f>
        <v>10.866900847735543</v>
      </c>
    </row>
    <row r="120" spans="1:18" x14ac:dyDescent="0.25">
      <c r="A120" s="16">
        <f>Prices!A120</f>
        <v>117</v>
      </c>
      <c r="B120" s="17">
        <f>Prices!B120</f>
        <v>46034</v>
      </c>
      <c r="C120" s="18">
        <f>Prices!C120</f>
        <v>2654.11</v>
      </c>
      <c r="D120" s="19">
        <f>(2/(Inputs!$B$21+1))*C120+(1-(2/(Inputs!$B$21+1)))*D119</f>
        <v>2585.6843939624391</v>
      </c>
      <c r="E120" s="19">
        <f>(2/(Inputs!$B$22+1))*C120+(1-(2/(Inputs!$B$22+1)))*E119</f>
        <v>2485.6095030156876</v>
      </c>
      <c r="F120" s="20">
        <f t="shared" si="3"/>
        <v>100.07489094675157</v>
      </c>
      <c r="G120" s="19">
        <f ca="1">F120/(C120*Prices!G120)</f>
        <v>3.8789325616814221</v>
      </c>
      <c r="H120" s="19">
        <f ca="1">G120*Inputs!$B$29</f>
        <v>7.2536038903442597</v>
      </c>
      <c r="I120" s="19">
        <f ca="1">MAX(-Inputs!$B$8,MIN(Inputs!$B$8,H120))</f>
        <v>7.2536038903442597</v>
      </c>
      <c r="J120" s="19">
        <f>(2/(Inputs!$B$23+1))*C120+(1-(2/(Inputs!$B$23+1)))*J119</f>
        <v>2644.3293266061673</v>
      </c>
      <c r="K120" s="19">
        <f>(2/(Inputs!$B$24+1))*C120+(1-(2/(Inputs!$B$24+1)))*K119</f>
        <v>2585.6843939624391</v>
      </c>
      <c r="L120" s="19">
        <f ca="1">(J120-K120)/(C120*Prices!G120)</f>
        <v>2.2730950456934291</v>
      </c>
      <c r="M120" s="19">
        <f ca="1">MAX(-Inputs!$B$8,MIN(Inputs!$B$8,L120*Inputs!$B$30))</f>
        <v>8.5241064213503588</v>
      </c>
      <c r="N120" s="21">
        <v>1.0354E-2</v>
      </c>
      <c r="O120" s="12">
        <f>(2/(Inputs!$B$26+1))*N120+(1-(2/(Inputs!$B$26+1)))*O119</f>
        <v>1.1219955538710372E-2</v>
      </c>
      <c r="P120" s="19">
        <f ca="1">O120/(Prices!G120*SQRT(Inputs!$B$6))</f>
        <v>7.2140172288470944E-2</v>
      </c>
      <c r="Q120" s="19">
        <f ca="1">MAX(-Inputs!$B$8,MIN(Inputs!$B$8,P120*Inputs!$B$31))</f>
        <v>2.1642051686541284</v>
      </c>
      <c r="R120" s="19">
        <f ca="1">MAX(-Inputs!$B$8,MIN(Inputs!$B$8,Inputs!$B$32*(40*(C120-AVERAGE(OFFSET(Prices!C120,-(Inputs!$B$25-1),0,Inputs!$B$25,1)))/(MAX(OFFSET(Prices!C120,-(Inputs!$B$25-1),0,Inputs!$B$25,1))-MIN(OFFSET(Prices!C120,-(Inputs!$B$25-1),0,Inputs!$B$25,1))))))</f>
        <v>7.1167486300408118</v>
      </c>
    </row>
    <row r="121" spans="1:18" x14ac:dyDescent="0.25">
      <c r="A121" s="16">
        <f>Prices!A121</f>
        <v>118</v>
      </c>
      <c r="B121" s="17">
        <f>Prices!B121</f>
        <v>46035</v>
      </c>
      <c r="C121" s="18">
        <f>Prices!C121</f>
        <v>2644.09</v>
      </c>
      <c r="D121" s="19">
        <f>(2/(Inputs!$B$21+1))*C121+(1-(2/(Inputs!$B$21+1)))*D120</f>
        <v>2587.4814895328259</v>
      </c>
      <c r="E121" s="19">
        <f>(2/(Inputs!$B$22+1))*C121+(1-(2/(Inputs!$B$22+1)))*E120</f>
        <v>2486.8428142762659</v>
      </c>
      <c r="F121" s="20">
        <f t="shared" si="3"/>
        <v>100.63867525655996</v>
      </c>
      <c r="G121" s="19">
        <f ca="1">F121/(C121*Prices!G121)</f>
        <v>3.9189188833658433</v>
      </c>
      <c r="H121" s="19">
        <f ca="1">G121*Inputs!$B$29</f>
        <v>7.3283783118941273</v>
      </c>
      <c r="I121" s="19">
        <f ca="1">MAX(-Inputs!$B$8,MIN(Inputs!$B$8,H121))</f>
        <v>7.3283783118941273</v>
      </c>
      <c r="J121" s="19">
        <f>(2/(Inputs!$B$23+1))*C121+(1-(2/(Inputs!$B$23+1)))*J120</f>
        <v>2644.3011705348536</v>
      </c>
      <c r="K121" s="19">
        <f>(2/(Inputs!$B$24+1))*C121+(1-(2/(Inputs!$B$24+1)))*K120</f>
        <v>2587.4814895328259</v>
      </c>
      <c r="L121" s="19">
        <f ca="1">(J121-K121)/(C121*Prices!G121)</f>
        <v>2.2125859691416716</v>
      </c>
      <c r="M121" s="19">
        <f ca="1">MAX(-Inputs!$B$8,MIN(Inputs!$B$8,L121*Inputs!$B$30))</f>
        <v>8.2971973842812687</v>
      </c>
      <c r="N121" s="21">
        <v>1.0802000000000001E-2</v>
      </c>
      <c r="O121" s="12">
        <f>(2/(Inputs!$B$26+1))*N121+(1-(2/(Inputs!$B$26+1)))*O120</f>
        <v>1.1210769702694759E-2</v>
      </c>
      <c r="P121" s="19">
        <f ca="1">O121/(Prices!G121*SQRT(Inputs!$B$6))</f>
        <v>7.2142808458837068E-2</v>
      </c>
      <c r="Q121" s="19">
        <f ca="1">MAX(-Inputs!$B$8,MIN(Inputs!$B$8,P121*Inputs!$B$31))</f>
        <v>2.1642842537651119</v>
      </c>
      <c r="R121" s="19">
        <f ca="1">MAX(-Inputs!$B$8,MIN(Inputs!$B$8,Inputs!$B$32*(40*(C121-AVERAGE(OFFSET(Prices!C121,-(Inputs!$B$25-1),0,Inputs!$B$25,1)))/(MAX(OFFSET(Prices!C121,-(Inputs!$B$25-1),0,Inputs!$B$25,1))-MIN(OFFSET(Prices!C121,-(Inputs!$B$25-1),0,Inputs!$B$25,1))))))</f>
        <v>5.6937005292492575</v>
      </c>
    </row>
    <row r="122" spans="1:18" x14ac:dyDescent="0.25">
      <c r="A122" s="16">
        <f>Prices!A122</f>
        <v>119</v>
      </c>
      <c r="B122" s="17">
        <f>Prices!B122</f>
        <v>46036</v>
      </c>
      <c r="C122" s="18">
        <f>Prices!C122</f>
        <v>2681.42</v>
      </c>
      <c r="D122" s="19">
        <f>(2/(Inputs!$B$21+1))*C122+(1-(2/(Inputs!$B$21+1)))*D121</f>
        <v>2590.3719052395081</v>
      </c>
      <c r="E122" s="19">
        <f>(2/(Inputs!$B$22+1))*C122+(1-(2/(Inputs!$B$22+1)))*E121</f>
        <v>2488.3570336204198</v>
      </c>
      <c r="F122" s="20">
        <f t="shared" si="3"/>
        <v>102.01487161908835</v>
      </c>
      <c r="G122" s="19">
        <f ca="1">F122/(C122*Prices!G122)</f>
        <v>4.0223737930337311</v>
      </c>
      <c r="H122" s="19">
        <f ca="1">G122*Inputs!$B$29</f>
        <v>7.5218389929730778</v>
      </c>
      <c r="I122" s="19">
        <f ca="1">MAX(-Inputs!$B$8,MIN(Inputs!$B$8,H122))</f>
        <v>7.5218389929730778</v>
      </c>
      <c r="J122" s="19">
        <f>(2/(Inputs!$B$23+1))*C122+(1-(2/(Inputs!$B$23+1)))*J121</f>
        <v>2648.6680916484002</v>
      </c>
      <c r="K122" s="19">
        <f>(2/(Inputs!$B$24+1))*C122+(1-(2/(Inputs!$B$24+1)))*K121</f>
        <v>2590.3719052395081</v>
      </c>
      <c r="L122" s="19">
        <f ca="1">(J122-K122)/(C122*Prices!G122)</f>
        <v>2.2985771458938977</v>
      </c>
      <c r="M122" s="19">
        <f ca="1">MAX(-Inputs!$B$8,MIN(Inputs!$B$8,L122*Inputs!$B$30))</f>
        <v>8.6196642971021156</v>
      </c>
      <c r="N122" s="21">
        <v>1.1261E-2</v>
      </c>
      <c r="O122" s="12">
        <f>(2/(Inputs!$B$26+1))*N122+(1-(2/(Inputs!$B$26+1)))*O121</f>
        <v>1.1211873665272895E-2</v>
      </c>
      <c r="P122" s="19">
        <f ca="1">O122/(Prices!G122*SQRT(Inputs!$B$6))</f>
        <v>7.4086997784343314E-2</v>
      </c>
      <c r="Q122" s="19">
        <f ca="1">MAX(-Inputs!$B$8,MIN(Inputs!$B$8,P122*Inputs!$B$31))</f>
        <v>2.2226099335302996</v>
      </c>
      <c r="R122" s="19">
        <f ca="1">MAX(-Inputs!$B$8,MIN(Inputs!$B$8,Inputs!$B$32*(40*(C122-AVERAGE(OFFSET(Prices!C122,-(Inputs!$B$25-1),0,Inputs!$B$25,1)))/(MAX(OFFSET(Prices!C122,-(Inputs!$B$25-1),0,Inputs!$B$25,1))-MIN(OFFSET(Prices!C122,-(Inputs!$B$25-1),0,Inputs!$B$25,1))))))</f>
        <v>10.302435483115602</v>
      </c>
    </row>
    <row r="123" spans="1:18" x14ac:dyDescent="0.25">
      <c r="A123" s="16">
        <f>Prices!A123</f>
        <v>120</v>
      </c>
      <c r="B123" s="17">
        <f>Prices!B123</f>
        <v>46037</v>
      </c>
      <c r="C123" s="18">
        <f>Prices!C123</f>
        <v>2670.79</v>
      </c>
      <c r="D123" s="19">
        <f>(2/(Inputs!$B$21+1))*C123+(1-(2/(Inputs!$B$21+1)))*D122</f>
        <v>2592.8463081552154</v>
      </c>
      <c r="E123" s="19">
        <f>(2/(Inputs!$B$22+1))*C123+(1-(2/(Inputs!$B$22+1)))*E122</f>
        <v>2489.7767454210389</v>
      </c>
      <c r="F123" s="20">
        <f t="shared" si="3"/>
        <v>103.06956273417654</v>
      </c>
      <c r="G123" s="19">
        <f ca="1">F123/(C123*Prices!G123)</f>
        <v>4.1541192661220698</v>
      </c>
      <c r="H123" s="19">
        <f ca="1">G123*Inputs!$B$29</f>
        <v>7.768203027648271</v>
      </c>
      <c r="I123" s="19">
        <f ca="1">MAX(-Inputs!$B$8,MIN(Inputs!$B$8,H123))</f>
        <v>7.768203027648271</v>
      </c>
      <c r="J123" s="19">
        <f>(2/(Inputs!$B$23+1))*C123+(1-(2/(Inputs!$B$23+1)))*J122</f>
        <v>2651.2706691015292</v>
      </c>
      <c r="K123" s="19">
        <f>(2/(Inputs!$B$24+1))*C123+(1-(2/(Inputs!$B$24+1)))*K122</f>
        <v>2592.8463081552154</v>
      </c>
      <c r="L123" s="19">
        <f ca="1">(J123-K123)/(C123*Prices!G123)</f>
        <v>2.3547374897077646</v>
      </c>
      <c r="M123" s="19">
        <f ca="1">MAX(-Inputs!$B$8,MIN(Inputs!$B$8,L123*Inputs!$B$30))</f>
        <v>8.8302655864041171</v>
      </c>
      <c r="N123" s="21">
        <v>1.1729E-2</v>
      </c>
      <c r="O123" s="12">
        <f>(2/(Inputs!$B$26+1))*N123+(1-(2/(Inputs!$B$26+1)))*O122</f>
        <v>1.122323907922294E-2</v>
      </c>
      <c r="P123" s="19">
        <f ca="1">O123/(Prices!G123*SQRT(Inputs!$B$6))</f>
        <v>7.5506875741308987E-2</v>
      </c>
      <c r="Q123" s="19">
        <f ca="1">MAX(-Inputs!$B$8,MIN(Inputs!$B$8,P123*Inputs!$B$31))</f>
        <v>2.2652062722392694</v>
      </c>
      <c r="R123" s="19">
        <f ca="1">MAX(-Inputs!$B$8,MIN(Inputs!$B$8,Inputs!$B$32*(40*(C123-AVERAGE(OFFSET(Prices!C123,-(Inputs!$B$25-1),0,Inputs!$B$25,1)))/(MAX(OFFSET(Prices!C123,-(Inputs!$B$25-1),0,Inputs!$B$25,1))-MIN(OFFSET(Prices!C123,-(Inputs!$B$25-1),0,Inputs!$B$25,1))))))</f>
        <v>8.643693503817234</v>
      </c>
    </row>
    <row r="124" spans="1:18" x14ac:dyDescent="0.25">
      <c r="A124" s="16">
        <f>Prices!A124</f>
        <v>121</v>
      </c>
      <c r="B124" s="17">
        <f>Prices!B124</f>
        <v>46038</v>
      </c>
      <c r="C124" s="18">
        <f>Prices!C124</f>
        <v>2662.4</v>
      </c>
      <c r="D124" s="19">
        <f>(2/(Inputs!$B$21+1))*C124+(1-(2/(Inputs!$B$21+1)))*D123</f>
        <v>2594.9864217504396</v>
      </c>
      <c r="E124" s="19">
        <f>(2/(Inputs!$B$22+1))*C124+(1-(2/(Inputs!$B$22+1)))*E123</f>
        <v>2491.1201170520035</v>
      </c>
      <c r="F124" s="20">
        <f t="shared" si="3"/>
        <v>103.86630469843612</v>
      </c>
      <c r="G124" s="19">
        <f ca="1">F124/(C124*Prices!G124)</f>
        <v>4.2263939890983666</v>
      </c>
      <c r="H124" s="19">
        <f ca="1">G124*Inputs!$B$29</f>
        <v>7.9033567596139456</v>
      </c>
      <c r="I124" s="19">
        <f ca="1">MAX(-Inputs!$B$8,MIN(Inputs!$B$8,H124))</f>
        <v>7.9033567596139456</v>
      </c>
      <c r="J124" s="19">
        <f>(2/(Inputs!$B$23+1))*C124+(1-(2/(Inputs!$B$23+1)))*J123</f>
        <v>2652.5800021484083</v>
      </c>
      <c r="K124" s="19">
        <f>(2/(Inputs!$B$24+1))*C124+(1-(2/(Inputs!$B$24+1)))*K123</f>
        <v>2594.9864217504396</v>
      </c>
      <c r="L124" s="19">
        <f ca="1">(J124-K124)/(C124*Prices!G124)</f>
        <v>2.3435238474243461</v>
      </c>
      <c r="M124" s="19">
        <f ca="1">MAX(-Inputs!$B$8,MIN(Inputs!$B$8,L124*Inputs!$B$30))</f>
        <v>8.7882144278412984</v>
      </c>
      <c r="N124" s="21">
        <v>1.2206E-2</v>
      </c>
      <c r="O124" s="12">
        <f>(2/(Inputs!$B$26+1))*N124+(1-(2/(Inputs!$B$26+1)))*O123</f>
        <v>1.1244838220338919E-2</v>
      </c>
      <c r="P124" s="19">
        <f ca="1">O124/(Prices!G124*SQRT(Inputs!$B$6))</f>
        <v>7.6138064559573962E-2</v>
      </c>
      <c r="Q124" s="19">
        <f ca="1">MAX(-Inputs!$B$8,MIN(Inputs!$B$8,P124*Inputs!$B$31))</f>
        <v>2.2841419367872189</v>
      </c>
      <c r="R124" s="19">
        <f ca="1">MAX(-Inputs!$B$8,MIN(Inputs!$B$8,Inputs!$B$32*(40*(C124-AVERAGE(OFFSET(Prices!C124,-(Inputs!$B$25-1),0,Inputs!$B$25,1)))/(MAX(OFFSET(Prices!C124,-(Inputs!$B$25-1),0,Inputs!$B$25,1))-MIN(OFFSET(Prices!C124,-(Inputs!$B$25-1),0,Inputs!$B$25,1))))))</f>
        <v>7.3630649618285773</v>
      </c>
    </row>
    <row r="125" spans="1:18" x14ac:dyDescent="0.25">
      <c r="A125" s="16">
        <f>Prices!A125</f>
        <v>122</v>
      </c>
      <c r="B125" s="17">
        <f>Prices!B125</f>
        <v>46041</v>
      </c>
      <c r="C125" s="18">
        <f>Prices!C125</f>
        <v>2666.33</v>
      </c>
      <c r="D125" s="19">
        <f>(2/(Inputs!$B$21+1))*C125+(1-(2/(Inputs!$B$21+1)))*D124</f>
        <v>2597.1816087735033</v>
      </c>
      <c r="E125" s="19">
        <f>(2/(Inputs!$B$22+1))*C125+(1-(2/(Inputs!$B$22+1)))*E124</f>
        <v>2492.4836180866182</v>
      </c>
      <c r="F125" s="20">
        <f t="shared" si="3"/>
        <v>104.69799068688508</v>
      </c>
      <c r="G125" s="19">
        <f ca="1">F125/(C125*Prices!G125)</f>
        <v>4.2599228715572783</v>
      </c>
      <c r="H125" s="19">
        <f ca="1">G125*Inputs!$B$29</f>
        <v>7.9660557698121108</v>
      </c>
      <c r="I125" s="19">
        <f ca="1">MAX(-Inputs!$B$8,MIN(Inputs!$B$8,H125))</f>
        <v>7.9660557698121108</v>
      </c>
      <c r="J125" s="19">
        <f>(2/(Inputs!$B$23+1))*C125+(1-(2/(Inputs!$B$23+1)))*J124</f>
        <v>2654.1976489544777</v>
      </c>
      <c r="K125" s="19">
        <f>(2/(Inputs!$B$24+1))*C125+(1-(2/(Inputs!$B$24+1)))*K124</f>
        <v>2597.1816087735033</v>
      </c>
      <c r="L125" s="19">
        <f ca="1">(J125-K125)/(C125*Prices!G125)</f>
        <v>2.3198528645973946</v>
      </c>
      <c r="M125" s="19">
        <f ca="1">MAX(-Inputs!$B$8,MIN(Inputs!$B$8,L125*Inputs!$B$30))</f>
        <v>8.6994482422402299</v>
      </c>
      <c r="N125" s="21">
        <v>1.2689000000000001E-2</v>
      </c>
      <c r="O125" s="12">
        <f>(2/(Inputs!$B$26+1))*N125+(1-(2/(Inputs!$B$26+1)))*O124</f>
        <v>1.1276578039672129E-2</v>
      </c>
      <c r="P125" s="19">
        <f ca="1">O125/(Prices!G125*SQRT(Inputs!$B$6))</f>
        <v>7.6460060142519298E-2</v>
      </c>
      <c r="Q125" s="19">
        <f ca="1">MAX(-Inputs!$B$8,MIN(Inputs!$B$8,P125*Inputs!$B$31))</f>
        <v>2.2938018042755788</v>
      </c>
      <c r="R125" s="19">
        <f ca="1">MAX(-Inputs!$B$8,MIN(Inputs!$B$8,Inputs!$B$32*(40*(C125-AVERAGE(OFFSET(Prices!C125,-(Inputs!$B$25-1),0,Inputs!$B$25,1)))/(MAX(OFFSET(Prices!C125,-(Inputs!$B$25-1),0,Inputs!$B$25,1))-MIN(OFFSET(Prices!C125,-(Inputs!$B$25-1),0,Inputs!$B$25,1))))))</f>
        <v>7.6165284998360985</v>
      </c>
    </row>
    <row r="126" spans="1:18" x14ac:dyDescent="0.25">
      <c r="A126" s="16">
        <f>Prices!A126</f>
        <v>123</v>
      </c>
      <c r="B126" s="17">
        <f>Prices!B126</f>
        <v>46042</v>
      </c>
      <c r="C126" s="18">
        <f>Prices!C126</f>
        <v>2634.57</v>
      </c>
      <c r="D126" s="19">
        <f>(2/(Inputs!$B$21+1))*C126+(1-(2/(Inputs!$B$21+1)))*D125</f>
        <v>2598.3320208112414</v>
      </c>
      <c r="E126" s="19">
        <f>(2/(Inputs!$B$22+1))*C126+(1-(2/(Inputs!$B$22+1)))*E125</f>
        <v>2493.589348685166</v>
      </c>
      <c r="F126" s="20">
        <f t="shared" si="3"/>
        <v>104.74267212607538</v>
      </c>
      <c r="G126" s="19">
        <f ca="1">F126/(C126*Prices!G126)</f>
        <v>4.2598398480154573</v>
      </c>
      <c r="H126" s="19">
        <f ca="1">G126*Inputs!$B$29</f>
        <v>7.9659005157889053</v>
      </c>
      <c r="I126" s="19">
        <f ca="1">MAX(-Inputs!$B$8,MIN(Inputs!$B$8,H126))</f>
        <v>7.9659005157889053</v>
      </c>
      <c r="J126" s="19">
        <f>(2/(Inputs!$B$23+1))*C126+(1-(2/(Inputs!$B$23+1)))*J125</f>
        <v>2651.8885137833627</v>
      </c>
      <c r="K126" s="19">
        <f>(2/(Inputs!$B$24+1))*C126+(1-(2/(Inputs!$B$24+1)))*K125</f>
        <v>2598.3320208112414</v>
      </c>
      <c r="L126" s="19">
        <f ca="1">(J126-K126)/(C126*Prices!G126)</f>
        <v>2.1781197505444094</v>
      </c>
      <c r="M126" s="19">
        <f ca="1">MAX(-Inputs!$B$8,MIN(Inputs!$B$8,L126*Inputs!$B$30))</f>
        <v>8.1679490645415349</v>
      </c>
      <c r="N126" s="21">
        <v>1.3178E-2</v>
      </c>
      <c r="O126" s="12">
        <f>(2/(Inputs!$B$26+1))*N126+(1-(2/(Inputs!$B$26+1)))*O125</f>
        <v>1.1318367533305708E-2</v>
      </c>
      <c r="P126" s="19">
        <f ca="1">O126/(Prices!G126*SQRT(Inputs!$B$6))</f>
        <v>7.5795456771003938E-2</v>
      </c>
      <c r="Q126" s="19">
        <f ca="1">MAX(-Inputs!$B$8,MIN(Inputs!$B$8,P126*Inputs!$B$31))</f>
        <v>2.2738637031301181</v>
      </c>
      <c r="R126" s="19">
        <f ca="1">MAX(-Inputs!$B$8,MIN(Inputs!$B$8,Inputs!$B$32*(40*(C126-AVERAGE(OFFSET(Prices!C126,-(Inputs!$B$25-1),0,Inputs!$B$25,1)))/(MAX(OFFSET(Prices!C126,-(Inputs!$B$25-1),0,Inputs!$B$25,1))-MIN(OFFSET(Prices!C126,-(Inputs!$B$25-1),0,Inputs!$B$25,1))))))</f>
        <v>3.262011147018971</v>
      </c>
    </row>
    <row r="127" spans="1:18" x14ac:dyDescent="0.25">
      <c r="A127" s="16">
        <f>Prices!A127</f>
        <v>124</v>
      </c>
      <c r="B127" s="17">
        <f>Prices!B127</f>
        <v>46043</v>
      </c>
      <c r="C127" s="18">
        <f>Prices!C127</f>
        <v>2641.68</v>
      </c>
      <c r="D127" s="19">
        <f>(2/(Inputs!$B$21+1))*C127+(1-(2/(Inputs!$B$21+1)))*D126</f>
        <v>2599.6658047862802</v>
      </c>
      <c r="E127" s="19">
        <f>(2/(Inputs!$B$22+1))*C127+(1-(2/(Inputs!$B$22+1)))*E126</f>
        <v>2494.7418051156319</v>
      </c>
      <c r="F127" s="20">
        <f t="shared" si="3"/>
        <v>104.9239996706483</v>
      </c>
      <c r="G127" s="19">
        <f ca="1">F127/(C127*Prices!G127)</f>
        <v>4.2625679561035872</v>
      </c>
      <c r="H127" s="19">
        <f ca="1">G127*Inputs!$B$29</f>
        <v>7.9710020779137087</v>
      </c>
      <c r="I127" s="19">
        <f ca="1">MAX(-Inputs!$B$8,MIN(Inputs!$B$8,H127))</f>
        <v>7.9710020779137087</v>
      </c>
      <c r="J127" s="19">
        <f>(2/(Inputs!$B$23+1))*C127+(1-(2/(Inputs!$B$23+1)))*J126</f>
        <v>2650.6875121617904</v>
      </c>
      <c r="K127" s="19">
        <f>(2/(Inputs!$B$24+1))*C127+(1-(2/(Inputs!$B$24+1)))*K126</f>
        <v>2599.6658047862802</v>
      </c>
      <c r="L127" s="19">
        <f ca="1">(J127-K127)/(C127*Prices!G127)</f>
        <v>2.0727716786170451</v>
      </c>
      <c r="M127" s="19">
        <f ca="1">MAX(-Inputs!$B$8,MIN(Inputs!$B$8,L127*Inputs!$B$30))</f>
        <v>7.7728937948139194</v>
      </c>
      <c r="N127" s="21">
        <v>1.3672E-2</v>
      </c>
      <c r="O127" s="12">
        <f>(2/(Inputs!$B$26+1))*N127+(1-(2/(Inputs!$B$26+1)))*O126</f>
        <v>1.1370095719386901E-2</v>
      </c>
      <c r="P127" s="19">
        <f ca="1">O127/(Prices!G127*SQRT(Inputs!$B$6))</f>
        <v>7.626421858179204E-2</v>
      </c>
      <c r="Q127" s="19">
        <f ca="1">MAX(-Inputs!$B$8,MIN(Inputs!$B$8,P127*Inputs!$B$31))</f>
        <v>2.2879265574537611</v>
      </c>
      <c r="R127" s="19">
        <f ca="1">MAX(-Inputs!$B$8,MIN(Inputs!$B$8,Inputs!$B$32*(40*(C127-AVERAGE(OFFSET(Prices!C127,-(Inputs!$B$25-1),0,Inputs!$B$25,1)))/(MAX(OFFSET(Prices!C127,-(Inputs!$B$25-1),0,Inputs!$B$25,1))-MIN(OFFSET(Prices!C127,-(Inputs!$B$25-1),0,Inputs!$B$25,1))))))</f>
        <v>3.8193293054189801</v>
      </c>
    </row>
    <row r="128" spans="1:18" x14ac:dyDescent="0.25">
      <c r="A128" s="16">
        <f>Prices!A128</f>
        <v>125</v>
      </c>
      <c r="B128" s="17">
        <f>Prices!B128</f>
        <v>46044</v>
      </c>
      <c r="C128" s="18">
        <f>Prices!C128</f>
        <v>2611.0500000000002</v>
      </c>
      <c r="D128" s="19">
        <f>(2/(Inputs!$B$21+1))*C128+(1-(2/(Inputs!$B$21+1)))*D127</f>
        <v>2600.0160877159333</v>
      </c>
      <c r="E128" s="19">
        <f>(2/(Inputs!$B$22+1))*C128+(1-(2/(Inputs!$B$22+1)))*E127</f>
        <v>2495.6469272548102</v>
      </c>
      <c r="F128" s="20">
        <f t="shared" si="3"/>
        <v>104.3691604611231</v>
      </c>
      <c r="G128" s="19">
        <f ca="1">F128/(C128*Prices!G128)</f>
        <v>4.2054340274952455</v>
      </c>
      <c r="H128" s="19">
        <f ca="1">G128*Inputs!$B$29</f>
        <v>7.8641616314161098</v>
      </c>
      <c r="I128" s="19">
        <f ca="1">MAX(-Inputs!$B$8,MIN(Inputs!$B$8,H128))</f>
        <v>7.8641616314161098</v>
      </c>
      <c r="J128" s="19">
        <f>(2/(Inputs!$B$23+1))*C128+(1-(2/(Inputs!$B$23+1)))*J127</f>
        <v>2646.0242754368737</v>
      </c>
      <c r="K128" s="19">
        <f>(2/(Inputs!$B$24+1))*C128+(1-(2/(Inputs!$B$24+1)))*K127</f>
        <v>2600.0160877159333</v>
      </c>
      <c r="L128" s="19">
        <f ca="1">(J128-K128)/(C128*Prices!G128)</f>
        <v>1.8538464555064009</v>
      </c>
      <c r="M128" s="19">
        <f ca="1">MAX(-Inputs!$B$8,MIN(Inputs!$B$8,L128*Inputs!$B$30))</f>
        <v>6.9519242081490038</v>
      </c>
      <c r="N128" s="21">
        <v>1.4168999999999999E-2</v>
      </c>
      <c r="O128" s="12">
        <f>(2/(Inputs!$B$26+1))*N128+(1-(2/(Inputs!$B$26+1)))*O127</f>
        <v>1.1431610099180594E-2</v>
      </c>
      <c r="P128" s="19">
        <f ca="1">O128/(Prices!G128*SQRT(Inputs!$B$6))</f>
        <v>7.516942765528456E-2</v>
      </c>
      <c r="Q128" s="19">
        <f ca="1">MAX(-Inputs!$B$8,MIN(Inputs!$B$8,P128*Inputs!$B$31))</f>
        <v>2.2550828296585368</v>
      </c>
      <c r="R128" s="19">
        <f ca="1">MAX(-Inputs!$B$8,MIN(Inputs!$B$8,Inputs!$B$32*(40*(C128-AVERAGE(OFFSET(Prices!C128,-(Inputs!$B$25-1),0,Inputs!$B$25,1)))/(MAX(OFFSET(Prices!C128,-(Inputs!$B$25-1),0,Inputs!$B$25,1))-MIN(OFFSET(Prices!C128,-(Inputs!$B$25-1),0,Inputs!$B$25,1))))))</f>
        <v>-0.56853074797428615</v>
      </c>
    </row>
    <row r="129" spans="1:18" x14ac:dyDescent="0.25">
      <c r="A129" s="16">
        <f>Prices!A129</f>
        <v>126</v>
      </c>
      <c r="B129" s="17">
        <f>Prices!B129</f>
        <v>46045</v>
      </c>
      <c r="C129" s="18">
        <f>Prices!C129</f>
        <v>2635.47</v>
      </c>
      <c r="D129" s="19">
        <f>(2/(Inputs!$B$21+1))*C129+(1-(2/(Inputs!$B$21+1)))*D128</f>
        <v>2601.1069773246736</v>
      </c>
      <c r="E129" s="19">
        <f>(2/(Inputs!$B$22+1))*C129+(1-(2/(Inputs!$B$22+1)))*E128</f>
        <v>2496.7350445524385</v>
      </c>
      <c r="F129" s="20">
        <f t="shared" si="3"/>
        <v>104.37193277223514</v>
      </c>
      <c r="G129" s="19">
        <f ca="1">F129/(C129*Prices!G129)</f>
        <v>4.1364174617834566</v>
      </c>
      <c r="H129" s="19">
        <f ca="1">G129*Inputs!$B$29</f>
        <v>7.7351006535350644</v>
      </c>
      <c r="I129" s="19">
        <f ca="1">MAX(-Inputs!$B$8,MIN(Inputs!$B$8,H129))</f>
        <v>7.7351006535350644</v>
      </c>
      <c r="J129" s="19">
        <f>(2/(Inputs!$B$23+1))*C129+(1-(2/(Inputs!$B$23+1)))*J128</f>
        <v>2644.782595973712</v>
      </c>
      <c r="K129" s="19">
        <f>(2/(Inputs!$B$24+1))*C129+(1-(2/(Inputs!$B$24+1)))*K128</f>
        <v>2601.1069773246736</v>
      </c>
      <c r="L129" s="19">
        <f ca="1">(J129-K129)/(C129*Prices!G129)</f>
        <v>1.7309307860411354</v>
      </c>
      <c r="M129" s="19">
        <f ca="1">MAX(-Inputs!$B$8,MIN(Inputs!$B$8,L129*Inputs!$B$30))</f>
        <v>6.4909904476542577</v>
      </c>
      <c r="N129" s="21">
        <v>1.4668E-2</v>
      </c>
      <c r="O129" s="12">
        <f>(2/(Inputs!$B$26+1))*N129+(1-(2/(Inputs!$B$26+1)))*O128</f>
        <v>1.1502739547550251E-2</v>
      </c>
      <c r="P129" s="19">
        <f ca="1">O129/(Prices!G129*SQRT(Inputs!$B$6))</f>
        <v>7.5089639197285327E-2</v>
      </c>
      <c r="Q129" s="19">
        <f ca="1">MAX(-Inputs!$B$8,MIN(Inputs!$B$8,P129*Inputs!$B$31))</f>
        <v>2.2526891759185599</v>
      </c>
      <c r="R129" s="19">
        <f ca="1">MAX(-Inputs!$B$8,MIN(Inputs!$B$8,Inputs!$B$32*(40*(C129-AVERAGE(OFFSET(Prices!C129,-(Inputs!$B$25-1),0,Inputs!$B$25,1)))/(MAX(OFFSET(Prices!C129,-(Inputs!$B$25-1),0,Inputs!$B$25,1))-MIN(OFFSET(Prices!C129,-(Inputs!$B$25-1),0,Inputs!$B$25,1))))))</f>
        <v>2.2163027585535198</v>
      </c>
    </row>
    <row r="130" spans="1:18" x14ac:dyDescent="0.25">
      <c r="A130" s="16">
        <f>Prices!A130</f>
        <v>127</v>
      </c>
      <c r="B130" s="17">
        <f>Prices!B130</f>
        <v>46048</v>
      </c>
      <c r="C130" s="18">
        <f>Prices!C130</f>
        <v>2636.87</v>
      </c>
      <c r="D130" s="19">
        <f>(2/(Inputs!$B$21+1))*C130+(1-(2/(Inputs!$B$21+1)))*D129</f>
        <v>2602.2073780223759</v>
      </c>
      <c r="E130" s="19">
        <f>(2/(Inputs!$B$22+1))*C130+(1-(2/(Inputs!$B$22+1)))*E129</f>
        <v>2497.8255889528086</v>
      </c>
      <c r="F130" s="20">
        <f t="shared" si="3"/>
        <v>104.38178906956728</v>
      </c>
      <c r="G130" s="19">
        <f ca="1">F130/(C130*Prices!G130)</f>
        <v>4.1755080577222241</v>
      </c>
      <c r="H130" s="19">
        <f ca="1">G130*Inputs!$B$29</f>
        <v>7.8082000679405592</v>
      </c>
      <c r="I130" s="19">
        <f ca="1">MAX(-Inputs!$B$8,MIN(Inputs!$B$8,H130))</f>
        <v>7.8082000679405592</v>
      </c>
      <c r="J130" s="19">
        <f>(2/(Inputs!$B$23+1))*C130+(1-(2/(Inputs!$B$23+1)))*J129</f>
        <v>2643.8517023297454</v>
      </c>
      <c r="K130" s="19">
        <f>(2/(Inputs!$B$24+1))*C130+(1-(2/(Inputs!$B$24+1)))*K129</f>
        <v>2602.2073780223759</v>
      </c>
      <c r="L130" s="19">
        <f ca="1">(J130-K130)/(C130*Prices!G130)</f>
        <v>1.6658673246913696</v>
      </c>
      <c r="M130" s="19">
        <f ca="1">MAX(-Inputs!$B$8,MIN(Inputs!$B$8,L130*Inputs!$B$30))</f>
        <v>6.2470024675926359</v>
      </c>
      <c r="N130" s="21">
        <v>1.5167999999999999E-2</v>
      </c>
      <c r="O130" s="12">
        <f>(2/(Inputs!$B$26+1))*N130+(1-(2/(Inputs!$B$26+1)))*O129</f>
        <v>1.1583294722329366E-2</v>
      </c>
      <c r="P130" s="19">
        <f ca="1">O130/(Prices!G130*SQRT(Inputs!$B$6))</f>
        <v>7.6363431004156795E-2</v>
      </c>
      <c r="Q130" s="19">
        <f ca="1">MAX(-Inputs!$B$8,MIN(Inputs!$B$8,P130*Inputs!$B$31))</f>
        <v>2.2909029301247039</v>
      </c>
      <c r="R130" s="19">
        <f ca="1">MAX(-Inputs!$B$8,MIN(Inputs!$B$8,Inputs!$B$32*(40*(C130-AVERAGE(OFFSET(Prices!C130,-(Inputs!$B$25-1),0,Inputs!$B$25,1)))/(MAX(OFFSET(Prices!C130,-(Inputs!$B$25-1),0,Inputs!$B$25,1))-MIN(OFFSET(Prices!C130,-(Inputs!$B$25-1),0,Inputs!$B$25,1))))))</f>
        <v>2.1739565386539623</v>
      </c>
    </row>
    <row r="131" spans="1:18" x14ac:dyDescent="0.25">
      <c r="A131" s="16">
        <f>Prices!A131</f>
        <v>128</v>
      </c>
      <c r="B131" s="17">
        <f>Prices!B131</f>
        <v>46049</v>
      </c>
      <c r="C131" s="18">
        <f>Prices!C131</f>
        <v>2698.4</v>
      </c>
      <c r="D131" s="19">
        <f>(2/(Inputs!$B$21+1))*C131+(1-(2/(Inputs!$B$21+1)))*D130</f>
        <v>2605.1671510063024</v>
      </c>
      <c r="E131" s="19">
        <f>(2/(Inputs!$B$22+1))*C131+(1-(2/(Inputs!$B$22+1)))*E130</f>
        <v>2499.3864793111529</v>
      </c>
      <c r="F131" s="20">
        <f t="shared" si="3"/>
        <v>105.78067169514952</v>
      </c>
      <c r="G131" s="19">
        <f ca="1">F131/(C131*Prices!G131)</f>
        <v>3.9245041416234541</v>
      </c>
      <c r="H131" s="19">
        <f ca="1">G131*Inputs!$B$29</f>
        <v>7.3388227448358592</v>
      </c>
      <c r="I131" s="19">
        <f ca="1">MAX(-Inputs!$B$8,MIN(Inputs!$B$8,H131))</f>
        <v>7.3388227448358592</v>
      </c>
      <c r="J131" s="19">
        <f>(2/(Inputs!$B$23+1))*C131+(1-(2/(Inputs!$B$23+1)))*J130</f>
        <v>2650.269149114481</v>
      </c>
      <c r="K131" s="19">
        <f>(2/(Inputs!$B$24+1))*C131+(1-(2/(Inputs!$B$24+1)))*K130</f>
        <v>2605.1671510063024</v>
      </c>
      <c r="L131" s="19">
        <f ca="1">(J131-K131)/(C131*Prices!G131)</f>
        <v>1.673301705638123</v>
      </c>
      <c r="M131" s="19">
        <f ca="1">MAX(-Inputs!$B$8,MIN(Inputs!$B$8,L131*Inputs!$B$30))</f>
        <v>6.2748813961429608</v>
      </c>
      <c r="N131" s="21">
        <v>1.5668000000000001E-2</v>
      </c>
      <c r="O131" s="12">
        <f>(2/(Inputs!$B$26+1))*N131+(1-(2/(Inputs!$B$26+1)))*O130</f>
        <v>1.1673068464695752E-2</v>
      </c>
      <c r="P131" s="19">
        <f ca="1">O131/(Prices!G131*SQRT(Inputs!$B$6))</f>
        <v>7.3038164342245887E-2</v>
      </c>
      <c r="Q131" s="19">
        <f ca="1">MAX(-Inputs!$B$8,MIN(Inputs!$B$8,P131*Inputs!$B$31))</f>
        <v>2.1911449302673764</v>
      </c>
      <c r="R131" s="19">
        <f ca="1">MAX(-Inputs!$B$8,MIN(Inputs!$B$8,Inputs!$B$32*(40*(C131-AVERAGE(OFFSET(Prices!C131,-(Inputs!$B$25-1),0,Inputs!$B$25,1)))/(MAX(OFFSET(Prices!C131,-(Inputs!$B$25-1),0,Inputs!$B$25,1))-MIN(OFFSET(Prices!C131,-(Inputs!$B$25-1),0,Inputs!$B$25,1))))))</f>
        <v>10.85445360712146</v>
      </c>
    </row>
    <row r="132" spans="1:18" x14ac:dyDescent="0.25">
      <c r="A132" s="16">
        <f>Prices!A132</f>
        <v>129</v>
      </c>
      <c r="B132" s="17">
        <f>Prices!B132</f>
        <v>46050</v>
      </c>
      <c r="C132" s="18">
        <f>Prices!C132</f>
        <v>2707.33</v>
      </c>
      <c r="D132" s="19">
        <f>(2/(Inputs!$B$21+1))*C132+(1-(2/(Inputs!$B$21+1)))*D131</f>
        <v>2608.3106232830314</v>
      </c>
      <c r="E132" s="19">
        <f>(2/(Inputs!$B$22+1))*C132+(1-(2/(Inputs!$B$22+1)))*E131</f>
        <v>2501.0047168262413</v>
      </c>
      <c r="F132" s="20">
        <f t="shared" ref="F132:F163" si="4">D132-E132</f>
        <v>107.30590645679013</v>
      </c>
      <c r="G132" s="19">
        <f ca="1">F132/(C132*Prices!G132)</f>
        <v>3.9707703597798227</v>
      </c>
      <c r="H132" s="19">
        <f ca="1">G132*Inputs!$B$29</f>
        <v>7.4253405727882686</v>
      </c>
      <c r="I132" s="19">
        <f ca="1">MAX(-Inputs!$B$8,MIN(Inputs!$B$8,H132))</f>
        <v>7.4253405727882686</v>
      </c>
      <c r="J132" s="19">
        <f>(2/(Inputs!$B$23+1))*C132+(1-(2/(Inputs!$B$23+1)))*J131</f>
        <v>2656.9821903951301</v>
      </c>
      <c r="K132" s="19">
        <f>(2/(Inputs!$B$24+1))*C132+(1-(2/(Inputs!$B$24+1)))*K131</f>
        <v>2608.3106232830314</v>
      </c>
      <c r="L132" s="19">
        <f ca="1">(J132-K132)/(C132*Prices!G132)</f>
        <v>1.801052919026217</v>
      </c>
      <c r="M132" s="19">
        <f ca="1">MAX(-Inputs!$B$8,MIN(Inputs!$B$8,L132*Inputs!$B$30))</f>
        <v>6.7539484463483141</v>
      </c>
      <c r="N132" s="21">
        <v>1.6164999999999999E-2</v>
      </c>
      <c r="O132" s="12">
        <f>(2/(Inputs!$B$26+1))*N132+(1-(2/(Inputs!$B$26+1)))*O131</f>
        <v>1.1771792234702438E-2</v>
      </c>
      <c r="P132" s="19">
        <f ca="1">O132/(Prices!G132*SQRT(Inputs!$B$6))</f>
        <v>7.3708053997824444E-2</v>
      </c>
      <c r="Q132" s="19">
        <f ca="1">MAX(-Inputs!$B$8,MIN(Inputs!$B$8,P132*Inputs!$B$31))</f>
        <v>2.2112416199347331</v>
      </c>
      <c r="R132" s="19">
        <f ca="1">MAX(-Inputs!$B$8,MIN(Inputs!$B$8,Inputs!$B$32*(40*(C132-AVERAGE(OFFSET(Prices!C132,-(Inputs!$B$25-1),0,Inputs!$B$25,1)))/(MAX(OFFSET(Prices!C132,-(Inputs!$B$25-1),0,Inputs!$B$25,1))-MIN(OFFSET(Prices!C132,-(Inputs!$B$25-1),0,Inputs!$B$25,1))))))</f>
        <v>11.218108598250527</v>
      </c>
    </row>
    <row r="133" spans="1:18" x14ac:dyDescent="0.25">
      <c r="A133" s="16">
        <f>Prices!A133</f>
        <v>130</v>
      </c>
      <c r="B133" s="17">
        <f>Prices!B133</f>
        <v>46051</v>
      </c>
      <c r="C133" s="18">
        <f>Prices!C133</f>
        <v>2745.65</v>
      </c>
      <c r="D133" s="19">
        <f>(2/(Inputs!$B$21+1))*C133+(1-(2/(Inputs!$B$21+1)))*D132</f>
        <v>2612.5364502589382</v>
      </c>
      <c r="E133" s="19">
        <f>(2/(Inputs!$B$22+1))*C133+(1-(2/(Inputs!$B$22+1)))*E132</f>
        <v>2502.9085711700059</v>
      </c>
      <c r="F133" s="20">
        <f t="shared" si="4"/>
        <v>109.62787908893233</v>
      </c>
      <c r="G133" s="19">
        <f ca="1">F133/(C133*Prices!G133)</f>
        <v>4.0003998020399374</v>
      </c>
      <c r="H133" s="19">
        <f ca="1">G133*Inputs!$B$29</f>
        <v>7.4807476298146831</v>
      </c>
      <c r="I133" s="19">
        <f ca="1">MAX(-Inputs!$B$8,MIN(Inputs!$B$8,H133))</f>
        <v>7.4807476298146831</v>
      </c>
      <c r="J133" s="19">
        <f>(2/(Inputs!$B$23+1))*C133+(1-(2/(Inputs!$B$23+1)))*J132</f>
        <v>2667.4136974074677</v>
      </c>
      <c r="K133" s="19">
        <f>(2/(Inputs!$B$24+1))*C133+(1-(2/(Inputs!$B$24+1)))*K132</f>
        <v>2612.5364502589382</v>
      </c>
      <c r="L133" s="19">
        <f ca="1">(J133-K133)/(C133*Prices!G133)</f>
        <v>2.0025100408207859</v>
      </c>
      <c r="M133" s="19">
        <f ca="1">MAX(-Inputs!$B$8,MIN(Inputs!$B$8,L133*Inputs!$B$30))</f>
        <v>7.5094126530779466</v>
      </c>
      <c r="N133" s="21">
        <v>1.6660000000000001E-2</v>
      </c>
      <c r="O133" s="12">
        <f>(2/(Inputs!$B$26+1))*N133+(1-(2/(Inputs!$B$26+1)))*O132</f>
        <v>1.1879225372401285E-2</v>
      </c>
      <c r="P133" s="19">
        <f ca="1">O133/(Prices!G133*SQRT(Inputs!$B$6))</f>
        <v>7.4386769634142064E-2</v>
      </c>
      <c r="Q133" s="19">
        <f ca="1">MAX(-Inputs!$B$8,MIN(Inputs!$B$8,P133*Inputs!$B$31))</f>
        <v>2.231603089024262</v>
      </c>
      <c r="R133" s="19">
        <f ca="1">MAX(-Inputs!$B$8,MIN(Inputs!$B$8,Inputs!$B$32*(40*(C133-AVERAGE(OFFSET(Prices!C133,-(Inputs!$B$25-1),0,Inputs!$B$25,1)))/(MAX(OFFSET(Prices!C133,-(Inputs!$B$25-1),0,Inputs!$B$25,1))-MIN(OFFSET(Prices!C133,-(Inputs!$B$25-1),0,Inputs!$B$25,1))))))</f>
        <v>13.498841577958798</v>
      </c>
    </row>
    <row r="134" spans="1:18" x14ac:dyDescent="0.25">
      <c r="A134" s="16">
        <f>Prices!A134</f>
        <v>131</v>
      </c>
      <c r="B134" s="17">
        <f>Prices!B134</f>
        <v>46052</v>
      </c>
      <c r="C134" s="18">
        <f>Prices!C134</f>
        <v>2711.24</v>
      </c>
      <c r="D134" s="19">
        <f>(2/(Inputs!$B$21+1))*C134+(1-(2/(Inputs!$B$21+1)))*D133</f>
        <v>2615.5734825586628</v>
      </c>
      <c r="E134" s="19">
        <f>(2/(Inputs!$B$22+1))*C134+(1-(2/(Inputs!$B$22+1)))*E133</f>
        <v>2504.5298274254919</v>
      </c>
      <c r="F134" s="20">
        <f t="shared" si="4"/>
        <v>111.04365513317089</v>
      </c>
      <c r="G134" s="19">
        <f ca="1">F134/(C134*Prices!G134)</f>
        <v>4.0310117390526372</v>
      </c>
      <c r="H134" s="19">
        <f ca="1">G134*Inputs!$B$29</f>
        <v>7.537991952028432</v>
      </c>
      <c r="I134" s="19">
        <f ca="1">MAX(-Inputs!$B$8,MIN(Inputs!$B$8,H134))</f>
        <v>7.537991952028432</v>
      </c>
      <c r="J134" s="19">
        <f>(2/(Inputs!$B$23+1))*C134+(1-(2/(Inputs!$B$23+1)))*J133</f>
        <v>2672.5697330065891</v>
      </c>
      <c r="K134" s="19">
        <f>(2/(Inputs!$B$24+1))*C134+(1-(2/(Inputs!$B$24+1)))*K133</f>
        <v>2615.5734825586628</v>
      </c>
      <c r="L134" s="19">
        <f ca="1">(J134-K134)/(C134*Prices!G134)</f>
        <v>2.069029107174476</v>
      </c>
      <c r="M134" s="19">
        <f ca="1">MAX(-Inputs!$B$8,MIN(Inputs!$B$8,L134*Inputs!$B$30))</f>
        <v>7.7588591519042849</v>
      </c>
      <c r="N134" s="21">
        <v>1.7151E-2</v>
      </c>
      <c r="O134" s="12">
        <f>(2/(Inputs!$B$26+1))*N134+(1-(2/(Inputs!$B$26+1)))*O133</f>
        <v>1.1995088551029829E-2</v>
      </c>
      <c r="P134" s="19">
        <f ca="1">O134/(Prices!G134*SQRT(Inputs!$B$6))</f>
        <v>7.3785623786814442E-2</v>
      </c>
      <c r="Q134" s="19">
        <f ca="1">MAX(-Inputs!$B$8,MIN(Inputs!$B$8,P134*Inputs!$B$31))</f>
        <v>2.2135687136044333</v>
      </c>
      <c r="R134" s="19">
        <f ca="1">MAX(-Inputs!$B$8,MIN(Inputs!$B$8,Inputs!$B$32*(40*(C134-AVERAGE(OFFSET(Prices!C134,-(Inputs!$B$25-1),0,Inputs!$B$25,1)))/(MAX(OFFSET(Prices!C134,-(Inputs!$B$25-1),0,Inputs!$B$25,1))-MIN(OFFSET(Prices!C134,-(Inputs!$B$25-1),0,Inputs!$B$25,1))))))</f>
        <v>9.581158408932362</v>
      </c>
    </row>
    <row r="135" spans="1:18" x14ac:dyDescent="0.25">
      <c r="A135" s="16">
        <f>Prices!A135</f>
        <v>132</v>
      </c>
      <c r="B135" s="17">
        <f>Prices!B135</f>
        <v>46055</v>
      </c>
      <c r="C135" s="18">
        <f>Prices!C135</f>
        <v>2709.29</v>
      </c>
      <c r="D135" s="19">
        <f>(2/(Inputs!$B$21+1))*C135+(1-(2/(Inputs!$B$21+1)))*D134</f>
        <v>2618.457067710704</v>
      </c>
      <c r="E135" s="19">
        <f>(2/(Inputs!$B$22+1))*C135+(1-(2/(Inputs!$B$22+1)))*E134</f>
        <v>2506.1232918035039</v>
      </c>
      <c r="F135" s="20">
        <f t="shared" si="4"/>
        <v>112.33377590720011</v>
      </c>
      <c r="G135" s="19">
        <f ca="1">F135/(C135*Prices!G135)</f>
        <v>4.0836719805299948</v>
      </c>
      <c r="H135" s="19">
        <f ca="1">G135*Inputs!$B$29</f>
        <v>7.6364666035910904</v>
      </c>
      <c r="I135" s="19">
        <f ca="1">MAX(-Inputs!$B$8,MIN(Inputs!$B$8,H135))</f>
        <v>7.6364666035910904</v>
      </c>
      <c r="J135" s="19">
        <f>(2/(Inputs!$B$23+1))*C135+(1-(2/(Inputs!$B$23+1)))*J134</f>
        <v>2676.8897644175786</v>
      </c>
      <c r="K135" s="19">
        <f>(2/(Inputs!$B$24+1))*C135+(1-(2/(Inputs!$B$24+1)))*K134</f>
        <v>2618.457067710704</v>
      </c>
      <c r="L135" s="19">
        <f ca="1">(J135-K135)/(C135*Prices!G135)</f>
        <v>2.1242049807512662</v>
      </c>
      <c r="M135" s="19">
        <f ca="1">MAX(-Inputs!$B$8,MIN(Inputs!$B$8,L135*Inputs!$B$30))</f>
        <v>7.9657686778172483</v>
      </c>
      <c r="N135" s="21">
        <v>1.7637E-2</v>
      </c>
      <c r="O135" s="12">
        <f>(2/(Inputs!$B$26+1))*N135+(1-(2/(Inputs!$B$26+1)))*O134</f>
        <v>1.2119086604853347E-2</v>
      </c>
      <c r="P135" s="19">
        <f ca="1">O135/(Prices!G135*SQRT(Inputs!$B$6))</f>
        <v>7.4601213754231302E-2</v>
      </c>
      <c r="Q135" s="19">
        <f ca="1">MAX(-Inputs!$B$8,MIN(Inputs!$B$8,P135*Inputs!$B$31))</f>
        <v>2.238036412626939</v>
      </c>
      <c r="R135" s="19">
        <f ca="1">MAX(-Inputs!$B$8,MIN(Inputs!$B$8,Inputs!$B$32*(40*(C135-AVERAGE(OFFSET(Prices!C135,-(Inputs!$B$25-1),0,Inputs!$B$25,1)))/(MAX(OFFSET(Prices!C135,-(Inputs!$B$25-1),0,Inputs!$B$25,1))-MIN(OFFSET(Prices!C135,-(Inputs!$B$25-1),0,Inputs!$B$25,1))))))</f>
        <v>8.7441730635032133</v>
      </c>
    </row>
    <row r="136" spans="1:18" x14ac:dyDescent="0.25">
      <c r="A136" s="16">
        <f>Prices!A136</f>
        <v>133</v>
      </c>
      <c r="B136" s="17">
        <f>Prices!B136</f>
        <v>46056</v>
      </c>
      <c r="C136" s="18">
        <f>Prices!C136</f>
        <v>2719.4</v>
      </c>
      <c r="D136" s="19">
        <f>(2/(Inputs!$B$21+1))*C136+(1-(2/(Inputs!$B$21+1)))*D135</f>
        <v>2621.5630040888364</v>
      </c>
      <c r="E136" s="19">
        <f>(2/(Inputs!$B$22+1))*C136+(1-(2/(Inputs!$B$22+1)))*E135</f>
        <v>2507.783032723321</v>
      </c>
      <c r="F136" s="20">
        <f t="shared" si="4"/>
        <v>113.77997136551539</v>
      </c>
      <c r="G136" s="19">
        <f ca="1">F136/(C136*Prices!G136)</f>
        <v>4.1633544600244132</v>
      </c>
      <c r="H136" s="19">
        <f ca="1">G136*Inputs!$B$29</f>
        <v>7.785472840245653</v>
      </c>
      <c r="I136" s="19">
        <f ca="1">MAX(-Inputs!$B$8,MIN(Inputs!$B$8,H136))</f>
        <v>7.785472840245653</v>
      </c>
      <c r="J136" s="19">
        <f>(2/(Inputs!$B$23+1))*C136+(1-(2/(Inputs!$B$23+1)))*J135</f>
        <v>2681.8909686037459</v>
      </c>
      <c r="K136" s="19">
        <f>(2/(Inputs!$B$24+1))*C136+(1-(2/(Inputs!$B$24+1)))*K135</f>
        <v>2621.5630040888364</v>
      </c>
      <c r="L136" s="19">
        <f ca="1">(J136-K136)/(C136*Prices!G136)</f>
        <v>2.2074772661040352</v>
      </c>
      <c r="M136" s="19">
        <f ca="1">MAX(-Inputs!$B$8,MIN(Inputs!$B$8,L136*Inputs!$B$30))</f>
        <v>8.2780397478901317</v>
      </c>
      <c r="N136" s="21">
        <v>1.8114999999999999E-2</v>
      </c>
      <c r="O136" s="12">
        <f>(2/(Inputs!$B$26+1))*N136+(1-(2/(Inputs!$B$26+1)))*O135</f>
        <v>1.2250864921230196E-2</v>
      </c>
      <c r="P136" s="19">
        <f ca="1">O136/(Prices!G136*SQRT(Inputs!$B$6))</f>
        <v>7.6189904501584846E-2</v>
      </c>
      <c r="Q136" s="19">
        <f ca="1">MAX(-Inputs!$B$8,MIN(Inputs!$B$8,P136*Inputs!$B$31))</f>
        <v>2.2856971350475455</v>
      </c>
      <c r="R136" s="19">
        <f ca="1">MAX(-Inputs!$B$8,MIN(Inputs!$B$8,Inputs!$B$32*(40*(C136-AVERAGE(OFFSET(Prices!C136,-(Inputs!$B$25-1),0,Inputs!$B$25,1)))/(MAX(OFFSET(Prices!C136,-(Inputs!$B$25-1),0,Inputs!$B$25,1))-MIN(OFFSET(Prices!C136,-(Inputs!$B$25-1),0,Inputs!$B$25,1))))))</f>
        <v>9.6273900907188494</v>
      </c>
    </row>
    <row r="137" spans="1:18" x14ac:dyDescent="0.25">
      <c r="A137" s="16">
        <f>Prices!A137</f>
        <v>134</v>
      </c>
      <c r="B137" s="17">
        <f>Prices!B137</f>
        <v>46057</v>
      </c>
      <c r="C137" s="18">
        <f>Prices!C137</f>
        <v>2768.23</v>
      </c>
      <c r="D137" s="19">
        <f>(2/(Inputs!$B$21+1))*C137+(1-(2/(Inputs!$B$21+1)))*D136</f>
        <v>2626.0758347322567</v>
      </c>
      <c r="E137" s="19">
        <f>(2/(Inputs!$B$22+1))*C137+(1-(2/(Inputs!$B$22+1)))*E136</f>
        <v>2509.8098573713887</v>
      </c>
      <c r="F137" s="20">
        <f t="shared" si="4"/>
        <v>116.26597736086796</v>
      </c>
      <c r="G137" s="19">
        <f ca="1">F137/(C137*Prices!G137)</f>
        <v>4.0665992771100621</v>
      </c>
      <c r="H137" s="19">
        <f ca="1">G137*Inputs!$B$29</f>
        <v>7.6045406481958162</v>
      </c>
      <c r="I137" s="19">
        <f ca="1">MAX(-Inputs!$B$8,MIN(Inputs!$B$8,H137))</f>
        <v>7.6045406481958162</v>
      </c>
      <c r="J137" s="19">
        <f>(2/(Inputs!$B$23+1))*C137+(1-(2/(Inputs!$B$23+1)))*J136</f>
        <v>2692.0485017091873</v>
      </c>
      <c r="K137" s="19">
        <f>(2/(Inputs!$B$24+1))*C137+(1-(2/(Inputs!$B$24+1)))*K136</f>
        <v>2626.0758347322567</v>
      </c>
      <c r="L137" s="19">
        <f ca="1">(J137-K137)/(C137*Prices!G137)</f>
        <v>2.307505651500303</v>
      </c>
      <c r="M137" s="19">
        <f ca="1">MAX(-Inputs!$B$8,MIN(Inputs!$B$8,L137*Inputs!$B$30))</f>
        <v>8.6531461931261369</v>
      </c>
      <c r="N137" s="21">
        <v>1.8585999999999998E-2</v>
      </c>
      <c r="O137" s="12">
        <f>(2/(Inputs!$B$26+1))*N137+(1-(2/(Inputs!$B$26+1)))*O136</f>
        <v>1.2390098659225137E-2</v>
      </c>
      <c r="P137" s="19">
        <f ca="1">O137/(Prices!G137*SQRT(Inputs!$B$6))</f>
        <v>7.4978316544555473E-2</v>
      </c>
      <c r="Q137" s="19">
        <f ca="1">MAX(-Inputs!$B$8,MIN(Inputs!$B$8,P137*Inputs!$B$31))</f>
        <v>2.2493494963366643</v>
      </c>
      <c r="R137" s="19">
        <f ca="1">MAX(-Inputs!$B$8,MIN(Inputs!$B$8,Inputs!$B$32*(40*(C137-AVERAGE(OFFSET(Prices!C137,-(Inputs!$B$25-1),0,Inputs!$B$25,1)))/(MAX(OFFSET(Prices!C137,-(Inputs!$B$25-1),0,Inputs!$B$25,1))-MIN(OFFSET(Prices!C137,-(Inputs!$B$25-1),0,Inputs!$B$25,1))))))</f>
        <v>14.167096774193647</v>
      </c>
    </row>
    <row r="138" spans="1:18" x14ac:dyDescent="0.25">
      <c r="A138" s="16">
        <f>Prices!A138</f>
        <v>135</v>
      </c>
      <c r="B138" s="17">
        <f>Prices!B138</f>
        <v>46058</v>
      </c>
      <c r="C138" s="18">
        <f>Prices!C138</f>
        <v>2723.08</v>
      </c>
      <c r="D138" s="19">
        <f>(2/(Inputs!$B$21+1))*C138+(1-(2/(Inputs!$B$21+1)))*D137</f>
        <v>2629.0605782789562</v>
      </c>
      <c r="E138" s="19">
        <f>(2/(Inputs!$B$22+1))*C138+(1-(2/(Inputs!$B$22+1)))*E137</f>
        <v>2511.4695471972923</v>
      </c>
      <c r="F138" s="20">
        <f t="shared" si="4"/>
        <v>117.59103108166391</v>
      </c>
      <c r="G138" s="19">
        <f ca="1">F138/(C138*Prices!G138)</f>
        <v>4.1669841925136284</v>
      </c>
      <c r="H138" s="19">
        <f ca="1">G138*Inputs!$B$29</f>
        <v>7.7922604400004856</v>
      </c>
      <c r="I138" s="19">
        <f ca="1">MAX(-Inputs!$B$8,MIN(Inputs!$B$8,H138))</f>
        <v>7.7922604400004856</v>
      </c>
      <c r="J138" s="19">
        <f>(2/(Inputs!$B$23+1))*C138+(1-(2/(Inputs!$B$23+1)))*J137</f>
        <v>2695.6992662139887</v>
      </c>
      <c r="K138" s="19">
        <f>(2/(Inputs!$B$24+1))*C138+(1-(2/(Inputs!$B$24+1)))*K137</f>
        <v>2629.0605782789562</v>
      </c>
      <c r="L138" s="19">
        <f ca="1">(J138-K138)/(C138*Prices!G138)</f>
        <v>2.3614246484690313</v>
      </c>
      <c r="M138" s="19">
        <f ca="1">MAX(-Inputs!$B$8,MIN(Inputs!$B$8,L138*Inputs!$B$30))</f>
        <v>8.8553424317588671</v>
      </c>
      <c r="N138" s="21">
        <v>1.9047999999999999E-2</v>
      </c>
      <c r="O138" s="12">
        <f>(2/(Inputs!$B$26+1))*N138+(1-(2/(Inputs!$B$26+1)))*O137</f>
        <v>1.2536426161220188E-2</v>
      </c>
      <c r="P138" s="19">
        <f ca="1">O138/(Prices!G138*SQRT(Inputs!$B$6))</f>
        <v>7.5606967491707686E-2</v>
      </c>
      <c r="Q138" s="19">
        <f ca="1">MAX(-Inputs!$B$8,MIN(Inputs!$B$8,P138*Inputs!$B$31))</f>
        <v>2.2682090247512305</v>
      </c>
      <c r="R138" s="19">
        <f ca="1">MAX(-Inputs!$B$8,MIN(Inputs!$B$8,Inputs!$B$32*(40*(C138-AVERAGE(OFFSET(Prices!C138,-(Inputs!$B$25-1),0,Inputs!$B$25,1)))/(MAX(OFFSET(Prices!C138,-(Inputs!$B$25-1),0,Inputs!$B$25,1))-MIN(OFFSET(Prices!C138,-(Inputs!$B$25-1),0,Inputs!$B$25,1))))))</f>
        <v>8.7681022547468981</v>
      </c>
    </row>
    <row r="139" spans="1:18" x14ac:dyDescent="0.25">
      <c r="A139" s="16">
        <f>Prices!A139</f>
        <v>136</v>
      </c>
      <c r="B139" s="17">
        <f>Prices!B139</f>
        <v>46059</v>
      </c>
      <c r="C139" s="18">
        <f>Prices!C139</f>
        <v>2751.42</v>
      </c>
      <c r="D139" s="19">
        <f>(2/(Inputs!$B$21+1))*C139+(1-(2/(Inputs!$B$21+1)))*D138</f>
        <v>2632.8254835626808</v>
      </c>
      <c r="E139" s="19">
        <f>(2/(Inputs!$B$22+1))*C139+(1-(2/(Inputs!$B$22+1)))*E138</f>
        <v>2513.3368658961463</v>
      </c>
      <c r="F139" s="20">
        <f t="shared" si="4"/>
        <v>119.48861766653454</v>
      </c>
      <c r="G139" s="19">
        <f ca="1">F139/(C139*Prices!G139)</f>
        <v>4.1684953883496423</v>
      </c>
      <c r="H139" s="19">
        <f ca="1">G139*Inputs!$B$29</f>
        <v>7.7950863762138312</v>
      </c>
      <c r="I139" s="19">
        <f ca="1">MAX(-Inputs!$B$8,MIN(Inputs!$B$8,H139))</f>
        <v>7.7950863762138312</v>
      </c>
      <c r="J139" s="19">
        <f>(2/(Inputs!$B$23+1))*C139+(1-(2/(Inputs!$B$23+1)))*J138</f>
        <v>2702.2546466594017</v>
      </c>
      <c r="K139" s="19">
        <f>(2/(Inputs!$B$24+1))*C139+(1-(2/(Inputs!$B$24+1)))*K138</f>
        <v>2632.8254835626808</v>
      </c>
      <c r="L139" s="19">
        <f ca="1">(J139-K139)/(C139*Prices!G139)</f>
        <v>2.4221147740895952</v>
      </c>
      <c r="M139" s="19">
        <f ca="1">MAX(-Inputs!$B$8,MIN(Inputs!$B$8,L139*Inputs!$B$30))</f>
        <v>9.0829304028359825</v>
      </c>
      <c r="N139" s="21">
        <v>1.95E-2</v>
      </c>
      <c r="O139" s="12">
        <f>(2/(Inputs!$B$26+1))*N139+(1-(2/(Inputs!$B$26+1)))*O138</f>
        <v>1.2689471740094469E-2</v>
      </c>
      <c r="P139" s="19">
        <f ca="1">O139/(Prices!G139*SQRT(Inputs!$B$6))</f>
        <v>7.6126039946694132E-2</v>
      </c>
      <c r="Q139" s="19">
        <f ca="1">MAX(-Inputs!$B$8,MIN(Inputs!$B$8,P139*Inputs!$B$31))</f>
        <v>2.2837811984008241</v>
      </c>
      <c r="R139" s="19">
        <f ca="1">MAX(-Inputs!$B$8,MIN(Inputs!$B$8,Inputs!$B$32*(40*(C139-AVERAGE(OFFSET(Prices!C139,-(Inputs!$B$25-1),0,Inputs!$B$25,1)))/(MAX(OFFSET(Prices!C139,-(Inputs!$B$25-1),0,Inputs!$B$25,1))-MIN(OFFSET(Prices!C139,-(Inputs!$B$25-1),0,Inputs!$B$25,1))))))</f>
        <v>12.52817191034352</v>
      </c>
    </row>
    <row r="140" spans="1:18" x14ac:dyDescent="0.25">
      <c r="A140" s="16">
        <f>Prices!A140</f>
        <v>137</v>
      </c>
      <c r="B140" s="17">
        <f>Prices!B140</f>
        <v>46062</v>
      </c>
      <c r="C140" s="18">
        <f>Prices!C140</f>
        <v>2769.07</v>
      </c>
      <c r="D140" s="19">
        <f>(2/(Inputs!$B$21+1))*C140+(1-(2/(Inputs!$B$21+1)))*D139</f>
        <v>2637.0176225299833</v>
      </c>
      <c r="E140" s="19">
        <f>(2/(Inputs!$B$22+1))*C140+(1-(2/(Inputs!$B$22+1)))*E139</f>
        <v>2515.3270070175772</v>
      </c>
      <c r="F140" s="20">
        <f t="shared" si="4"/>
        <v>121.69061551240611</v>
      </c>
      <c r="G140" s="19">
        <f ca="1">F140/(C140*Prices!G140)</f>
        <v>4.2872301572157498</v>
      </c>
      <c r="H140" s="19">
        <f ca="1">G140*Inputs!$B$29</f>
        <v>8.0171203939934532</v>
      </c>
      <c r="I140" s="19">
        <f ca="1">MAX(-Inputs!$B$8,MIN(Inputs!$B$8,H140))</f>
        <v>8.0171203939934532</v>
      </c>
      <c r="J140" s="19">
        <f>(2/(Inputs!$B$23+1))*C140+(1-(2/(Inputs!$B$23+1)))*J139</f>
        <v>2710.1152764641779</v>
      </c>
      <c r="K140" s="19">
        <f>(2/(Inputs!$B$24+1))*C140+(1-(2/(Inputs!$B$24+1)))*K139</f>
        <v>2637.0176225299833</v>
      </c>
      <c r="L140" s="19">
        <f ca="1">(J140-K140)/(C140*Prices!G140)</f>
        <v>2.5752722594820829</v>
      </c>
      <c r="M140" s="19">
        <f ca="1">MAX(-Inputs!$B$8,MIN(Inputs!$B$8,L140*Inputs!$B$30))</f>
        <v>9.6572709730578108</v>
      </c>
      <c r="N140" s="21">
        <v>1.9941E-2</v>
      </c>
      <c r="O140" s="12">
        <f>(2/(Inputs!$B$26+1))*N140+(1-(2/(Inputs!$B$26+1)))*O139</f>
        <v>1.284884598756492E-2</v>
      </c>
      <c r="P140" s="19">
        <f ca="1">O140/(Prices!G140*SQRT(Inputs!$B$6))</f>
        <v>7.8342564987484486E-2</v>
      </c>
      <c r="Q140" s="19">
        <f ca="1">MAX(-Inputs!$B$8,MIN(Inputs!$B$8,P140*Inputs!$B$31))</f>
        <v>2.3502769496245346</v>
      </c>
      <c r="R140" s="19">
        <f ca="1">MAX(-Inputs!$B$8,MIN(Inputs!$B$8,Inputs!$B$32*(40*(C140-AVERAGE(OFFSET(Prices!C140,-(Inputs!$B$25-1),0,Inputs!$B$25,1)))/(MAX(OFFSET(Prices!C140,-(Inputs!$B$25-1),0,Inputs!$B$25,1))-MIN(OFFSET(Prices!C140,-(Inputs!$B$25-1),0,Inputs!$B$25,1))))))</f>
        <v>16.564481327800866</v>
      </c>
    </row>
    <row r="141" spans="1:18" x14ac:dyDescent="0.25">
      <c r="A141" s="16">
        <f>Prices!A141</f>
        <v>138</v>
      </c>
      <c r="B141" s="17">
        <f>Prices!B141</f>
        <v>46063</v>
      </c>
      <c r="C141" s="18">
        <f>Prices!C141</f>
        <v>2812.91</v>
      </c>
      <c r="D141" s="19">
        <f>(2/(Inputs!$B$21+1))*C141+(1-(2/(Inputs!$B$21+1)))*D140</f>
        <v>2642.4296956829066</v>
      </c>
      <c r="E141" s="19">
        <f>(2/(Inputs!$B$22+1))*C141+(1-(2/(Inputs!$B$22+1)))*E140</f>
        <v>2517.6428279746387</v>
      </c>
      <c r="F141" s="20">
        <f t="shared" si="4"/>
        <v>124.78686770826789</v>
      </c>
      <c r="G141" s="19">
        <f ca="1">F141/(C141*Prices!G141)</f>
        <v>4.2378525785508074</v>
      </c>
      <c r="H141" s="19">
        <f ca="1">G141*Inputs!$B$29</f>
        <v>7.9247843218900105</v>
      </c>
      <c r="I141" s="19">
        <f ca="1">MAX(-Inputs!$B$8,MIN(Inputs!$B$8,H141))</f>
        <v>7.9247843218900105</v>
      </c>
      <c r="J141" s="19">
        <f>(2/(Inputs!$B$23+1))*C141+(1-(2/(Inputs!$B$23+1)))*J140</f>
        <v>2722.2087733507451</v>
      </c>
      <c r="K141" s="19">
        <f>(2/(Inputs!$B$24+1))*C141+(1-(2/(Inputs!$B$24+1)))*K140</f>
        <v>2642.4296956829066</v>
      </c>
      <c r="L141" s="19">
        <f ca="1">(J141-K141)/(C141*Prices!G141)</f>
        <v>2.7093553690237688</v>
      </c>
      <c r="M141" s="19">
        <f ca="1">MAX(-Inputs!$B$8,MIN(Inputs!$B$8,L141*Inputs!$B$30))</f>
        <v>10.160082633839133</v>
      </c>
      <c r="N141" s="21">
        <v>2.0369000000000002E-2</v>
      </c>
      <c r="O141" s="12">
        <f>(2/(Inputs!$B$26+1))*N141+(1-(2/(Inputs!$B$26+1)))*O140</f>
        <v>1.3014124097728327E-2</v>
      </c>
      <c r="P141" s="19">
        <f ca="1">O141/(Prices!G141*SQRT(Inputs!$B$6))</f>
        <v>7.770120596858289E-2</v>
      </c>
      <c r="Q141" s="19">
        <f ca="1">MAX(-Inputs!$B$8,MIN(Inputs!$B$8,P141*Inputs!$B$31))</f>
        <v>2.3310361790574867</v>
      </c>
      <c r="R141" s="19">
        <f ca="1">MAX(-Inputs!$B$8,MIN(Inputs!$B$8,Inputs!$B$32*(40*(C141-AVERAGE(OFFSET(Prices!C141,-(Inputs!$B$25-1),0,Inputs!$B$25,1)))/(MAX(OFFSET(Prices!C141,-(Inputs!$B$25-1),0,Inputs!$B$25,1))-MIN(OFFSET(Prices!C141,-(Inputs!$B$25-1),0,Inputs!$B$25,1))))))</f>
        <v>18.232671497129999</v>
      </c>
    </row>
    <row r="142" spans="1:18" x14ac:dyDescent="0.25">
      <c r="A142" s="16">
        <f>Prices!A142</f>
        <v>139</v>
      </c>
      <c r="B142" s="17">
        <f>Prices!B142</f>
        <v>46064</v>
      </c>
      <c r="C142" s="18">
        <f>Prices!C142</f>
        <v>2834.36</v>
      </c>
      <c r="D142" s="19">
        <f>(2/(Inputs!$B$21+1))*C142+(1-(2/(Inputs!$B$21+1)))*D141</f>
        <v>2648.3352435080483</v>
      </c>
      <c r="E142" s="19">
        <f>(2/(Inputs!$B$22+1))*C142+(1-(2/(Inputs!$B$22+1)))*E141</f>
        <v>2520.1075530487665</v>
      </c>
      <c r="F142" s="20">
        <f t="shared" si="4"/>
        <v>128.2276904592818</v>
      </c>
      <c r="G142" s="19">
        <f ca="1">F142/(C142*Prices!G142)</f>
        <v>4.3327443284611693</v>
      </c>
      <c r="H142" s="19">
        <f ca="1">G142*Inputs!$B$29</f>
        <v>8.1022318942223865</v>
      </c>
      <c r="I142" s="19">
        <f ca="1">MAX(-Inputs!$B$8,MIN(Inputs!$B$8,H142))</f>
        <v>8.1022318942223865</v>
      </c>
      <c r="J142" s="19">
        <f>(2/(Inputs!$B$23+1))*C142+(1-(2/(Inputs!$B$23+1)))*J141</f>
        <v>2735.4030353094809</v>
      </c>
      <c r="K142" s="19">
        <f>(2/(Inputs!$B$24+1))*C142+(1-(2/(Inputs!$B$24+1)))*K141</f>
        <v>2648.3352435080483</v>
      </c>
      <c r="L142" s="19">
        <f ca="1">(J142-K142)/(C142*Prices!G142)</f>
        <v>2.9419736077917329</v>
      </c>
      <c r="M142" s="19">
        <f ca="1">MAX(-Inputs!$B$8,MIN(Inputs!$B$8,L142*Inputs!$B$30))</f>
        <v>11.032401029218999</v>
      </c>
      <c r="N142" s="21">
        <v>2.0784E-2</v>
      </c>
      <c r="O142" s="12">
        <f>(2/(Inputs!$B$26+1))*N142+(1-(2/(Inputs!$B$26+1)))*O141</f>
        <v>1.3184890601074957E-2</v>
      </c>
      <c r="P142" s="19">
        <f ca="1">O142/(Prices!G142*SQRT(Inputs!$B$6))</f>
        <v>7.8921040191111694E-2</v>
      </c>
      <c r="Q142" s="19">
        <f ca="1">MAX(-Inputs!$B$8,MIN(Inputs!$B$8,P142*Inputs!$B$31))</f>
        <v>2.3676312057333506</v>
      </c>
      <c r="R142" s="19">
        <f ca="1">MAX(-Inputs!$B$8,MIN(Inputs!$B$8,Inputs!$B$32*(40*(C142-AVERAGE(OFFSET(Prices!C142,-(Inputs!$B$25-1),0,Inputs!$B$25,1)))/(MAX(OFFSET(Prices!C142,-(Inputs!$B$25-1),0,Inputs!$B$25,1))-MIN(OFFSET(Prices!C142,-(Inputs!$B$25-1),0,Inputs!$B$25,1))))))</f>
        <v>19.309386055259548</v>
      </c>
    </row>
    <row r="143" spans="1:18" x14ac:dyDescent="0.25">
      <c r="A143" s="16">
        <f>Prices!A143</f>
        <v>140</v>
      </c>
      <c r="B143" s="17">
        <f>Prices!B143</f>
        <v>46065</v>
      </c>
      <c r="C143" s="18">
        <f>Prices!C143</f>
        <v>2837.25</v>
      </c>
      <c r="D143" s="19">
        <f>(2/(Inputs!$B$21+1))*C143+(1-(2/(Inputs!$B$21+1)))*D142</f>
        <v>2654.1480052462625</v>
      </c>
      <c r="E143" s="19">
        <f>(2/(Inputs!$B$22+1))*C143+(1-(2/(Inputs!$B$22+1)))*E142</f>
        <v>2522.5755876553908</v>
      </c>
      <c r="F143" s="20">
        <f t="shared" si="4"/>
        <v>131.57241759087174</v>
      </c>
      <c r="G143" s="19">
        <f ca="1">F143/(C143*Prices!G143)</f>
        <v>4.5278799234378155</v>
      </c>
      <c r="H143" s="19">
        <f ca="1">G143*Inputs!$B$29</f>
        <v>8.467135456828716</v>
      </c>
      <c r="I143" s="19">
        <f ca="1">MAX(-Inputs!$B$8,MIN(Inputs!$B$8,H143))</f>
        <v>8.467135456828716</v>
      </c>
      <c r="J143" s="19">
        <f>(2/(Inputs!$B$23+1))*C143+(1-(2/(Inputs!$B$23+1)))*J142</f>
        <v>2747.3850311554243</v>
      </c>
      <c r="K143" s="19">
        <f>(2/(Inputs!$B$24+1))*C143+(1-(2/(Inputs!$B$24+1)))*K142</f>
        <v>2654.1480052462625</v>
      </c>
      <c r="L143" s="19">
        <f ca="1">(J143-K143)/(C143*Prices!G143)</f>
        <v>3.2086212708189525</v>
      </c>
      <c r="M143" s="19">
        <f ca="1">MAX(-Inputs!$B$8,MIN(Inputs!$B$8,L143*Inputs!$B$30))</f>
        <v>12.032329765571072</v>
      </c>
      <c r="N143" s="21">
        <v>2.1184999999999999E-2</v>
      </c>
      <c r="O143" s="12">
        <f>(2/(Inputs!$B$26+1))*N143+(1-(2/(Inputs!$B$26+1)))*O142</f>
        <v>1.3360717181271112E-2</v>
      </c>
      <c r="P143" s="19">
        <f ca="1">O143/(Prices!G143*SQRT(Inputs!$B$6))</f>
        <v>8.153375412647651E-2</v>
      </c>
      <c r="Q143" s="19">
        <f ca="1">MAX(-Inputs!$B$8,MIN(Inputs!$B$8,P143*Inputs!$B$31))</f>
        <v>2.4460126237942954</v>
      </c>
      <c r="R143" s="19">
        <f ca="1">MAX(-Inputs!$B$8,MIN(Inputs!$B$8,Inputs!$B$32*(40*(C143-AVERAGE(OFFSET(Prices!C143,-(Inputs!$B$25-1),0,Inputs!$B$25,1)))/(MAX(OFFSET(Prices!C143,-(Inputs!$B$25-1),0,Inputs!$B$25,1))-MIN(OFFSET(Prices!C143,-(Inputs!$B$25-1),0,Inputs!$B$25,1))))))</f>
        <v>18.838107869142416</v>
      </c>
    </row>
    <row r="144" spans="1:18" x14ac:dyDescent="0.25">
      <c r="A144" s="16">
        <f>Prices!A144</f>
        <v>141</v>
      </c>
      <c r="B144" s="17">
        <f>Prices!B144</f>
        <v>46066</v>
      </c>
      <c r="C144" s="18">
        <f>Prices!C144</f>
        <v>2823.87</v>
      </c>
      <c r="D144" s="19">
        <f>(2/(Inputs!$B$21+1))*C144+(1-(2/(Inputs!$B$21+1)))*D143</f>
        <v>2659.3702204694541</v>
      </c>
      <c r="E144" s="19">
        <f>(2/(Inputs!$B$22+1))*C144+(1-(2/(Inputs!$B$22+1)))*E143</f>
        <v>2524.9202912534033</v>
      </c>
      <c r="F144" s="20">
        <f t="shared" si="4"/>
        <v>134.4499292160508</v>
      </c>
      <c r="G144" s="19">
        <f ca="1">F144/(C144*Prices!G144)</f>
        <v>4.6395217567921359</v>
      </c>
      <c r="H144" s="19">
        <f ca="1">G144*Inputs!$B$29</f>
        <v>8.675905685201295</v>
      </c>
      <c r="I144" s="19">
        <f ca="1">MAX(-Inputs!$B$8,MIN(Inputs!$B$8,H144))</f>
        <v>8.675905685201295</v>
      </c>
      <c r="J144" s="19">
        <f>(2/(Inputs!$B$23+1))*C144+(1-(2/(Inputs!$B$23+1)))*J143</f>
        <v>2756.3832627841975</v>
      </c>
      <c r="K144" s="19">
        <f>(2/(Inputs!$B$24+1))*C144+(1-(2/(Inputs!$B$24+1)))*K143</f>
        <v>2659.3702204694541</v>
      </c>
      <c r="L144" s="19">
        <f ca="1">(J144-K144)/(C144*Prices!G144)</f>
        <v>3.3476709369521584</v>
      </c>
      <c r="M144" s="19">
        <f ca="1">MAX(-Inputs!$B$8,MIN(Inputs!$B$8,L144*Inputs!$B$30))</f>
        <v>12.553766013570595</v>
      </c>
      <c r="N144" s="21">
        <v>2.1569999999999999E-2</v>
      </c>
      <c r="O144" s="12">
        <f>(2/(Inputs!$B$26+1))*N144+(1-(2/(Inputs!$B$26+1)))*O143</f>
        <v>1.3541140979484934E-2</v>
      </c>
      <c r="P144" s="19">
        <f ca="1">O144/(Prices!G144*SQRT(Inputs!$B$6))</f>
        <v>8.2469358117943425E-2</v>
      </c>
      <c r="Q144" s="19">
        <f ca="1">MAX(-Inputs!$B$8,MIN(Inputs!$B$8,P144*Inputs!$B$31))</f>
        <v>2.4740807435383028</v>
      </c>
      <c r="R144" s="19">
        <f ca="1">MAX(-Inputs!$B$8,MIN(Inputs!$B$8,Inputs!$B$32*(40*(C144-AVERAGE(OFFSET(Prices!C144,-(Inputs!$B$25-1),0,Inputs!$B$25,1)))/(MAX(OFFSET(Prices!C144,-(Inputs!$B$25-1),0,Inputs!$B$25,1))-MIN(OFFSET(Prices!C144,-(Inputs!$B$25-1),0,Inputs!$B$25,1))))))</f>
        <v>16.604977895667606</v>
      </c>
    </row>
    <row r="145" spans="1:18" x14ac:dyDescent="0.25">
      <c r="A145" s="16">
        <f>Prices!A145</f>
        <v>142</v>
      </c>
      <c r="B145" s="17">
        <f>Prices!B145</f>
        <v>46069</v>
      </c>
      <c r="C145" s="18">
        <f>Prices!C145</f>
        <v>2790.04</v>
      </c>
      <c r="D145" s="19">
        <f>(2/(Inputs!$B$21+1))*C145+(1-(2/(Inputs!$B$21+1)))*D144</f>
        <v>2663.3908290703939</v>
      </c>
      <c r="E145" s="19">
        <f>(2/(Inputs!$B$22+1))*C145+(1-(2/(Inputs!$B$22+1)))*E144</f>
        <v>2526.9834796483183</v>
      </c>
      <c r="F145" s="20">
        <f t="shared" si="4"/>
        <v>136.40734942207564</v>
      </c>
      <c r="G145" s="19">
        <f ca="1">F145/(C145*Prices!G145)</f>
        <v>4.7355816564908579</v>
      </c>
      <c r="H145" s="19">
        <f ca="1">G145*Inputs!$B$29</f>
        <v>8.8555376976379048</v>
      </c>
      <c r="I145" s="19">
        <f ca="1">MAX(-Inputs!$B$8,MIN(Inputs!$B$8,H145))</f>
        <v>8.8555376976379048</v>
      </c>
      <c r="J145" s="19">
        <f>(2/(Inputs!$B$23+1))*C145+(1-(2/(Inputs!$B$23+1)))*J144</f>
        <v>2760.342878927233</v>
      </c>
      <c r="K145" s="19">
        <f>(2/(Inputs!$B$24+1))*C145+(1-(2/(Inputs!$B$24+1)))*K144</f>
        <v>2663.3908290703939</v>
      </c>
      <c r="L145" s="19">
        <f ca="1">(J145-K145)/(C145*Prices!G145)</f>
        <v>3.3658329320702363</v>
      </c>
      <c r="M145" s="19">
        <f ca="1">MAX(-Inputs!$B$8,MIN(Inputs!$B$8,L145*Inputs!$B$30))</f>
        <v>12.621873495263387</v>
      </c>
      <c r="N145" s="21">
        <v>2.1937999999999999E-2</v>
      </c>
      <c r="O145" s="12">
        <f>(2/(Inputs!$B$26+1))*N145+(1-(2/(Inputs!$B$26+1)))*O144</f>
        <v>1.3725687331584165E-2</v>
      </c>
      <c r="P145" s="19">
        <f ca="1">O145/(Prices!G145*SQRT(Inputs!$B$6))</f>
        <v>8.3092171362953063E-2</v>
      </c>
      <c r="Q145" s="19">
        <f ca="1">MAX(-Inputs!$B$8,MIN(Inputs!$B$8,P145*Inputs!$B$31))</f>
        <v>2.4927651408885918</v>
      </c>
      <c r="R145" s="19">
        <f ca="1">MAX(-Inputs!$B$8,MIN(Inputs!$B$8,Inputs!$B$32*(40*(C145-AVERAGE(OFFSET(Prices!C145,-(Inputs!$B$25-1),0,Inputs!$B$25,1)))/(MAX(OFFSET(Prices!C145,-(Inputs!$B$25-1),0,Inputs!$B$25,1))-MIN(OFFSET(Prices!C145,-(Inputs!$B$25-1),0,Inputs!$B$25,1))))))</f>
        <v>12.06865605658715</v>
      </c>
    </row>
    <row r="146" spans="1:18" x14ac:dyDescent="0.25">
      <c r="A146" s="16">
        <f>Prices!A146</f>
        <v>143</v>
      </c>
      <c r="B146" s="17">
        <f>Prices!B146</f>
        <v>46070</v>
      </c>
      <c r="C146" s="18">
        <f>Prices!C146</f>
        <v>2796.88</v>
      </c>
      <c r="D146" s="19">
        <f>(2/(Inputs!$B$21+1))*C146+(1-(2/(Inputs!$B$21+1)))*D145</f>
        <v>2667.4981881759204</v>
      </c>
      <c r="E146" s="19">
        <f>(2/(Inputs!$B$22+1))*C146+(1-(2/(Inputs!$B$22+1)))*E145</f>
        <v>2529.0838416744014</v>
      </c>
      <c r="F146" s="20">
        <f t="shared" si="4"/>
        <v>138.41434650151905</v>
      </c>
      <c r="G146" s="19">
        <f ca="1">F146/(C146*Prices!G146)</f>
        <v>4.8136529236594576</v>
      </c>
      <c r="H146" s="19">
        <f ca="1">G146*Inputs!$B$29</f>
        <v>9.0015309672431858</v>
      </c>
      <c r="I146" s="19">
        <f ca="1">MAX(-Inputs!$B$8,MIN(Inputs!$B$8,H146))</f>
        <v>9.0015309672431858</v>
      </c>
      <c r="J146" s="19">
        <f>(2/(Inputs!$B$23+1))*C146+(1-(2/(Inputs!$B$23+1)))*J145</f>
        <v>2764.6413637593232</v>
      </c>
      <c r="K146" s="19">
        <f>(2/(Inputs!$B$24+1))*C146+(1-(2/(Inputs!$B$24+1)))*K145</f>
        <v>2667.4981881759204</v>
      </c>
      <c r="L146" s="19">
        <f ca="1">(J146-K146)/(C146*Prices!G146)</f>
        <v>3.3783602854743027</v>
      </c>
      <c r="M146" s="19">
        <f ca="1">MAX(-Inputs!$B$8,MIN(Inputs!$B$8,L146*Inputs!$B$30))</f>
        <v>12.668851070528635</v>
      </c>
      <c r="N146" s="21">
        <v>2.2290000000000001E-2</v>
      </c>
      <c r="O146" s="12">
        <f>(2/(Inputs!$B$26+1))*N146+(1-(2/(Inputs!$B$26+1)))*O145</f>
        <v>1.391391398363726E-2</v>
      </c>
      <c r="P146" s="19">
        <f ca="1">O146/(Prices!G146*SQRT(Inputs!$B$6))</f>
        <v>8.4585677397928299E-2</v>
      </c>
      <c r="Q146" s="19">
        <f ca="1">MAX(-Inputs!$B$8,MIN(Inputs!$B$8,P146*Inputs!$B$31))</f>
        <v>2.5375703219378489</v>
      </c>
      <c r="R146" s="19">
        <f ca="1">MAX(-Inputs!$B$8,MIN(Inputs!$B$8,Inputs!$B$32*(40*(C146-AVERAGE(OFFSET(Prices!C146,-(Inputs!$B$25-1),0,Inputs!$B$25,1)))/(MAX(OFFSET(Prices!C146,-(Inputs!$B$25-1),0,Inputs!$B$25,1))-MIN(OFFSET(Prices!C146,-(Inputs!$B$25-1),0,Inputs!$B$25,1))))))</f>
        <v>12.548381962864736</v>
      </c>
    </row>
    <row r="147" spans="1:18" x14ac:dyDescent="0.25">
      <c r="A147" s="16">
        <f>Prices!A147</f>
        <v>144</v>
      </c>
      <c r="B147" s="17">
        <f>Prices!B147</f>
        <v>46071</v>
      </c>
      <c r="C147" s="18">
        <f>Prices!C147</f>
        <v>2792.92</v>
      </c>
      <c r="D147" s="19">
        <f>(2/(Inputs!$B$21+1))*C147+(1-(2/(Inputs!$B$21+1)))*D146</f>
        <v>2671.3573208474309</v>
      </c>
      <c r="E147" s="19">
        <f>(2/(Inputs!$B$22+1))*C147+(1-(2/(Inputs!$B$22+1)))*E146</f>
        <v>2531.1370413500872</v>
      </c>
      <c r="F147" s="20">
        <f t="shared" si="4"/>
        <v>140.22027949734365</v>
      </c>
      <c r="G147" s="19">
        <f ca="1">F147/(C147*Prices!G147)</f>
        <v>4.8956688560177701</v>
      </c>
      <c r="H147" s="19">
        <f ca="1">G147*Inputs!$B$29</f>
        <v>9.1549007607532307</v>
      </c>
      <c r="I147" s="19">
        <f ca="1">MAX(-Inputs!$B$8,MIN(Inputs!$B$8,H147))</f>
        <v>9.1549007607532307</v>
      </c>
      <c r="J147" s="19">
        <f>(2/(Inputs!$B$23+1))*C147+(1-(2/(Inputs!$B$23+1)))*J146</f>
        <v>2767.9682621405791</v>
      </c>
      <c r="K147" s="19">
        <f>(2/(Inputs!$B$24+1))*C147+(1-(2/(Inputs!$B$24+1)))*K146</f>
        <v>2671.3573208474309</v>
      </c>
      <c r="L147" s="19">
        <f ca="1">(J147-K147)/(C147*Prices!G147)</f>
        <v>3.373086818361299</v>
      </c>
      <c r="M147" s="19">
        <f ca="1">MAX(-Inputs!$B$8,MIN(Inputs!$B$8,L147*Inputs!$B$30))</f>
        <v>12.649075568854871</v>
      </c>
      <c r="N147" s="21">
        <v>2.2623000000000001E-2</v>
      </c>
      <c r="O147" s="12">
        <f>(2/(Inputs!$B$26+1))*N147+(1-(2/(Inputs!$B$26+1)))*O146</f>
        <v>1.4105322467513365E-2</v>
      </c>
      <c r="P147" s="19">
        <f ca="1">O147/(Prices!G147*SQRT(Inputs!$B$6))</f>
        <v>8.596521198654572E-2</v>
      </c>
      <c r="Q147" s="19">
        <f ca="1">MAX(-Inputs!$B$8,MIN(Inputs!$B$8,P147*Inputs!$B$31))</f>
        <v>2.5789563595963716</v>
      </c>
      <c r="R147" s="19">
        <f ca="1">MAX(-Inputs!$B$8,MIN(Inputs!$B$8,Inputs!$B$32*(40*(C147-AVERAGE(OFFSET(Prices!C147,-(Inputs!$B$25-1),0,Inputs!$B$25,1)))/(MAX(OFFSET(Prices!C147,-(Inputs!$B$25-1),0,Inputs!$B$25,1))-MIN(OFFSET(Prices!C147,-(Inputs!$B$25-1),0,Inputs!$B$25,1))))))</f>
        <v>11.654071618037168</v>
      </c>
    </row>
    <row r="148" spans="1:18" x14ac:dyDescent="0.25">
      <c r="A148" s="16">
        <f>Prices!A148</f>
        <v>145</v>
      </c>
      <c r="B148" s="17">
        <f>Prices!B148</f>
        <v>46072</v>
      </c>
      <c r="C148" s="18">
        <f>Prices!C148</f>
        <v>2850.74</v>
      </c>
      <c r="D148" s="19">
        <f>(2/(Inputs!$B$21+1))*C148+(1-(2/(Inputs!$B$21+1)))*D147</f>
        <v>2676.8767878982794</v>
      </c>
      <c r="E148" s="19">
        <f>(2/(Inputs!$B$22+1))*C148+(1-(2/(Inputs!$B$22+1)))*E147</f>
        <v>2533.6242239076741</v>
      </c>
      <c r="F148" s="20">
        <f t="shared" si="4"/>
        <v>143.25256399060527</v>
      </c>
      <c r="G148" s="19">
        <f ca="1">F148/(C148*Prices!G148)</f>
        <v>5.0438305744994167</v>
      </c>
      <c r="H148" s="19">
        <f ca="1">G148*Inputs!$B$29</f>
        <v>9.4319631743139105</v>
      </c>
      <c r="I148" s="19">
        <f ca="1">MAX(-Inputs!$B$8,MIN(Inputs!$B$8,H148))</f>
        <v>9.4319631743139105</v>
      </c>
      <c r="J148" s="19">
        <f>(2/(Inputs!$B$23+1))*C148+(1-(2/(Inputs!$B$23+1)))*J147</f>
        <v>2777.7061136534521</v>
      </c>
      <c r="K148" s="19">
        <f>(2/(Inputs!$B$24+1))*C148+(1-(2/(Inputs!$B$24+1)))*K147</f>
        <v>2676.8767878982794</v>
      </c>
      <c r="L148" s="19">
        <f ca="1">(J148-K148)/(C148*Prices!G148)</f>
        <v>3.550135661679704</v>
      </c>
      <c r="M148" s="19">
        <f ca="1">MAX(-Inputs!$B$8,MIN(Inputs!$B$8,L148*Inputs!$B$30))</f>
        <v>13.31300873129889</v>
      </c>
      <c r="N148" s="21">
        <v>2.2936999999999999E-2</v>
      </c>
      <c r="O148" s="12">
        <f>(2/(Inputs!$B$26+1))*N148+(1-(2/(Inputs!$B$26+1)))*O147</f>
        <v>1.4299425270425157E-2</v>
      </c>
      <c r="P148" s="19">
        <f ca="1">O148/(Prices!G148*SQRT(Inputs!$B$6))</f>
        <v>8.9704513533694838E-2</v>
      </c>
      <c r="Q148" s="19">
        <f ca="1">MAX(-Inputs!$B$8,MIN(Inputs!$B$8,P148*Inputs!$B$31))</f>
        <v>2.691135406010845</v>
      </c>
      <c r="R148" s="19">
        <f ca="1">MAX(-Inputs!$B$8,MIN(Inputs!$B$8,Inputs!$B$32*(40*(C148-AVERAGE(OFFSET(Prices!C148,-(Inputs!$B$25-1),0,Inputs!$B$25,1)))/(MAX(OFFSET(Prices!C148,-(Inputs!$B$25-1),0,Inputs!$B$25,1))-MIN(OFFSET(Prices!C148,-(Inputs!$B$25-1),0,Inputs!$B$25,1))))))</f>
        <v>17.108339939087973</v>
      </c>
    </row>
    <row r="149" spans="1:18" x14ac:dyDescent="0.25">
      <c r="A149" s="16">
        <f>Prices!A149</f>
        <v>146</v>
      </c>
      <c r="B149" s="17">
        <f>Prices!B149</f>
        <v>46073</v>
      </c>
      <c r="C149" s="18">
        <f>Prices!C149</f>
        <v>2834.75</v>
      </c>
      <c r="D149" s="19">
        <f>(2/(Inputs!$B$21+1))*C149+(1-(2/(Inputs!$B$21+1)))*D148</f>
        <v>2681.734425193717</v>
      </c>
      <c r="E149" s="19">
        <f>(2/(Inputs!$B$22+1))*C149+(1-(2/(Inputs!$B$22+1)))*E148</f>
        <v>2535.9676151613112</v>
      </c>
      <c r="F149" s="20">
        <f t="shared" si="4"/>
        <v>145.76681003240583</v>
      </c>
      <c r="G149" s="19">
        <f ca="1">F149/(C149*Prices!G149)</f>
        <v>5.1408681233624041</v>
      </c>
      <c r="H149" s="19">
        <f ca="1">G149*Inputs!$B$29</f>
        <v>9.6134233906876965</v>
      </c>
      <c r="I149" s="19">
        <f ca="1">MAX(-Inputs!$B$8,MIN(Inputs!$B$8,H149))</f>
        <v>9.6134233906876965</v>
      </c>
      <c r="J149" s="19">
        <f>(2/(Inputs!$B$23+1))*C149+(1-(2/(Inputs!$B$23+1)))*J148</f>
        <v>2784.4171591059871</v>
      </c>
      <c r="K149" s="19">
        <f>(2/(Inputs!$B$24+1))*C149+(1-(2/(Inputs!$B$24+1)))*K148</f>
        <v>2681.734425193717</v>
      </c>
      <c r="L149" s="19">
        <f ca="1">(J149-K149)/(C149*Prices!G149)</f>
        <v>3.6213894882651205</v>
      </c>
      <c r="M149" s="19">
        <f ca="1">MAX(-Inputs!$B$8,MIN(Inputs!$B$8,L149*Inputs!$B$30))</f>
        <v>13.580210580994201</v>
      </c>
      <c r="N149" s="21">
        <v>2.3231000000000002E-2</v>
      </c>
      <c r="O149" s="12">
        <f>(2/(Inputs!$B$26+1))*N149+(1-(2/(Inputs!$B$26+1)))*O148</f>
        <v>1.4495723616130097E-2</v>
      </c>
      <c r="P149" s="19">
        <f ca="1">O149/(Prices!G149*SQRT(Inputs!$B$6))</f>
        <v>9.0575865924332297E-2</v>
      </c>
      <c r="Q149" s="19">
        <f ca="1">MAX(-Inputs!$B$8,MIN(Inputs!$B$8,P149*Inputs!$B$31))</f>
        <v>2.7172759777299689</v>
      </c>
      <c r="R149" s="19">
        <f ca="1">MAX(-Inputs!$B$8,MIN(Inputs!$B$8,Inputs!$B$32*(40*(C149-AVERAGE(OFFSET(Prices!C149,-(Inputs!$B$25-1),0,Inputs!$B$25,1)))/(MAX(OFFSET(Prices!C149,-(Inputs!$B$25-1),0,Inputs!$B$25,1))-MIN(OFFSET(Prices!C149,-(Inputs!$B$25-1),0,Inputs!$B$25,1))))))</f>
        <v>14.625178355375724</v>
      </c>
    </row>
    <row r="150" spans="1:18" x14ac:dyDescent="0.25">
      <c r="A150" s="16">
        <f>Prices!A150</f>
        <v>147</v>
      </c>
      <c r="B150" s="17">
        <f>Prices!B150</f>
        <v>46076</v>
      </c>
      <c r="C150" s="18">
        <f>Prices!C150</f>
        <v>2845.25</v>
      </c>
      <c r="D150" s="19">
        <f>(2/(Inputs!$B$21+1))*C150+(1-(2/(Inputs!$B$21+1)))*D149</f>
        <v>2686.7656736492945</v>
      </c>
      <c r="E150" s="19">
        <f>(2/(Inputs!$B$22+1))*C150+(1-(2/(Inputs!$B$22+1)))*E149</f>
        <v>2538.3744819693948</v>
      </c>
      <c r="F150" s="20">
        <f t="shared" si="4"/>
        <v>148.39119167989975</v>
      </c>
      <c r="G150" s="19">
        <f ca="1">F150/(C150*Prices!G150)</f>
        <v>5.2259508471174652</v>
      </c>
      <c r="H150" s="19">
        <f ca="1">G150*Inputs!$B$29</f>
        <v>9.7725280841096609</v>
      </c>
      <c r="I150" s="19">
        <f ca="1">MAX(-Inputs!$B$8,MIN(Inputs!$B$8,H150))</f>
        <v>9.7725280841096609</v>
      </c>
      <c r="J150" s="19">
        <f>(2/(Inputs!$B$23+1))*C150+(1-(2/(Inputs!$B$23+1)))*J149</f>
        <v>2791.573963917047</v>
      </c>
      <c r="K150" s="19">
        <f>(2/(Inputs!$B$24+1))*C150+(1-(2/(Inputs!$B$24+1)))*K149</f>
        <v>2686.7656736492945</v>
      </c>
      <c r="L150" s="19">
        <f ca="1">(J150-K150)/(C150*Prices!G150)</f>
        <v>3.6910746999808999</v>
      </c>
      <c r="M150" s="19">
        <f ca="1">MAX(-Inputs!$B$8,MIN(Inputs!$B$8,L150*Inputs!$B$30))</f>
        <v>13.841530124928374</v>
      </c>
      <c r="N150" s="21">
        <v>2.3504000000000001E-2</v>
      </c>
      <c r="O150" s="12">
        <f>(2/(Inputs!$B$26+1))*N150+(1-(2/(Inputs!$B$26+1)))*O149</f>
        <v>1.4693707712478885E-2</v>
      </c>
      <c r="P150" s="19">
        <f ca="1">O150/(Prices!G150*SQRT(Inputs!$B$6))</f>
        <v>9.2021444031532035E-2</v>
      </c>
      <c r="Q150" s="19">
        <f ca="1">MAX(-Inputs!$B$8,MIN(Inputs!$B$8,P150*Inputs!$B$31))</f>
        <v>2.7606433209459609</v>
      </c>
      <c r="R150" s="19">
        <f ca="1">MAX(-Inputs!$B$8,MIN(Inputs!$B$8,Inputs!$B$32*(40*(C150-AVERAGE(OFFSET(Prices!C150,-(Inputs!$B$25-1),0,Inputs!$B$25,1)))/(MAX(OFFSET(Prices!C150,-(Inputs!$B$25-1),0,Inputs!$B$25,1))-MIN(OFFSET(Prices!C150,-(Inputs!$B$25-1),0,Inputs!$B$25,1))))))</f>
        <v>15.308794693145277</v>
      </c>
    </row>
    <row r="151" spans="1:18" x14ac:dyDescent="0.25">
      <c r="A151" s="16">
        <f>Prices!A151</f>
        <v>148</v>
      </c>
      <c r="B151" s="17">
        <f>Prices!B151</f>
        <v>46077</v>
      </c>
      <c r="C151" s="18">
        <f>Prices!C151</f>
        <v>2802.03</v>
      </c>
      <c r="D151" s="19">
        <f>(2/(Inputs!$B$21+1))*C151+(1-(2/(Inputs!$B$21+1)))*D150</f>
        <v>2690.3122683062393</v>
      </c>
      <c r="E151" s="19">
        <f>(2/(Inputs!$B$22+1))*C151+(1-(2/(Inputs!$B$22+1)))*E150</f>
        <v>2540.42627588403</v>
      </c>
      <c r="F151" s="20">
        <f t="shared" si="4"/>
        <v>149.88599242220926</v>
      </c>
      <c r="G151" s="19">
        <f ca="1">F151/(C151*Prices!G151)</f>
        <v>5.2242545618780607</v>
      </c>
      <c r="H151" s="19">
        <f ca="1">G151*Inputs!$B$29</f>
        <v>9.7693560307119736</v>
      </c>
      <c r="I151" s="19">
        <f ca="1">MAX(-Inputs!$B$8,MIN(Inputs!$B$8,H151))</f>
        <v>9.7693560307119736</v>
      </c>
      <c r="J151" s="19">
        <f>(2/(Inputs!$B$23+1))*C151+(1-(2/(Inputs!$B$23+1)))*J150</f>
        <v>2792.804085809159</v>
      </c>
      <c r="K151" s="19">
        <f>(2/(Inputs!$B$24+1))*C151+(1-(2/(Inputs!$B$24+1)))*K150</f>
        <v>2690.3122683062393</v>
      </c>
      <c r="L151" s="19">
        <f ca="1">(J151-K151)/(C151*Prices!G151)</f>
        <v>3.5723374579028579</v>
      </c>
      <c r="M151" s="19">
        <f ca="1">MAX(-Inputs!$B$8,MIN(Inputs!$B$8,L151*Inputs!$B$30))</f>
        <v>13.396265467135716</v>
      </c>
      <c r="N151" s="21">
        <v>2.3757E-2</v>
      </c>
      <c r="O151" s="12">
        <f>(2/(Inputs!$B$26+1))*N151+(1-(2/(Inputs!$B$26+1)))*O150</f>
        <v>1.4892900949567262E-2</v>
      </c>
      <c r="P151" s="19">
        <f ca="1">O151/(Prices!G151*SQRT(Inputs!$B$6))</f>
        <v>9.0906593091420462E-2</v>
      </c>
      <c r="Q151" s="19">
        <f ca="1">MAX(-Inputs!$B$8,MIN(Inputs!$B$8,P151*Inputs!$B$31))</f>
        <v>2.7271977927426141</v>
      </c>
      <c r="R151" s="19">
        <f ca="1">MAX(-Inputs!$B$8,MIN(Inputs!$B$8,Inputs!$B$32*(40*(C151-AVERAGE(OFFSET(Prices!C151,-(Inputs!$B$25-1),0,Inputs!$B$25,1)))/(MAX(OFFSET(Prices!C151,-(Inputs!$B$25-1),0,Inputs!$B$25,1))-MIN(OFFSET(Prices!C151,-(Inputs!$B$25-1),0,Inputs!$B$25,1))))))</f>
        <v>9.9003754850014403</v>
      </c>
    </row>
    <row r="152" spans="1:18" x14ac:dyDescent="0.25">
      <c r="A152" s="16">
        <f>Prices!A152</f>
        <v>149</v>
      </c>
      <c r="B152" s="17">
        <f>Prices!B152</f>
        <v>46078</v>
      </c>
      <c r="C152" s="18">
        <f>Prices!C152</f>
        <v>2792.35</v>
      </c>
      <c r="D152" s="19">
        <f>(2/(Inputs!$B$21+1))*C152+(1-(2/(Inputs!$B$21+1)))*D151</f>
        <v>2693.4518908198934</v>
      </c>
      <c r="E152" s="19">
        <f>(2/(Inputs!$B$22+1))*C152+(1-(2/(Inputs!$B$22+1)))*E151</f>
        <v>2542.3867717915473</v>
      </c>
      <c r="F152" s="20">
        <f t="shared" si="4"/>
        <v>151.06511902834609</v>
      </c>
      <c r="G152" s="19">
        <f ca="1">F152/(C152*Prices!G152)</f>
        <v>5.3021818186916292</v>
      </c>
      <c r="H152" s="19">
        <f ca="1">G152*Inputs!$B$29</f>
        <v>9.9150800009533473</v>
      </c>
      <c r="I152" s="19">
        <f ca="1">MAX(-Inputs!$B$8,MIN(Inputs!$B$8,H152))</f>
        <v>9.9150800009533473</v>
      </c>
      <c r="J152" s="19">
        <f>(2/(Inputs!$B$23+1))*C152+(1-(2/(Inputs!$B$23+1)))*J151</f>
        <v>2792.7506639492581</v>
      </c>
      <c r="K152" s="19">
        <f>(2/(Inputs!$B$24+1))*C152+(1-(2/(Inputs!$B$24+1)))*K151</f>
        <v>2693.4518908198934</v>
      </c>
      <c r="L152" s="19">
        <f ca="1">(J152-K152)/(C152*Prices!G152)</f>
        <v>3.4852529352332424</v>
      </c>
      <c r="M152" s="19">
        <f ca="1">MAX(-Inputs!$B$8,MIN(Inputs!$B$8,L152*Inputs!$B$30))</f>
        <v>13.069698507124659</v>
      </c>
      <c r="N152" s="21">
        <v>2.3987000000000001E-2</v>
      </c>
      <c r="O152" s="12">
        <f>(2/(Inputs!$B$26+1))*N152+(1-(2/(Inputs!$B$26+1)))*O151</f>
        <v>1.5092771258367981E-2</v>
      </c>
      <c r="P152" s="19">
        <f ca="1">O152/(Prices!G152*SQRT(Inputs!$B$6))</f>
        <v>9.2450503184441549E-2</v>
      </c>
      <c r="Q152" s="19">
        <f ca="1">MAX(-Inputs!$B$8,MIN(Inputs!$B$8,P152*Inputs!$B$31))</f>
        <v>2.7735150955332464</v>
      </c>
      <c r="R152" s="19">
        <f ca="1">MAX(-Inputs!$B$8,MIN(Inputs!$B$8,Inputs!$B$32*(40*(C152-AVERAGE(OFFSET(Prices!C152,-(Inputs!$B$25-1),0,Inputs!$B$25,1)))/(MAX(OFFSET(Prices!C152,-(Inputs!$B$25-1),0,Inputs!$B$25,1))-MIN(OFFSET(Prices!C152,-(Inputs!$B$25-1),0,Inputs!$B$25,1))))))</f>
        <v>8.4859193124451409</v>
      </c>
    </row>
    <row r="153" spans="1:18" x14ac:dyDescent="0.25">
      <c r="A153" s="16">
        <f>Prices!A153</f>
        <v>150</v>
      </c>
      <c r="B153" s="17">
        <f>Prices!B153</f>
        <v>46079</v>
      </c>
      <c r="C153" s="18">
        <f>Prices!C153</f>
        <v>2801.04</v>
      </c>
      <c r="D153" s="19">
        <f>(2/(Inputs!$B$21+1))*C153+(1-(2/(Inputs!$B$21+1)))*D152</f>
        <v>2696.7622941792815</v>
      </c>
      <c r="E153" s="19">
        <f>(2/(Inputs!$B$22+1))*C153+(1-(2/(Inputs!$B$22+1)))*E152</f>
        <v>2544.3996373807181</v>
      </c>
      <c r="F153" s="20">
        <f t="shared" si="4"/>
        <v>152.36265679856342</v>
      </c>
      <c r="G153" s="19">
        <f ca="1">F153/(C153*Prices!G153)</f>
        <v>5.3358122298685711</v>
      </c>
      <c r="H153" s="19">
        <f ca="1">G153*Inputs!$B$29</f>
        <v>9.9779688698542284</v>
      </c>
      <c r="I153" s="19">
        <f ca="1">MAX(-Inputs!$B$8,MIN(Inputs!$B$8,H153))</f>
        <v>9.9779688698542284</v>
      </c>
      <c r="J153" s="19">
        <f>(2/(Inputs!$B$23+1))*C153+(1-(2/(Inputs!$B$23+1)))*J152</f>
        <v>2793.7258799552278</v>
      </c>
      <c r="K153" s="19">
        <f>(2/(Inputs!$B$24+1))*C153+(1-(2/(Inputs!$B$24+1)))*K152</f>
        <v>2696.7622941792815</v>
      </c>
      <c r="L153" s="19">
        <f ca="1">(J153-K153)/(C153*Prices!G153)</f>
        <v>3.3957105875308065</v>
      </c>
      <c r="M153" s="19">
        <f ca="1">MAX(-Inputs!$B$8,MIN(Inputs!$B$8,L153*Inputs!$B$30))</f>
        <v>12.733914703240524</v>
      </c>
      <c r="N153" s="21">
        <v>2.4195000000000001E-2</v>
      </c>
      <c r="O153" s="12">
        <f>(2/(Inputs!$B$26+1))*N153+(1-(2/(Inputs!$B$26+1)))*O152</f>
        <v>1.5292820241700552E-2</v>
      </c>
      <c r="P153" s="19">
        <f ca="1">O153/(Prices!G153*SQRT(Inputs!$B$6))</f>
        <v>9.3758124847530613E-2</v>
      </c>
      <c r="Q153" s="19">
        <f ca="1">MAX(-Inputs!$B$8,MIN(Inputs!$B$8,P153*Inputs!$B$31))</f>
        <v>2.8127437454259185</v>
      </c>
      <c r="R153" s="19">
        <f ca="1">MAX(-Inputs!$B$8,MIN(Inputs!$B$8,Inputs!$B$32*(40*(C153-AVERAGE(OFFSET(Prices!C153,-(Inputs!$B$25-1),0,Inputs!$B$25,1)))/(MAX(OFFSET(Prices!C153,-(Inputs!$B$25-1),0,Inputs!$B$25,1))-MIN(OFFSET(Prices!C153,-(Inputs!$B$25-1),0,Inputs!$B$25,1))))))</f>
        <v>8.9987191789393943</v>
      </c>
    </row>
    <row r="154" spans="1:18" x14ac:dyDescent="0.25">
      <c r="A154" s="16">
        <f>Prices!A154</f>
        <v>151</v>
      </c>
      <c r="B154" s="17">
        <f>Prices!B154</f>
        <v>46080</v>
      </c>
      <c r="C154" s="18">
        <f>Prices!C154</f>
        <v>2825.52</v>
      </c>
      <c r="D154" s="19">
        <f>(2/(Inputs!$B$21+1))*C154+(1-(2/(Inputs!$B$21+1)))*D153</f>
        <v>2700.7240697429957</v>
      </c>
      <c r="E154" s="19">
        <f>(2/(Inputs!$B$22+1))*C154+(1-(2/(Inputs!$B$22+1)))*E153</f>
        <v>2546.5873444828139</v>
      </c>
      <c r="F154" s="20">
        <f t="shared" si="4"/>
        <v>154.13672526018172</v>
      </c>
      <c r="G154" s="19">
        <f ca="1">F154/(C154*Prices!G154)</f>
        <v>5.4632439021972603</v>
      </c>
      <c r="H154" s="19">
        <f ca="1">G154*Inputs!$B$29</f>
        <v>10.216266097108877</v>
      </c>
      <c r="I154" s="19">
        <f ca="1">MAX(-Inputs!$B$8,MIN(Inputs!$B$8,H154))</f>
        <v>10.216266097108877</v>
      </c>
      <c r="J154" s="19">
        <f>(2/(Inputs!$B$23+1))*C154+(1-(2/(Inputs!$B$23+1)))*J153</f>
        <v>2797.4663646663776</v>
      </c>
      <c r="K154" s="19">
        <f>(2/(Inputs!$B$24+1))*C154+(1-(2/(Inputs!$B$24+1)))*K153</f>
        <v>2700.7240697429957</v>
      </c>
      <c r="L154" s="19">
        <f ca="1">(J154-K154)/(C154*Prices!G154)</f>
        <v>3.4289475913841145</v>
      </c>
      <c r="M154" s="19">
        <f ca="1">MAX(-Inputs!$B$8,MIN(Inputs!$B$8,L154*Inputs!$B$30))</f>
        <v>12.858553467690429</v>
      </c>
      <c r="N154" s="21">
        <v>2.4379999999999999E-2</v>
      </c>
      <c r="O154" s="12">
        <f>(2/(Inputs!$B$26+1))*N154+(1-(2/(Inputs!$B$26+1)))*O153</f>
        <v>1.5492538478146693E-2</v>
      </c>
      <c r="P154" s="19">
        <f ca="1">O154/(Prices!G154*SQRT(Inputs!$B$6))</f>
        <v>9.6971798046061444E-2</v>
      </c>
      <c r="Q154" s="19">
        <f ca="1">MAX(-Inputs!$B$8,MIN(Inputs!$B$8,P154*Inputs!$B$31))</f>
        <v>2.9091539413818435</v>
      </c>
      <c r="R154" s="19">
        <f ca="1">MAX(-Inputs!$B$8,MIN(Inputs!$B$8,Inputs!$B$32*(40*(C154-AVERAGE(OFFSET(Prices!C154,-(Inputs!$B$25-1),0,Inputs!$B$25,1)))/(MAX(OFFSET(Prices!C154,-(Inputs!$B$25-1),0,Inputs!$B$25,1))-MIN(OFFSET(Prices!C154,-(Inputs!$B$25-1),0,Inputs!$B$25,1))))))</f>
        <v>11.333025991906103</v>
      </c>
    </row>
    <row r="155" spans="1:18" x14ac:dyDescent="0.25">
      <c r="A155" s="16">
        <f>Prices!A155</f>
        <v>152</v>
      </c>
      <c r="B155" s="17">
        <f>Prices!B155</f>
        <v>46083</v>
      </c>
      <c r="C155" s="18">
        <f>Prices!C155</f>
        <v>2867.85</v>
      </c>
      <c r="D155" s="19">
        <f>(2/(Inputs!$B$21+1))*C155+(1-(2/(Inputs!$B$21+1)))*D154</f>
        <v>2705.8664060585957</v>
      </c>
      <c r="E155" s="19">
        <f>(2/(Inputs!$B$22+1))*C155+(1-(2/(Inputs!$B$22+1)))*E154</f>
        <v>2549.087442969329</v>
      </c>
      <c r="F155" s="20">
        <f t="shared" si="4"/>
        <v>156.77896308926665</v>
      </c>
      <c r="G155" s="19">
        <f ca="1">F155/(C155*Prices!G155)</f>
        <v>5.4536366432402934</v>
      </c>
      <c r="H155" s="19">
        <f ca="1">G155*Inputs!$B$29</f>
        <v>10.198300522859348</v>
      </c>
      <c r="I155" s="19">
        <f ca="1">MAX(-Inputs!$B$8,MIN(Inputs!$B$8,H155))</f>
        <v>10.198300522859348</v>
      </c>
      <c r="J155" s="19">
        <f>(2/(Inputs!$B$23+1))*C155+(1-(2/(Inputs!$B$23+1)))*J154</f>
        <v>2805.746792352686</v>
      </c>
      <c r="K155" s="19">
        <f>(2/(Inputs!$B$24+1))*C155+(1-(2/(Inputs!$B$24+1)))*K154</f>
        <v>2705.8664060585957</v>
      </c>
      <c r="L155" s="19">
        <f ca="1">(J155-K155)/(C155*Prices!G155)</f>
        <v>3.4743904660493241</v>
      </c>
      <c r="M155" s="19">
        <f ca="1">MAX(-Inputs!$B$8,MIN(Inputs!$B$8,L155*Inputs!$B$30))</f>
        <v>13.028964247684966</v>
      </c>
      <c r="N155" s="21">
        <v>2.4542000000000001E-2</v>
      </c>
      <c r="O155" s="12">
        <f>(2/(Inputs!$B$26+1))*N155+(1-(2/(Inputs!$B$26+1)))*O154</f>
        <v>1.5691427742363248E-2</v>
      </c>
      <c r="P155" s="19">
        <f ca="1">O155/(Prices!G155*SQRT(Inputs!$B$6))</f>
        <v>9.783569222297693E-2</v>
      </c>
      <c r="Q155" s="19">
        <f ca="1">MAX(-Inputs!$B$8,MIN(Inputs!$B$8,P155*Inputs!$B$31))</f>
        <v>2.9350707666893081</v>
      </c>
      <c r="R155" s="19">
        <f ca="1">MAX(-Inputs!$B$8,MIN(Inputs!$B$8,Inputs!$B$32*(40*(C155-AVERAGE(OFFSET(Prices!C155,-(Inputs!$B$25-1),0,Inputs!$B$25,1)))/(MAX(OFFSET(Prices!C155,-(Inputs!$B$25-1),0,Inputs!$B$25,1))-MIN(OFFSET(Prices!C155,-(Inputs!$B$25-1),0,Inputs!$B$25,1))))))</f>
        <v>14.63128115264789</v>
      </c>
    </row>
    <row r="156" spans="1:18" x14ac:dyDescent="0.25">
      <c r="A156" s="16">
        <f>Prices!A156</f>
        <v>153</v>
      </c>
      <c r="B156" s="17">
        <f>Prices!B156</f>
        <v>46084</v>
      </c>
      <c r="C156" s="18">
        <f>Prices!C156</f>
        <v>2868.01</v>
      </c>
      <c r="D156" s="19">
        <f>(2/(Inputs!$B$21+1))*C156+(1-(2/(Inputs!$B$21+1)))*D155</f>
        <v>2710.8554397183311</v>
      </c>
      <c r="E156" s="19">
        <f>(2/(Inputs!$B$22+1))*C156+(1-(2/(Inputs!$B$22+1)))*E155</f>
        <v>2551.5693305726809</v>
      </c>
      <c r="F156" s="20">
        <f t="shared" si="4"/>
        <v>159.28610914565024</v>
      </c>
      <c r="G156" s="19">
        <f ca="1">F156/(C156*Prices!G156)</f>
        <v>5.5634439417634667</v>
      </c>
      <c r="H156" s="19">
        <f ca="1">G156*Inputs!$B$29</f>
        <v>10.403640171097683</v>
      </c>
      <c r="I156" s="19">
        <f ca="1">MAX(-Inputs!$B$8,MIN(Inputs!$B$8,H156))</f>
        <v>10.403640171097683</v>
      </c>
      <c r="J156" s="19">
        <f>(2/(Inputs!$B$23+1))*C156+(1-(2/(Inputs!$B$23+1)))*J155</f>
        <v>2813.0718756053111</v>
      </c>
      <c r="K156" s="19">
        <f>(2/(Inputs!$B$24+1))*C156+(1-(2/(Inputs!$B$24+1)))*K155</f>
        <v>2710.8554397183311</v>
      </c>
      <c r="L156" s="19">
        <f ca="1">(J156-K156)/(C156*Prices!G156)</f>
        <v>3.5701506806477346</v>
      </c>
      <c r="M156" s="19">
        <f ca="1">MAX(-Inputs!$B$8,MIN(Inputs!$B$8,L156*Inputs!$B$30))</f>
        <v>13.388065052429004</v>
      </c>
      <c r="N156" s="21">
        <v>2.4679E-2</v>
      </c>
      <c r="O156" s="12">
        <f>(2/(Inputs!$B$26+1))*N156+(1-(2/(Inputs!$B$26+1)))*O155</f>
        <v>1.5888956802970651E-2</v>
      </c>
      <c r="P156" s="19">
        <f ca="1">O156/(Prices!G156*SQRT(Inputs!$B$6))</f>
        <v>9.9476815818533029E-2</v>
      </c>
      <c r="Q156" s="19">
        <f ca="1">MAX(-Inputs!$B$8,MIN(Inputs!$B$8,P156*Inputs!$B$31))</f>
        <v>2.9843044745559908</v>
      </c>
      <c r="R156" s="19">
        <f ca="1">MAX(-Inputs!$B$8,MIN(Inputs!$B$8,Inputs!$B$32*(40*(C156-AVERAGE(OFFSET(Prices!C156,-(Inputs!$B$25-1),0,Inputs!$B$25,1)))/(MAX(OFFSET(Prices!C156,-(Inputs!$B$25-1),0,Inputs!$B$25,1))-MIN(OFFSET(Prices!C156,-(Inputs!$B$25-1),0,Inputs!$B$25,1))))))</f>
        <v>14.04118929016186</v>
      </c>
    </row>
    <row r="157" spans="1:18" x14ac:dyDescent="0.25">
      <c r="A157" s="16">
        <f>Prices!A157</f>
        <v>154</v>
      </c>
      <c r="B157" s="17">
        <f>Prices!B157</f>
        <v>46085</v>
      </c>
      <c r="C157" s="18">
        <f>Prices!C157</f>
        <v>2837.4</v>
      </c>
      <c r="D157" s="19">
        <f>(2/(Inputs!$B$21+1))*C157+(1-(2/(Inputs!$B$21+1)))*D156</f>
        <v>2714.7491184962287</v>
      </c>
      <c r="E157" s="19">
        <f>(2/(Inputs!$B$22+1))*C157+(1-(2/(Inputs!$B$22+1)))*E156</f>
        <v>2553.7936937588856</v>
      </c>
      <c r="F157" s="20">
        <f t="shared" si="4"/>
        <v>160.95542473734304</v>
      </c>
      <c r="G157" s="19">
        <f ca="1">F157/(C157*Prices!G157)</f>
        <v>5.6707583709899358</v>
      </c>
      <c r="H157" s="19">
        <f ca="1">G157*Inputs!$B$29</f>
        <v>10.60431815375118</v>
      </c>
      <c r="I157" s="19">
        <f ca="1">MAX(-Inputs!$B$8,MIN(Inputs!$B$8,H157))</f>
        <v>10.60431815375118</v>
      </c>
      <c r="J157" s="19">
        <f>(2/(Inputs!$B$23+1))*C157+(1-(2/(Inputs!$B$23+1)))*J156</f>
        <v>2815.9340078870391</v>
      </c>
      <c r="K157" s="19">
        <f>(2/(Inputs!$B$24+1))*C157+(1-(2/(Inputs!$B$24+1)))*K156</f>
        <v>2714.7491184962287</v>
      </c>
      <c r="L157" s="19">
        <f ca="1">(J157-K157)/(C157*Prices!G157)</f>
        <v>3.5649314676220643</v>
      </c>
      <c r="M157" s="19">
        <f ca="1">MAX(-Inputs!$B$8,MIN(Inputs!$B$8,L157*Inputs!$B$30))</f>
        <v>13.36849300358274</v>
      </c>
      <c r="N157" s="21">
        <v>2.4792999999999999E-2</v>
      </c>
      <c r="O157" s="12">
        <f>(2/(Inputs!$B$26+1))*N157+(1-(2/(Inputs!$B$26+1)))*O156</f>
        <v>1.6084650060048219E-2</v>
      </c>
      <c r="P157" s="19">
        <f ca="1">O157/(Prices!G157*SQRT(Inputs!$B$6))</f>
        <v>0.1004957562310337</v>
      </c>
      <c r="Q157" s="19">
        <f ca="1">MAX(-Inputs!$B$8,MIN(Inputs!$B$8,P157*Inputs!$B$31))</f>
        <v>3.0148726869310107</v>
      </c>
      <c r="R157" s="19">
        <f ca="1">MAX(-Inputs!$B$8,MIN(Inputs!$B$8,Inputs!$B$32*(40*(C157-AVERAGE(OFFSET(Prices!C157,-(Inputs!$B$25-1),0,Inputs!$B$25,1)))/(MAX(OFFSET(Prices!C157,-(Inputs!$B$25-1),0,Inputs!$B$25,1))-MIN(OFFSET(Prices!C157,-(Inputs!$B$25-1),0,Inputs!$B$25,1))))))</f>
        <v>10.149046544209183</v>
      </c>
    </row>
    <row r="158" spans="1:18" x14ac:dyDescent="0.25">
      <c r="A158" s="16">
        <f>Prices!A158</f>
        <v>155</v>
      </c>
      <c r="B158" s="17">
        <f>Prices!B158</f>
        <v>46086</v>
      </c>
      <c r="C158" s="18">
        <f>Prices!C158</f>
        <v>2851.81</v>
      </c>
      <c r="D158" s="19">
        <f>(2/(Inputs!$B$21+1))*C158+(1-(2/(Inputs!$B$21+1)))*D157</f>
        <v>2718.9663763886524</v>
      </c>
      <c r="E158" s="19">
        <f>(2/(Inputs!$B$22+1))*C158+(1-(2/(Inputs!$B$22+1)))*E157</f>
        <v>2556.1128868035635</v>
      </c>
      <c r="F158" s="20">
        <f t="shared" si="4"/>
        <v>162.85348958508894</v>
      </c>
      <c r="G158" s="19">
        <f ca="1">F158/(C158*Prices!G158)</f>
        <v>5.725851959121032</v>
      </c>
      <c r="H158" s="19">
        <f ca="1">G158*Inputs!$B$29</f>
        <v>10.707343163556331</v>
      </c>
      <c r="I158" s="19">
        <f ca="1">MAX(-Inputs!$B$8,MIN(Inputs!$B$8,H158))</f>
        <v>10.707343163556331</v>
      </c>
      <c r="J158" s="19">
        <f>(2/(Inputs!$B$23+1))*C158+(1-(2/(Inputs!$B$23+1)))*J157</f>
        <v>2820.154712841505</v>
      </c>
      <c r="K158" s="19">
        <f>(2/(Inputs!$B$24+1))*C158+(1-(2/(Inputs!$B$24+1)))*K157</f>
        <v>2718.9663763886524</v>
      </c>
      <c r="L158" s="19">
        <f ca="1">(J158-K158)/(C158*Prices!G158)</f>
        <v>3.5577342309023123</v>
      </c>
      <c r="M158" s="19">
        <f ca="1">MAX(-Inputs!$B$8,MIN(Inputs!$B$8,L158*Inputs!$B$30))</f>
        <v>13.341503365883671</v>
      </c>
      <c r="N158" s="21">
        <v>2.4882000000000001E-2</v>
      </c>
      <c r="O158" s="12">
        <f>(2/(Inputs!$B$26+1))*N158+(1-(2/(Inputs!$B$26+1)))*O157</f>
        <v>1.6277998410376832E-2</v>
      </c>
      <c r="P158" s="19">
        <f ca="1">O158/(Prices!G158*SQRT(Inputs!$B$6))</f>
        <v>0.10201044753870354</v>
      </c>
      <c r="Q158" s="19">
        <f ca="1">MAX(-Inputs!$B$8,MIN(Inputs!$B$8,P158*Inputs!$B$31))</f>
        <v>3.0603134261611062</v>
      </c>
      <c r="R158" s="19">
        <f ca="1">MAX(-Inputs!$B$8,MIN(Inputs!$B$8,Inputs!$B$32*(40*(C158-AVERAGE(OFFSET(Prices!C158,-(Inputs!$B$25-1),0,Inputs!$B$25,1)))/(MAX(OFFSET(Prices!C158,-(Inputs!$B$25-1),0,Inputs!$B$25,1))-MIN(OFFSET(Prices!C158,-(Inputs!$B$25-1),0,Inputs!$B$25,1))))))</f>
        <v>11.126747353673725</v>
      </c>
    </row>
    <row r="159" spans="1:18" x14ac:dyDescent="0.25">
      <c r="A159" s="16">
        <f>Prices!A159</f>
        <v>156</v>
      </c>
      <c r="B159" s="17">
        <f>Prices!B159</f>
        <v>46087</v>
      </c>
      <c r="C159" s="18">
        <f>Prices!C159</f>
        <v>2867.98</v>
      </c>
      <c r="D159" s="19">
        <f>(2/(Inputs!$B$21+1))*C159+(1-(2/(Inputs!$B$21+1)))*D158</f>
        <v>2723.5514109613096</v>
      </c>
      <c r="E159" s="19">
        <f>(2/(Inputs!$B$22+1))*C159+(1-(2/(Inputs!$B$22+1)))*E158</f>
        <v>2558.5398682292166</v>
      </c>
      <c r="F159" s="20">
        <f t="shared" si="4"/>
        <v>165.01154273209295</v>
      </c>
      <c r="G159" s="19">
        <f ca="1">F159/(C159*Prices!G159)</f>
        <v>5.7811690784879195</v>
      </c>
      <c r="H159" s="19">
        <f ca="1">G159*Inputs!$B$29</f>
        <v>10.81078617677241</v>
      </c>
      <c r="I159" s="19">
        <f ca="1">MAX(-Inputs!$B$8,MIN(Inputs!$B$8,H159))</f>
        <v>10.81078617677241</v>
      </c>
      <c r="J159" s="19">
        <f>(2/(Inputs!$B$23+1))*C159+(1-(2/(Inputs!$B$23+1)))*J158</f>
        <v>2825.7812172130925</v>
      </c>
      <c r="K159" s="19">
        <f>(2/(Inputs!$B$24+1))*C159+(1-(2/(Inputs!$B$24+1)))*K158</f>
        <v>2723.5514109613096</v>
      </c>
      <c r="L159" s="19">
        <f ca="1">(J159-K159)/(C159*Prices!G159)</f>
        <v>3.5816148677681214</v>
      </c>
      <c r="M159" s="19">
        <f ca="1">MAX(-Inputs!$B$8,MIN(Inputs!$B$8,L159*Inputs!$B$30))</f>
        <v>13.431055754130455</v>
      </c>
      <c r="N159" s="21">
        <v>2.4945999999999999E-2</v>
      </c>
      <c r="O159" s="12">
        <f>(2/(Inputs!$B$26+1))*N159+(1-(2/(Inputs!$B$26+1)))*O158</f>
        <v>1.64685039398191E-2</v>
      </c>
      <c r="P159" s="19">
        <f ca="1">O159/(Prices!G159*SQRT(Inputs!$B$6))</f>
        <v>0.10342169001256959</v>
      </c>
      <c r="Q159" s="19">
        <f ca="1">MAX(-Inputs!$B$8,MIN(Inputs!$B$8,P159*Inputs!$B$31))</f>
        <v>3.102650700377088</v>
      </c>
      <c r="R159" s="19">
        <f ca="1">MAX(-Inputs!$B$8,MIN(Inputs!$B$8,Inputs!$B$32*(40*(C159-AVERAGE(OFFSET(Prices!C159,-(Inputs!$B$25-1),0,Inputs!$B$25,1)))/(MAX(OFFSET(Prices!C159,-(Inputs!$B$25-1),0,Inputs!$B$25,1))-MIN(OFFSET(Prices!C159,-(Inputs!$B$25-1),0,Inputs!$B$25,1))))))</f>
        <v>12.379533779576622</v>
      </c>
    </row>
    <row r="160" spans="1:18" x14ac:dyDescent="0.25">
      <c r="A160" s="16">
        <f>Prices!A160</f>
        <v>157</v>
      </c>
      <c r="B160" s="17">
        <f>Prices!B160</f>
        <v>46090</v>
      </c>
      <c r="C160" s="18">
        <f>Prices!C160</f>
        <v>2883.52</v>
      </c>
      <c r="D160" s="19">
        <f>(2/(Inputs!$B$21+1))*C160+(1-(2/(Inputs!$B$21+1)))*D159</f>
        <v>2728.473521393269</v>
      </c>
      <c r="E160" s="19">
        <f>(2/(Inputs!$B$22+1))*C160+(1-(2/(Inputs!$B$22+1)))*E159</f>
        <v>2561.0688964920241</v>
      </c>
      <c r="F160" s="20">
        <f t="shared" si="4"/>
        <v>167.40462490124492</v>
      </c>
      <c r="G160" s="19">
        <f ca="1">F160/(C160*Prices!G160)</f>
        <v>5.8319723820660663</v>
      </c>
      <c r="H160" s="19">
        <f ca="1">G160*Inputs!$B$29</f>
        <v>10.905788354463544</v>
      </c>
      <c r="I160" s="19">
        <f ca="1">MAX(-Inputs!$B$8,MIN(Inputs!$B$8,H160))</f>
        <v>10.905788354463544</v>
      </c>
      <c r="J160" s="19">
        <f>(2/(Inputs!$B$23+1))*C160+(1-(2/(Inputs!$B$23+1)))*J159</f>
        <v>2832.5740151880227</v>
      </c>
      <c r="K160" s="19">
        <f>(2/(Inputs!$B$24+1))*C160+(1-(2/(Inputs!$B$24+1)))*K159</f>
        <v>2728.473521393269</v>
      </c>
      <c r="L160" s="19">
        <f ca="1">(J160-K160)/(C160*Prices!G160)</f>
        <v>3.6266095105113698</v>
      </c>
      <c r="M160" s="19">
        <f ca="1">MAX(-Inputs!$B$8,MIN(Inputs!$B$8,L160*Inputs!$B$30))</f>
        <v>13.599785664417636</v>
      </c>
      <c r="N160" s="21">
        <v>2.4985E-2</v>
      </c>
      <c r="O160" s="12">
        <f>(2/(Inputs!$B$26+1))*N160+(1-(2/(Inputs!$B$26+1)))*O159</f>
        <v>1.6655679677405492E-2</v>
      </c>
      <c r="P160" s="19">
        <f ca="1">O160/(Prices!G160*SQRT(Inputs!$B$6))</f>
        <v>0.10457150339395631</v>
      </c>
      <c r="Q160" s="19">
        <f ca="1">MAX(-Inputs!$B$8,MIN(Inputs!$B$8,P160*Inputs!$B$31))</f>
        <v>3.1371451018186893</v>
      </c>
      <c r="R160" s="19">
        <f ca="1">MAX(-Inputs!$B$8,MIN(Inputs!$B$8,Inputs!$B$32*(40*(C160-AVERAGE(OFFSET(Prices!C160,-(Inputs!$B$25-1),0,Inputs!$B$25,1)))/(MAX(OFFSET(Prices!C160,-(Inputs!$B$25-1),0,Inputs!$B$25,1))-MIN(OFFSET(Prices!C160,-(Inputs!$B$25-1),0,Inputs!$B$25,1))))))</f>
        <v>12.682416412816064</v>
      </c>
    </row>
    <row r="161" spans="1:18" x14ac:dyDescent="0.25">
      <c r="A161" s="16">
        <f>Prices!A161</f>
        <v>158</v>
      </c>
      <c r="B161" s="17">
        <f>Prices!B161</f>
        <v>46091</v>
      </c>
      <c r="C161" s="18">
        <f>Prices!C161</f>
        <v>2864.77</v>
      </c>
      <c r="D161" s="19">
        <f>(2/(Inputs!$B$21+1))*C161+(1-(2/(Inputs!$B$21+1)))*D160</f>
        <v>2732.667259196553</v>
      </c>
      <c r="E161" s="19">
        <f>(2/(Inputs!$B$22+1))*C161+(1-(2/(Inputs!$B$22+1)))*E160</f>
        <v>2563.4323292041486</v>
      </c>
      <c r="F161" s="20">
        <f t="shared" si="4"/>
        <v>169.23492999240443</v>
      </c>
      <c r="G161" s="19">
        <f ca="1">F161/(C161*Prices!G161)</f>
        <v>6.0127334518720321</v>
      </c>
      <c r="H161" s="19">
        <f ca="1">G161*Inputs!$B$29</f>
        <v>11.243811555000701</v>
      </c>
      <c r="I161" s="19">
        <f ca="1">MAX(-Inputs!$B$8,MIN(Inputs!$B$8,H161))</f>
        <v>11.243811555000701</v>
      </c>
      <c r="J161" s="19">
        <f>(2/(Inputs!$B$23+1))*C161+(1-(2/(Inputs!$B$23+1)))*J160</f>
        <v>2836.3617781070789</v>
      </c>
      <c r="K161" s="19">
        <f>(2/(Inputs!$B$24+1))*C161+(1-(2/(Inputs!$B$24+1)))*K160</f>
        <v>2732.667259196553</v>
      </c>
      <c r="L161" s="19">
        <f ca="1">(J161-K161)/(C161*Prices!G161)</f>
        <v>3.6841537539388534</v>
      </c>
      <c r="M161" s="19">
        <f ca="1">MAX(-Inputs!$B$8,MIN(Inputs!$B$8,L161*Inputs!$B$30))</f>
        <v>13.815576577270701</v>
      </c>
      <c r="N161" s="21">
        <v>2.5000000000000001E-2</v>
      </c>
      <c r="O161" s="12">
        <f>(2/(Inputs!$B$26+1))*N161+(1-(2/(Inputs!$B$26+1)))*O160</f>
        <v>1.6839071332847132E-2</v>
      </c>
      <c r="P161" s="19">
        <f ca="1">O161/(Prices!G161*SQRT(Inputs!$B$6))</f>
        <v>0.10711982629332284</v>
      </c>
      <c r="Q161" s="19">
        <f ca="1">MAX(-Inputs!$B$8,MIN(Inputs!$B$8,P161*Inputs!$B$31))</f>
        <v>3.2135947887996852</v>
      </c>
      <c r="R161" s="19">
        <f ca="1">MAX(-Inputs!$B$8,MIN(Inputs!$B$8,Inputs!$B$32*(40*(C161-AVERAGE(OFFSET(Prices!C161,-(Inputs!$B$25-1),0,Inputs!$B$25,1)))/(MAX(OFFSET(Prices!C161,-(Inputs!$B$25-1),0,Inputs!$B$25,1))-MIN(OFFSET(Prices!C161,-(Inputs!$B$25-1),0,Inputs!$B$25,1))))))</f>
        <v>10.188651961683799</v>
      </c>
    </row>
    <row r="162" spans="1:18" x14ac:dyDescent="0.25">
      <c r="A162" s="16">
        <f>Prices!A162</f>
        <v>159</v>
      </c>
      <c r="B162" s="17">
        <f>Prices!B162</f>
        <v>46092</v>
      </c>
      <c r="C162" s="18">
        <f>Prices!C162</f>
        <v>2898.67</v>
      </c>
      <c r="D162" s="19">
        <f>(2/(Inputs!$B$21+1))*C162+(1-(2/(Inputs!$B$21+1)))*D161</f>
        <v>2737.7750358366593</v>
      </c>
      <c r="E162" s="19">
        <f>(2/(Inputs!$B$22+1))*C162+(1-(2/(Inputs!$B$22+1)))*E161</f>
        <v>2566.0411826733771</v>
      </c>
      <c r="F162" s="20">
        <f t="shared" si="4"/>
        <v>171.73385316328222</v>
      </c>
      <c r="G162" s="19">
        <f ca="1">F162/(C162*Prices!G162)</f>
        <v>5.9754696060963397</v>
      </c>
      <c r="H162" s="19">
        <f ca="1">G162*Inputs!$B$29</f>
        <v>11.174128163400155</v>
      </c>
      <c r="I162" s="19">
        <f ca="1">MAX(-Inputs!$B$8,MIN(Inputs!$B$8,H162))</f>
        <v>11.174128163400155</v>
      </c>
      <c r="J162" s="19">
        <f>(2/(Inputs!$B$23+1))*C162+(1-(2/(Inputs!$B$23+1)))*J161</f>
        <v>2843.6921571533048</v>
      </c>
      <c r="K162" s="19">
        <f>(2/(Inputs!$B$24+1))*C162+(1-(2/(Inputs!$B$24+1)))*K161</f>
        <v>2737.7750358366593</v>
      </c>
      <c r="L162" s="19">
        <f ca="1">(J162-K162)/(C162*Prices!G162)</f>
        <v>3.6853801829688004</v>
      </c>
      <c r="M162" s="19">
        <f ca="1">MAX(-Inputs!$B$8,MIN(Inputs!$B$8,L162*Inputs!$B$30))</f>
        <v>13.820175686133002</v>
      </c>
      <c r="N162" s="21">
        <v>2.4989000000000001E-2</v>
      </c>
      <c r="O162" s="12">
        <f>(2/(Inputs!$B$26+1))*N162+(1-(2/(Inputs!$B$26+1)))*O161</f>
        <v>1.701819064421313E-2</v>
      </c>
      <c r="P162" s="19">
        <f ca="1">O162/(Prices!G162*SQRT(Inputs!$B$6))</f>
        <v>0.10727741625194451</v>
      </c>
      <c r="Q162" s="19">
        <f ca="1">MAX(-Inputs!$B$8,MIN(Inputs!$B$8,P162*Inputs!$B$31))</f>
        <v>3.2183224875583352</v>
      </c>
      <c r="R162" s="19">
        <f ca="1">MAX(-Inputs!$B$8,MIN(Inputs!$B$8,Inputs!$B$32*(40*(C162-AVERAGE(OFFSET(Prices!C162,-(Inputs!$B$25-1),0,Inputs!$B$25,1)))/(MAX(OFFSET(Prices!C162,-(Inputs!$B$25-1),0,Inputs!$B$25,1))-MIN(OFFSET(Prices!C162,-(Inputs!$B$25-1),0,Inputs!$B$25,1))))))</f>
        <v>12.42343022042972</v>
      </c>
    </row>
    <row r="163" spans="1:18" x14ac:dyDescent="0.25">
      <c r="A163" s="16">
        <f>Prices!A163</f>
        <v>160</v>
      </c>
      <c r="B163" s="17">
        <f>Prices!B163</f>
        <v>46093</v>
      </c>
      <c r="C163" s="18">
        <f>Prices!C163</f>
        <v>2902.67</v>
      </c>
      <c r="D163" s="19">
        <f>(2/(Inputs!$B$21+1))*C163+(1-(2/(Inputs!$B$21+1)))*D162</f>
        <v>2742.8487270416854</v>
      </c>
      <c r="E163" s="19">
        <f>(2/(Inputs!$B$22+1))*C163+(1-(2/(Inputs!$B$22+1)))*E162</f>
        <v>2568.6608621856462</v>
      </c>
      <c r="F163" s="20">
        <f t="shared" si="4"/>
        <v>174.18786485603914</v>
      </c>
      <c r="G163" s="19">
        <f ca="1">F163/(C163*Prices!G163)</f>
        <v>6.1910431859662598</v>
      </c>
      <c r="H163" s="19">
        <f ca="1">G163*Inputs!$B$29</f>
        <v>11.577250757756907</v>
      </c>
      <c r="I163" s="19">
        <f ca="1">MAX(-Inputs!$B$8,MIN(Inputs!$B$8,H163))</f>
        <v>11.577250757756907</v>
      </c>
      <c r="J163" s="19">
        <f>(2/(Inputs!$B$23+1))*C163+(1-(2/(Inputs!$B$23+1)))*J162</f>
        <v>2850.6307268999749</v>
      </c>
      <c r="K163" s="19">
        <f>(2/(Inputs!$B$24+1))*C163+(1-(2/(Inputs!$B$24+1)))*K162</f>
        <v>2742.8487270416854</v>
      </c>
      <c r="L163" s="19">
        <f ca="1">(J163-K163)/(C163*Prices!G163)</f>
        <v>3.8308237852503004</v>
      </c>
      <c r="M163" s="19">
        <f ca="1">MAX(-Inputs!$B$8,MIN(Inputs!$B$8,L163*Inputs!$B$30))</f>
        <v>14.365589194688626</v>
      </c>
      <c r="N163" s="21">
        <v>2.4954E-2</v>
      </c>
      <c r="O163" s="12">
        <f>(2/(Inputs!$B$26+1))*N163+(1-(2/(Inputs!$B$26+1)))*O162</f>
        <v>1.7192604036648004E-2</v>
      </c>
      <c r="P163" s="19">
        <f ca="1">O163/(Prices!G163*SQRT(Inputs!$B$6))</f>
        <v>0.11085755108070385</v>
      </c>
      <c r="Q163" s="19">
        <f ca="1">MAX(-Inputs!$B$8,MIN(Inputs!$B$8,P163*Inputs!$B$31))</f>
        <v>3.3257265324211152</v>
      </c>
      <c r="R163" s="19">
        <f ca="1">MAX(-Inputs!$B$8,MIN(Inputs!$B$8,Inputs!$B$32*(40*(C163-AVERAGE(OFFSET(Prices!C163,-(Inputs!$B$25-1),0,Inputs!$B$25,1)))/(MAX(OFFSET(Prices!C163,-(Inputs!$B$25-1),0,Inputs!$B$25,1))-MIN(OFFSET(Prices!C163,-(Inputs!$B$25-1),0,Inputs!$B$25,1))))))</f>
        <v>12.080484877580441</v>
      </c>
    </row>
    <row r="164" spans="1:18" x14ac:dyDescent="0.25">
      <c r="A164" s="16">
        <f>Prices!A164</f>
        <v>161</v>
      </c>
      <c r="B164" s="17">
        <f>Prices!B164</f>
        <v>46094</v>
      </c>
      <c r="C164" s="18">
        <f>Prices!C164</f>
        <v>2924.43</v>
      </c>
      <c r="D164" s="19">
        <f>(2/(Inputs!$B$21+1))*C164+(1-(2/(Inputs!$B$21+1)))*D163</f>
        <v>2748.4358431327105</v>
      </c>
      <c r="E164" s="19">
        <f>(2/(Inputs!$B$22+1))*C164+(1-(2/(Inputs!$B$22+1)))*E163</f>
        <v>2571.4294936083261</v>
      </c>
      <c r="F164" s="20">
        <f t="shared" ref="F164:F183" si="5">D164-E164</f>
        <v>177.0063495243844</v>
      </c>
      <c r="G164" s="19">
        <f ca="1">F164/(C164*Prices!G164)</f>
        <v>6.2609415834137812</v>
      </c>
      <c r="H164" s="19">
        <f ca="1">G164*Inputs!$B$29</f>
        <v>11.707960760983772</v>
      </c>
      <c r="I164" s="19">
        <f ca="1">MAX(-Inputs!$B$8,MIN(Inputs!$B$8,H164))</f>
        <v>11.707960760983772</v>
      </c>
      <c r="J164" s="19">
        <f>(2/(Inputs!$B$23+1))*C164+(1-(2/(Inputs!$B$23+1)))*J163</f>
        <v>2859.3129943235072</v>
      </c>
      <c r="K164" s="19">
        <f>(2/(Inputs!$B$24+1))*C164+(1-(2/(Inputs!$B$24+1)))*K163</f>
        <v>2748.4358431327105</v>
      </c>
      <c r="L164" s="19">
        <f ca="1">(J164-K164)/(C164*Prices!G164)</f>
        <v>3.9218670313591391</v>
      </c>
      <c r="M164" s="19">
        <f ca="1">MAX(-Inputs!$B$8,MIN(Inputs!$B$8,L164*Inputs!$B$30))</f>
        <v>14.707001367596771</v>
      </c>
      <c r="N164" s="21">
        <v>2.4893999999999999E-2</v>
      </c>
      <c r="O164" s="12">
        <f>(2/(Inputs!$B$26+1))*N164+(1-(2/(Inputs!$B$26+1)))*O163</f>
        <v>1.7361865486392004E-2</v>
      </c>
      <c r="P164" s="19">
        <f ca="1">O164/(Prices!G164*SQRT(Inputs!$B$6))</f>
        <v>0.11224537134421482</v>
      </c>
      <c r="Q164" s="19">
        <f ca="1">MAX(-Inputs!$B$8,MIN(Inputs!$B$8,P164*Inputs!$B$31))</f>
        <v>3.3673611403264445</v>
      </c>
      <c r="R164" s="19">
        <f ca="1">MAX(-Inputs!$B$8,MIN(Inputs!$B$8,Inputs!$B$32*(40*(C164-AVERAGE(OFFSET(Prices!C164,-(Inputs!$B$25-1),0,Inputs!$B$25,1)))/(MAX(OFFSET(Prices!C164,-(Inputs!$B$25-1),0,Inputs!$B$25,1))-MIN(OFFSET(Prices!C164,-(Inputs!$B$25-1),0,Inputs!$B$25,1))))))</f>
        <v>12.600580764567004</v>
      </c>
    </row>
    <row r="165" spans="1:18" x14ac:dyDescent="0.25">
      <c r="A165" s="16">
        <f>Prices!A165</f>
        <v>162</v>
      </c>
      <c r="B165" s="17">
        <f>Prices!B165</f>
        <v>46097</v>
      </c>
      <c r="C165" s="18">
        <f>Prices!C165</f>
        <v>2963.15</v>
      </c>
      <c r="D165" s="19">
        <f>(2/(Inputs!$B$21+1))*C165+(1-(2/(Inputs!$B$21+1)))*D164</f>
        <v>2755.0424325747808</v>
      </c>
      <c r="E165" s="19">
        <f>(2/(Inputs!$B$22+1))*C165+(1-(2/(Inputs!$B$22+1)))*E164</f>
        <v>2574.4779022183779</v>
      </c>
      <c r="F165" s="20">
        <f t="shared" si="5"/>
        <v>180.56453035640288</v>
      </c>
      <c r="G165" s="19">
        <f ca="1">F165/(C165*Prices!G165)</f>
        <v>6.2369931455508585</v>
      </c>
      <c r="H165" s="19">
        <f ca="1">G165*Inputs!$B$29</f>
        <v>11.663177182180107</v>
      </c>
      <c r="I165" s="19">
        <f ca="1">MAX(-Inputs!$B$8,MIN(Inputs!$B$8,H165))</f>
        <v>11.663177182180107</v>
      </c>
      <c r="J165" s="19">
        <f>(2/(Inputs!$B$23+1))*C165+(1-(2/(Inputs!$B$23+1)))*J164</f>
        <v>2871.5291126383886</v>
      </c>
      <c r="K165" s="19">
        <f>(2/(Inputs!$B$24+1))*C165+(1-(2/(Inputs!$B$24+1)))*K164</f>
        <v>2755.0424325747808</v>
      </c>
      <c r="L165" s="19">
        <f ca="1">(J165-K165)/(C165*Prices!G165)</f>
        <v>4.0236397684011393</v>
      </c>
      <c r="M165" s="19">
        <f ca="1">MAX(-Inputs!$B$8,MIN(Inputs!$B$8,L165*Inputs!$B$30))</f>
        <v>15.088649131504273</v>
      </c>
      <c r="N165" s="21">
        <v>2.4808E-2</v>
      </c>
      <c r="O165" s="12">
        <f>(2/(Inputs!$B$26+1))*N165+(1-(2/(Inputs!$B$26+1)))*O164</f>
        <v>1.7525516794383387E-2</v>
      </c>
      <c r="P165" s="19">
        <f ca="1">O165/(Prices!G165*SQRT(Inputs!$B$6))</f>
        <v>0.1121107638623479</v>
      </c>
      <c r="Q165" s="19">
        <f ca="1">MAX(-Inputs!$B$8,MIN(Inputs!$B$8,P165*Inputs!$B$31))</f>
        <v>3.363322915870437</v>
      </c>
      <c r="R165" s="19">
        <f ca="1">MAX(-Inputs!$B$8,MIN(Inputs!$B$8,Inputs!$B$32*(40*(C165-AVERAGE(OFFSET(Prices!C165,-(Inputs!$B$25-1),0,Inputs!$B$25,1)))/(MAX(OFFSET(Prices!C165,-(Inputs!$B$25-1),0,Inputs!$B$25,1))-MIN(OFFSET(Prices!C165,-(Inputs!$B$25-1),0,Inputs!$B$25,1))))))</f>
        <v>13.703936381709799</v>
      </c>
    </row>
    <row r="166" spans="1:18" x14ac:dyDescent="0.25">
      <c r="A166" s="16">
        <f>Prices!A166</f>
        <v>163</v>
      </c>
      <c r="B166" s="17">
        <f>Prices!B166</f>
        <v>46098</v>
      </c>
      <c r="C166" s="18">
        <f>Prices!C166</f>
        <v>2982.69</v>
      </c>
      <c r="D166" s="19">
        <f>(2/(Inputs!$B$21+1))*C166+(1-(2/(Inputs!$B$21+1)))*D165</f>
        <v>2762.0469731109415</v>
      </c>
      <c r="E166" s="19">
        <f>(2/(Inputs!$B$22+1))*C166+(1-(2/(Inputs!$B$22+1)))*E165</f>
        <v>2577.6546500610366</v>
      </c>
      <c r="F166" s="20">
        <f t="shared" si="5"/>
        <v>184.39232304990492</v>
      </c>
      <c r="G166" s="19">
        <f ca="1">F166/(C166*Prices!G166)</f>
        <v>6.6161803971243556</v>
      </c>
      <c r="H166" s="19">
        <f ca="1">G166*Inputs!$B$29</f>
        <v>12.372257342622545</v>
      </c>
      <c r="I166" s="19">
        <f ca="1">MAX(-Inputs!$B$8,MIN(Inputs!$B$8,H166))</f>
        <v>12.372257342622545</v>
      </c>
      <c r="J166" s="19">
        <f>(2/(Inputs!$B$23+1))*C166+(1-(2/(Inputs!$B$23+1)))*J165</f>
        <v>2884.606864092696</v>
      </c>
      <c r="K166" s="19">
        <f>(2/(Inputs!$B$24+1))*C166+(1-(2/(Inputs!$B$24+1)))*K165</f>
        <v>2762.0469731109415</v>
      </c>
      <c r="L166" s="19">
        <f ca="1">(J166-K166)/(C166*Prices!G166)</f>
        <v>4.3975710852545733</v>
      </c>
      <c r="M166" s="19">
        <f ca="1">MAX(-Inputs!$B$8,MIN(Inputs!$B$8,L166*Inputs!$B$30))</f>
        <v>16.490891569704651</v>
      </c>
      <c r="N166" s="21">
        <v>2.4698999999999999E-2</v>
      </c>
      <c r="O166" s="12">
        <f>(2/(Inputs!$B$26+1))*N166+(1-(2/(Inputs!$B$26+1)))*O165</f>
        <v>1.7683175765935401E-2</v>
      </c>
      <c r="P166" s="19">
        <f ca="1">O166/(Prices!G166*SQRT(Inputs!$B$6))</f>
        <v>0.11828043189476428</v>
      </c>
      <c r="Q166" s="19">
        <f ca="1">MAX(-Inputs!$B$8,MIN(Inputs!$B$8,P166*Inputs!$B$31))</f>
        <v>3.5484129568429283</v>
      </c>
      <c r="R166" s="19">
        <f ca="1">MAX(-Inputs!$B$8,MIN(Inputs!$B$8,Inputs!$B$32*(40*(C166-AVERAGE(OFFSET(Prices!C166,-(Inputs!$B$25-1),0,Inputs!$B$25,1)))/(MAX(OFFSET(Prices!C166,-(Inputs!$B$25-1),0,Inputs!$B$25,1))-MIN(OFFSET(Prices!C166,-(Inputs!$B$25-1),0,Inputs!$B$25,1))))))</f>
        <v>13.799892368959261</v>
      </c>
    </row>
    <row r="167" spans="1:18" x14ac:dyDescent="0.25">
      <c r="A167" s="16">
        <f>Prices!A167</f>
        <v>164</v>
      </c>
      <c r="B167" s="17">
        <f>Prices!B167</f>
        <v>46099</v>
      </c>
      <c r="C167" s="18">
        <f>Prices!C167</f>
        <v>2992.72</v>
      </c>
      <c r="D167" s="19">
        <f>(2/(Inputs!$B$21+1))*C167+(1-(2/(Inputs!$B$21+1)))*D166</f>
        <v>2769.1446047075278</v>
      </c>
      <c r="E167" s="19">
        <f>(2/(Inputs!$B$22+1))*C167+(1-(2/(Inputs!$B$22+1)))*E166</f>
        <v>2580.8847306053085</v>
      </c>
      <c r="F167" s="20">
        <f t="shared" si="5"/>
        <v>188.25987410221933</v>
      </c>
      <c r="G167" s="19">
        <f ca="1">F167/(C167*Prices!G167)</f>
        <v>6.7381777178379902</v>
      </c>
      <c r="H167" s="19">
        <f ca="1">G167*Inputs!$B$29</f>
        <v>12.600392332357043</v>
      </c>
      <c r="I167" s="19">
        <f ca="1">MAX(-Inputs!$B$8,MIN(Inputs!$B$8,H167))</f>
        <v>12.600392332357043</v>
      </c>
      <c r="J167" s="19">
        <f>(2/(Inputs!$B$23+1))*C167+(1-(2/(Inputs!$B$23+1)))*J166</f>
        <v>2897.3260565523788</v>
      </c>
      <c r="K167" s="19">
        <f>(2/(Inputs!$B$24+1))*C167+(1-(2/(Inputs!$B$24+1)))*K166</f>
        <v>2769.1446047075278</v>
      </c>
      <c r="L167" s="19">
        <f ca="1">(J167-K167)/(C167*Prices!G167)</f>
        <v>4.587857113896348</v>
      </c>
      <c r="M167" s="19">
        <f ca="1">MAX(-Inputs!$B$8,MIN(Inputs!$B$8,L167*Inputs!$B$30))</f>
        <v>17.204464177111305</v>
      </c>
      <c r="N167" s="21">
        <v>2.4565E-2</v>
      </c>
      <c r="O167" s="12">
        <f>(2/(Inputs!$B$26+1))*N167+(1-(2/(Inputs!$B$26+1)))*O166</f>
        <v>1.7834424650200555E-2</v>
      </c>
      <c r="P167" s="19">
        <f ca="1">O167/(Prices!G167*SQRT(Inputs!$B$6))</f>
        <v>0.11939603480112573</v>
      </c>
      <c r="Q167" s="19">
        <f ca="1">MAX(-Inputs!$B$8,MIN(Inputs!$B$8,P167*Inputs!$B$31))</f>
        <v>3.5818810440337718</v>
      </c>
      <c r="R167" s="19">
        <f ca="1">MAX(-Inputs!$B$8,MIN(Inputs!$B$8,Inputs!$B$32*(40*(C167-AVERAGE(OFFSET(Prices!C167,-(Inputs!$B$25-1),0,Inputs!$B$25,1)))/(MAX(OFFSET(Prices!C167,-(Inputs!$B$25-1),0,Inputs!$B$25,1))-MIN(OFFSET(Prices!C167,-(Inputs!$B$25-1),0,Inputs!$B$25,1))))))</f>
        <v>13.529237299237582</v>
      </c>
    </row>
    <row r="168" spans="1:18" x14ac:dyDescent="0.25">
      <c r="A168" s="16">
        <f>Prices!A168</f>
        <v>165</v>
      </c>
      <c r="B168" s="17">
        <f>Prices!B168</f>
        <v>46100</v>
      </c>
      <c r="C168" s="18">
        <f>Prices!C168</f>
        <v>3058.65</v>
      </c>
      <c r="D168" s="19">
        <f>(2/(Inputs!$B$21+1))*C168+(1-(2/(Inputs!$B$21+1)))*D167</f>
        <v>2778.0524630242194</v>
      </c>
      <c r="E168" s="19">
        <f>(2/(Inputs!$B$22+1))*C168+(1-(2/(Inputs!$B$22+1)))*E167</f>
        <v>2584.6027482659679</v>
      </c>
      <c r="F168" s="20">
        <f t="shared" si="5"/>
        <v>193.4497147582515</v>
      </c>
      <c r="G168" s="19">
        <f ca="1">F168/(C168*Prices!G168)</f>
        <v>6.5713177961755838</v>
      </c>
      <c r="H168" s="19">
        <f ca="1">G168*Inputs!$B$29</f>
        <v>12.288364278848343</v>
      </c>
      <c r="I168" s="19">
        <f ca="1">MAX(-Inputs!$B$8,MIN(Inputs!$B$8,H168))</f>
        <v>12.288364278848343</v>
      </c>
      <c r="J168" s="19">
        <f>(2/(Inputs!$B$23+1))*C168+(1-(2/(Inputs!$B$23+1)))*J167</f>
        <v>2916.3053440168051</v>
      </c>
      <c r="K168" s="19">
        <f>(2/(Inputs!$B$24+1))*C168+(1-(2/(Inputs!$B$24+1)))*K167</f>
        <v>2778.0524630242194</v>
      </c>
      <c r="L168" s="19">
        <f ca="1">(J168-K168)/(C168*Prices!G168)</f>
        <v>4.696329577815372</v>
      </c>
      <c r="M168" s="19">
        <f ca="1">MAX(-Inputs!$B$8,MIN(Inputs!$B$8,L168*Inputs!$B$30))</f>
        <v>17.611235916807644</v>
      </c>
      <c r="N168" s="21">
        <v>2.4407000000000002E-2</v>
      </c>
      <c r="O168" s="12">
        <f>(2/(Inputs!$B$26+1))*N168+(1-(2/(Inputs!$B$26+1)))*O167</f>
        <v>1.7978876855690652E-2</v>
      </c>
      <c r="P168" s="19">
        <f ca="1">O168/(Prices!G168*SQRT(Inputs!$B$6))</f>
        <v>0.1167499587476185</v>
      </c>
      <c r="Q168" s="19">
        <f ca="1">MAX(-Inputs!$B$8,MIN(Inputs!$B$8,P168*Inputs!$B$31))</f>
        <v>3.5024987624285551</v>
      </c>
      <c r="R168" s="19">
        <f ca="1">MAX(-Inputs!$B$8,MIN(Inputs!$B$8,Inputs!$B$32*(40*(C168-AVERAGE(OFFSET(Prices!C168,-(Inputs!$B$25-1),0,Inputs!$B$25,1)))/(MAX(OFFSET(Prices!C168,-(Inputs!$B$25-1),0,Inputs!$B$25,1))-MIN(OFFSET(Prices!C168,-(Inputs!$B$25-1),0,Inputs!$B$25,1))))))</f>
        <v>15.824055957275904</v>
      </c>
    </row>
    <row r="169" spans="1:18" x14ac:dyDescent="0.25">
      <c r="A169" s="16">
        <f>Prices!A169</f>
        <v>166</v>
      </c>
      <c r="B169" s="17">
        <f>Prices!B169</f>
        <v>46101</v>
      </c>
      <c r="C169" s="18">
        <f>Prices!C169</f>
        <v>3067.63</v>
      </c>
      <c r="D169" s="19">
        <f>(2/(Inputs!$B$21+1))*C169+(1-(2/(Inputs!$B$21+1)))*D168</f>
        <v>2786.9625410850126</v>
      </c>
      <c r="E169" s="19">
        <f>(2/(Inputs!$B$22+1))*C169+(1-(2/(Inputs!$B$22+1)))*E168</f>
        <v>2588.3617152055326</v>
      </c>
      <c r="F169" s="20">
        <f t="shared" si="5"/>
        <v>198.60082587948</v>
      </c>
      <c r="G169" s="19">
        <f ca="1">F169/(C169*Prices!G169)</f>
        <v>6.928159711585919</v>
      </c>
      <c r="H169" s="19">
        <f ca="1">G169*Inputs!$B$29</f>
        <v>12.955658660665669</v>
      </c>
      <c r="I169" s="19">
        <f ca="1">MAX(-Inputs!$B$8,MIN(Inputs!$B$8,H169))</f>
        <v>12.955658660665669</v>
      </c>
      <c r="J169" s="19">
        <f>(2/(Inputs!$B$23+1))*C169+(1-(2/(Inputs!$B$23+1)))*J168</f>
        <v>2934.1082447207104</v>
      </c>
      <c r="K169" s="19">
        <f>(2/(Inputs!$B$24+1))*C169+(1-(2/(Inputs!$B$24+1)))*K168</f>
        <v>2786.9625410850126</v>
      </c>
      <c r="L169" s="19">
        <f ca="1">(J169-K169)/(C169*Prices!G169)</f>
        <v>5.1331555704629919</v>
      </c>
      <c r="M169" s="19">
        <f ca="1">MAX(-Inputs!$B$8,MIN(Inputs!$B$8,L169*Inputs!$B$30))</f>
        <v>19.24933338923622</v>
      </c>
      <c r="N169" s="21">
        <v>2.4226000000000001E-2</v>
      </c>
      <c r="O169" s="12">
        <f>(2/(Inputs!$B$26+1))*N169+(1-(2/(Inputs!$B$26+1)))*O168</f>
        <v>1.8116176265455693E-2</v>
      </c>
      <c r="P169" s="19">
        <f ca="1">O169/(Prices!G169*SQRT(Inputs!$B$6))</f>
        <v>0.12116756261770686</v>
      </c>
      <c r="Q169" s="19">
        <f ca="1">MAX(-Inputs!$B$8,MIN(Inputs!$B$8,P169*Inputs!$B$31))</f>
        <v>3.6350268785312059</v>
      </c>
      <c r="R169" s="19">
        <f ca="1">MAX(-Inputs!$B$8,MIN(Inputs!$B$8,Inputs!$B$32*(40*(C169-AVERAGE(OFFSET(Prices!C169,-(Inputs!$B$25-1),0,Inputs!$B$25,1)))/(MAX(OFFSET(Prices!C169,-(Inputs!$B$25-1),0,Inputs!$B$25,1))-MIN(OFFSET(Prices!C169,-(Inputs!$B$25-1),0,Inputs!$B$25,1))))))</f>
        <v>15.427040579441027</v>
      </c>
    </row>
    <row r="170" spans="1:18" x14ac:dyDescent="0.25">
      <c r="A170" s="16">
        <f>Prices!A170</f>
        <v>167</v>
      </c>
      <c r="B170" s="17">
        <f>Prices!B170</f>
        <v>46104</v>
      </c>
      <c r="C170" s="18">
        <f>Prices!C170</f>
        <v>3060.09</v>
      </c>
      <c r="D170" s="19">
        <f>(2/(Inputs!$B$21+1))*C170+(1-(2/(Inputs!$B$21+1)))*D169</f>
        <v>2795.3664628977813</v>
      </c>
      <c r="E170" s="19">
        <f>(2/(Inputs!$B$22+1))*C170+(1-(2/(Inputs!$B$22+1)))*E169</f>
        <v>2592.0327524412874</v>
      </c>
      <c r="F170" s="20">
        <f t="shared" si="5"/>
        <v>203.33371045649392</v>
      </c>
      <c r="G170" s="19">
        <f ca="1">F170/(C170*Prices!G170)</f>
        <v>7.1010868707399446</v>
      </c>
      <c r="H170" s="19">
        <f ca="1">G170*Inputs!$B$29</f>
        <v>13.279032448283697</v>
      </c>
      <c r="I170" s="19">
        <f ca="1">MAX(-Inputs!$B$8,MIN(Inputs!$B$8,H170))</f>
        <v>13.279032448283697</v>
      </c>
      <c r="J170" s="19">
        <f>(2/(Inputs!$B$23+1))*C170+(1-(2/(Inputs!$B$23+1)))*J169</f>
        <v>2948.9296276947443</v>
      </c>
      <c r="K170" s="19">
        <f>(2/(Inputs!$B$24+1))*C170+(1-(2/(Inputs!$B$24+1)))*K169</f>
        <v>2795.3664628977813</v>
      </c>
      <c r="L170" s="19">
        <f ca="1">(J170-K170)/(C170*Prices!G170)</f>
        <v>5.362934512535289</v>
      </c>
      <c r="M170" s="19">
        <f ca="1">MAX(-Inputs!$B$8,MIN(Inputs!$B$8,L170*Inputs!$B$30))</f>
        <v>20</v>
      </c>
      <c r="N170" s="21">
        <v>2.4022000000000002E-2</v>
      </c>
      <c r="O170" s="12">
        <f>(2/(Inputs!$B$26+1))*N170+(1-(2/(Inputs!$B$26+1)))*O169</f>
        <v>1.8245974589291832E-2</v>
      </c>
      <c r="P170" s="19">
        <f ca="1">O170/(Prices!G170*SQRT(Inputs!$B$6))</f>
        <v>0.12186997513473193</v>
      </c>
      <c r="Q170" s="19">
        <f ca="1">MAX(-Inputs!$B$8,MIN(Inputs!$B$8,P170*Inputs!$B$31))</f>
        <v>3.6560992540419579</v>
      </c>
      <c r="R170" s="19">
        <f ca="1">MAX(-Inputs!$B$8,MIN(Inputs!$B$8,Inputs!$B$32*(40*(C170-AVERAGE(OFFSET(Prices!C170,-(Inputs!$B$25-1),0,Inputs!$B$25,1)))/(MAX(OFFSET(Prices!C170,-(Inputs!$B$25-1),0,Inputs!$B$25,1))-MIN(OFFSET(Prices!C170,-(Inputs!$B$25-1),0,Inputs!$B$25,1))))))</f>
        <v>16.623725049427243</v>
      </c>
    </row>
    <row r="171" spans="1:18" x14ac:dyDescent="0.25">
      <c r="A171" s="16">
        <f>Prices!A171</f>
        <v>168</v>
      </c>
      <c r="B171" s="17">
        <f>Prices!B171</f>
        <v>46105</v>
      </c>
      <c r="C171" s="18">
        <f>Prices!C171</f>
        <v>3065.04</v>
      </c>
      <c r="D171" s="19">
        <f>(2/(Inputs!$B$21+1))*C171+(1-(2/(Inputs!$B$21+1)))*D170</f>
        <v>2803.6641101932346</v>
      </c>
      <c r="E171" s="19">
        <f>(2/(Inputs!$B$22+1))*C171+(1-(2/(Inputs!$B$22+1)))*E170</f>
        <v>2595.7137426946624</v>
      </c>
      <c r="F171" s="20">
        <f t="shared" si="5"/>
        <v>207.95036749857218</v>
      </c>
      <c r="G171" s="19">
        <f ca="1">F171/(C171*Prices!G171)</f>
        <v>7.2541405399841929</v>
      </c>
      <c r="H171" s="19">
        <f ca="1">G171*Inputs!$B$29</f>
        <v>13.565242809770442</v>
      </c>
      <c r="I171" s="19">
        <f ca="1">MAX(-Inputs!$B$8,MIN(Inputs!$B$8,H171))</f>
        <v>13.565242809770442</v>
      </c>
      <c r="J171" s="19">
        <f>(2/(Inputs!$B$23+1))*C171+(1-(2/(Inputs!$B$23+1)))*J170</f>
        <v>2962.5896714953624</v>
      </c>
      <c r="K171" s="19">
        <f>(2/(Inputs!$B$24+1))*C171+(1-(2/(Inputs!$B$24+1)))*K170</f>
        <v>2803.6641101932346</v>
      </c>
      <c r="L171" s="19">
        <f ca="1">(J171-K171)/(C171*Prices!G171)</f>
        <v>5.5439592194489586</v>
      </c>
      <c r="M171" s="19">
        <f ca="1">MAX(-Inputs!$B$8,MIN(Inputs!$B$8,L171*Inputs!$B$30))</f>
        <v>20</v>
      </c>
      <c r="N171" s="21">
        <v>2.3795E-2</v>
      </c>
      <c r="O171" s="12">
        <f>(2/(Inputs!$B$26+1))*N171+(1-(2/(Inputs!$B$26+1)))*O170</f>
        <v>1.836793119172498E-2</v>
      </c>
      <c r="P171" s="19">
        <f ca="1">O171/(Prices!G171*SQRT(Inputs!$B$6))</f>
        <v>0.12274468078742772</v>
      </c>
      <c r="Q171" s="19">
        <f ca="1">MAX(-Inputs!$B$8,MIN(Inputs!$B$8,P171*Inputs!$B$31))</f>
        <v>3.6823404236228314</v>
      </c>
      <c r="R171" s="19">
        <f ca="1">MAX(-Inputs!$B$8,MIN(Inputs!$B$8,Inputs!$B$32*(40*(C171-AVERAGE(OFFSET(Prices!C171,-(Inputs!$B$25-1),0,Inputs!$B$25,1)))/(MAX(OFFSET(Prices!C171,-(Inputs!$B$25-1),0,Inputs!$B$25,1))-MIN(OFFSET(Prices!C171,-(Inputs!$B$25-1),0,Inputs!$B$25,1))))))</f>
        <v>16.708104357479971</v>
      </c>
    </row>
    <row r="172" spans="1:18" x14ac:dyDescent="0.25">
      <c r="A172" s="16">
        <f>Prices!A172</f>
        <v>169</v>
      </c>
      <c r="B172" s="17">
        <f>Prices!B172</f>
        <v>46106</v>
      </c>
      <c r="C172" s="18">
        <f>Prices!C172</f>
        <v>3112.02</v>
      </c>
      <c r="D172" s="19">
        <f>(2/(Inputs!$B$21+1))*C172+(1-(2/(Inputs!$B$21+1)))*D171</f>
        <v>2813.1519837257501</v>
      </c>
      <c r="E172" s="19">
        <f>(2/(Inputs!$B$22+1))*C172+(1-(2/(Inputs!$B$22+1)))*E171</f>
        <v>2599.7316902223301</v>
      </c>
      <c r="F172" s="20">
        <f t="shared" si="5"/>
        <v>213.42029350342</v>
      </c>
      <c r="G172" s="19">
        <f ca="1">F172/(C172*Prices!G172)</f>
        <v>7.3850156247770764</v>
      </c>
      <c r="H172" s="19">
        <f ca="1">G172*Inputs!$B$29</f>
        <v>13.809979218333133</v>
      </c>
      <c r="I172" s="19">
        <f ca="1">MAX(-Inputs!$B$8,MIN(Inputs!$B$8,H172))</f>
        <v>13.809979218333133</v>
      </c>
      <c r="J172" s="19">
        <f>(2/(Inputs!$B$23+1))*C172+(1-(2/(Inputs!$B$23+1)))*J171</f>
        <v>2980.1697101429668</v>
      </c>
      <c r="K172" s="19">
        <f>(2/(Inputs!$B$24+1))*C172+(1-(2/(Inputs!$B$24+1)))*K171</f>
        <v>2813.1519837257501</v>
      </c>
      <c r="L172" s="19">
        <f ca="1">(J172-K172)/(C172*Prices!G172)</f>
        <v>5.7793403755492569</v>
      </c>
      <c r="M172" s="19">
        <f ca="1">MAX(-Inputs!$B$8,MIN(Inputs!$B$8,L172*Inputs!$B$30))</f>
        <v>20</v>
      </c>
      <c r="N172" s="21">
        <v>2.3546000000000001E-2</v>
      </c>
      <c r="O172" s="12">
        <f>(2/(Inputs!$B$26+1))*N172+(1-(2/(Inputs!$B$26+1)))*O171</f>
        <v>1.8481734901796956E-2</v>
      </c>
      <c r="P172" s="19">
        <f ca="1">O172/(Prices!G172*SQRT(Inputs!$B$6))</f>
        <v>0.12438867421188964</v>
      </c>
      <c r="Q172" s="19">
        <f ca="1">MAX(-Inputs!$B$8,MIN(Inputs!$B$8,P172*Inputs!$B$31))</f>
        <v>3.7316602263566891</v>
      </c>
      <c r="R172" s="19">
        <f ca="1">MAX(-Inputs!$B$8,MIN(Inputs!$B$8,Inputs!$B$32*(40*(C172-AVERAGE(OFFSET(Prices!C172,-(Inputs!$B$25-1),0,Inputs!$B$25,1)))/(MAX(OFFSET(Prices!C172,-(Inputs!$B$25-1),0,Inputs!$B$25,1))-MIN(OFFSET(Prices!C172,-(Inputs!$B$25-1),0,Inputs!$B$25,1))))))</f>
        <v>17.510706925235343</v>
      </c>
    </row>
    <row r="173" spans="1:18" x14ac:dyDescent="0.25">
      <c r="A173" s="16">
        <f>Prices!A173</f>
        <v>170</v>
      </c>
      <c r="B173" s="17">
        <f>Prices!B173</f>
        <v>46107</v>
      </c>
      <c r="C173" s="18">
        <f>Prices!C173</f>
        <v>3117.27</v>
      </c>
      <c r="D173" s="19">
        <f>(2/(Inputs!$B$21+1))*C173+(1-(2/(Inputs!$B$21+1)))*D172</f>
        <v>2822.5094611495733</v>
      </c>
      <c r="E173" s="19">
        <f>(2/(Inputs!$B$22+1))*C173+(1-(2/(Inputs!$B$22+1)))*E172</f>
        <v>2603.7592257069814</v>
      </c>
      <c r="F173" s="20">
        <f t="shared" si="5"/>
        <v>218.75023544259193</v>
      </c>
      <c r="G173" s="19">
        <f ca="1">F173/(C173*Prices!G173)</f>
        <v>7.9517784824603215</v>
      </c>
      <c r="H173" s="19">
        <f ca="1">G173*Inputs!$B$29</f>
        <v>14.869825762200803</v>
      </c>
      <c r="I173" s="19">
        <f ca="1">MAX(-Inputs!$B$8,MIN(Inputs!$B$8,H173))</f>
        <v>14.869825762200803</v>
      </c>
      <c r="J173" s="19">
        <f>(2/(Inputs!$B$23+1))*C173+(1-(2/(Inputs!$B$23+1)))*J172</f>
        <v>2996.2991560085002</v>
      </c>
      <c r="K173" s="19">
        <f>(2/(Inputs!$B$24+1))*C173+(1-(2/(Inputs!$B$24+1)))*K172</f>
        <v>2822.5094611495733</v>
      </c>
      <c r="L173" s="19">
        <f ca="1">(J173-K173)/(C173*Prices!G173)</f>
        <v>6.3174201996012505</v>
      </c>
      <c r="M173" s="19">
        <f ca="1">MAX(-Inputs!$B$8,MIN(Inputs!$B$8,L173*Inputs!$B$30))</f>
        <v>20</v>
      </c>
      <c r="N173" s="21">
        <v>2.3276000000000002E-2</v>
      </c>
      <c r="O173" s="12">
        <f>(2/(Inputs!$B$26+1))*N173+(1-(2/(Inputs!$B$26+1)))*O172</f>
        <v>1.8587103365493726E-2</v>
      </c>
      <c r="P173" s="19">
        <f ca="1">O173/(Prices!G173*SQRT(Inputs!$B$6))</f>
        <v>0.13163818796437679</v>
      </c>
      <c r="Q173" s="19">
        <f ca="1">MAX(-Inputs!$B$8,MIN(Inputs!$B$8,P173*Inputs!$B$31))</f>
        <v>3.9491456389313035</v>
      </c>
      <c r="R173" s="19">
        <f ca="1">MAX(-Inputs!$B$8,MIN(Inputs!$B$8,Inputs!$B$32*(40*(C173-AVERAGE(OFFSET(Prices!C173,-(Inputs!$B$25-1),0,Inputs!$B$25,1)))/(MAX(OFFSET(Prices!C173,-(Inputs!$B$25-1),0,Inputs!$B$25,1))-MIN(OFFSET(Prices!C173,-(Inputs!$B$25-1),0,Inputs!$B$25,1))))))</f>
        <v>17.008071474091935</v>
      </c>
    </row>
    <row r="174" spans="1:18" x14ac:dyDescent="0.25">
      <c r="A174" s="16">
        <f>Prices!A174</f>
        <v>171</v>
      </c>
      <c r="B174" s="17">
        <f>Prices!B174</f>
        <v>46108</v>
      </c>
      <c r="C174" s="18">
        <f>Prices!C174</f>
        <v>3135.02</v>
      </c>
      <c r="D174" s="19">
        <f>(2/(Inputs!$B$21+1))*C174+(1-(2/(Inputs!$B$21+1)))*D173</f>
        <v>2832.1251700372786</v>
      </c>
      <c r="E174" s="19">
        <f>(2/(Inputs!$B$22+1))*C174+(1-(2/(Inputs!$B$22+1)))*E173</f>
        <v>2607.8935507987558</v>
      </c>
      <c r="F174" s="20">
        <f t="shared" si="5"/>
        <v>224.23161923852285</v>
      </c>
      <c r="G174" s="19">
        <f ca="1">F174/(C174*Prices!G174)</f>
        <v>8.1548823685448166</v>
      </c>
      <c r="H174" s="19">
        <f ca="1">G174*Inputs!$B$29</f>
        <v>15.249630029178808</v>
      </c>
      <c r="I174" s="19">
        <f ca="1">MAX(-Inputs!$B$8,MIN(Inputs!$B$8,H174))</f>
        <v>15.249630029178808</v>
      </c>
      <c r="J174" s="19">
        <f>(2/(Inputs!$B$23+1))*C174+(1-(2/(Inputs!$B$23+1)))*J173</f>
        <v>3012.6192553016181</v>
      </c>
      <c r="K174" s="19">
        <f>(2/(Inputs!$B$24+1))*C174+(1-(2/(Inputs!$B$24+1)))*K173</f>
        <v>2832.1251700372786</v>
      </c>
      <c r="L174" s="19">
        <f ca="1">(J174-K174)/(C174*Prices!G174)</f>
        <v>6.5642304976760109</v>
      </c>
      <c r="M174" s="19">
        <f ca="1">MAX(-Inputs!$B$8,MIN(Inputs!$B$8,L174*Inputs!$B$30))</f>
        <v>20</v>
      </c>
      <c r="N174" s="21">
        <v>2.2984999999999998E-2</v>
      </c>
      <c r="O174" s="12">
        <f>(2/(Inputs!$B$26+1))*N174+(1-(2/(Inputs!$B$26+1)))*O173</f>
        <v>1.8683760434383974E-2</v>
      </c>
      <c r="P174" s="19">
        <f ca="1">O174/(Prices!G174*SQRT(Inputs!$B$6))</f>
        <v>0.13313905527307313</v>
      </c>
      <c r="Q174" s="19">
        <f ca="1">MAX(-Inputs!$B$8,MIN(Inputs!$B$8,P174*Inputs!$B$31))</f>
        <v>3.9941716581921938</v>
      </c>
      <c r="R174" s="19">
        <f ca="1">MAX(-Inputs!$B$8,MIN(Inputs!$B$8,Inputs!$B$32*(40*(C174-AVERAGE(OFFSET(Prices!C174,-(Inputs!$B$25-1),0,Inputs!$B$25,1)))/(MAX(OFFSET(Prices!C174,-(Inputs!$B$25-1),0,Inputs!$B$25,1))-MIN(OFFSET(Prices!C174,-(Inputs!$B$25-1),0,Inputs!$B$25,1))))))</f>
        <v>16.7695652173913</v>
      </c>
    </row>
    <row r="175" spans="1:18" x14ac:dyDescent="0.25">
      <c r="A175" s="16">
        <f>Prices!A175</f>
        <v>172</v>
      </c>
      <c r="B175" s="17">
        <f>Prices!B175</f>
        <v>46111</v>
      </c>
      <c r="C175" s="18">
        <f>Prices!C175</f>
        <v>3174.08</v>
      </c>
      <c r="D175" s="19">
        <f>(2/(Inputs!$B$21+1))*C175+(1-(2/(Inputs!$B$21+1)))*D174</f>
        <v>2842.6468571130549</v>
      </c>
      <c r="E175" s="19">
        <f>(2/(Inputs!$B$22+1))*C175+(1-(2/(Inputs!$B$22+1)))*E174</f>
        <v>2612.2996710260027</v>
      </c>
      <c r="F175" s="20">
        <f t="shared" si="5"/>
        <v>230.34718608705225</v>
      </c>
      <c r="G175" s="19">
        <f ca="1">F175/(C175*Prices!G175)</f>
        <v>8.1961979742769415</v>
      </c>
      <c r="H175" s="19">
        <f ca="1">G175*Inputs!$B$29</f>
        <v>15.326890211897881</v>
      </c>
      <c r="I175" s="19">
        <f ca="1">MAX(-Inputs!$B$8,MIN(Inputs!$B$8,H175))</f>
        <v>15.326890211897881</v>
      </c>
      <c r="J175" s="19">
        <f>(2/(Inputs!$B$23+1))*C175+(1-(2/(Inputs!$B$23+1)))*J174</f>
        <v>3031.6146370308393</v>
      </c>
      <c r="K175" s="19">
        <f>(2/(Inputs!$B$24+1))*C175+(1-(2/(Inputs!$B$24+1)))*K174</f>
        <v>2842.6468571130549</v>
      </c>
      <c r="L175" s="19">
        <f ca="1">(J175-K175)/(C175*Prices!G175)</f>
        <v>6.7238387465277292</v>
      </c>
      <c r="M175" s="19">
        <f ca="1">MAX(-Inputs!$B$8,MIN(Inputs!$B$8,L175*Inputs!$B$30))</f>
        <v>20</v>
      </c>
      <c r="N175" s="21">
        <v>2.2674E-2</v>
      </c>
      <c r="O175" s="12">
        <f>(2/(Inputs!$B$26+1))*N175+(1-(2/(Inputs!$B$26+1)))*O174</f>
        <v>1.8771458007254653E-2</v>
      </c>
      <c r="P175" s="19">
        <f ca="1">O175/(Prices!G175*SQRT(Inputs!$B$6))</f>
        <v>0.13250291139936587</v>
      </c>
      <c r="Q175" s="19">
        <f ca="1">MAX(-Inputs!$B$8,MIN(Inputs!$B$8,P175*Inputs!$B$31))</f>
        <v>3.9750873419809762</v>
      </c>
      <c r="R175" s="19">
        <f ca="1">MAX(-Inputs!$B$8,MIN(Inputs!$B$8,Inputs!$B$32*(40*(C175-AVERAGE(OFFSET(Prices!C175,-(Inputs!$B$25-1),0,Inputs!$B$25,1)))/(MAX(OFFSET(Prices!C175,-(Inputs!$B$25-1),0,Inputs!$B$25,1))-MIN(OFFSET(Prices!C175,-(Inputs!$B$25-1),0,Inputs!$B$25,1))))))</f>
        <v>17.39164687252574</v>
      </c>
    </row>
    <row r="176" spans="1:18" x14ac:dyDescent="0.25">
      <c r="A176" s="16">
        <f>Prices!A176</f>
        <v>173</v>
      </c>
      <c r="B176" s="17">
        <f>Prices!B176</f>
        <v>46112</v>
      </c>
      <c r="C176" s="18">
        <f>Prices!C176</f>
        <v>3159.38</v>
      </c>
      <c r="D176" s="19">
        <f>(2/(Inputs!$B$21+1))*C176+(1-(2/(Inputs!$B$21+1)))*D175</f>
        <v>2852.3924922788069</v>
      </c>
      <c r="E176" s="19">
        <f>(2/(Inputs!$B$22+1))*C176+(1-(2/(Inputs!$B$22+1)))*E175</f>
        <v>2616.5571054927268</v>
      </c>
      <c r="F176" s="20">
        <f t="shared" si="5"/>
        <v>235.83538678608011</v>
      </c>
      <c r="G176" s="19">
        <f ca="1">F176/(C176*Prices!G176)</f>
        <v>8.5264304590690347</v>
      </c>
      <c r="H176" s="19">
        <f ca="1">G176*Inputs!$B$29</f>
        <v>15.944424958459097</v>
      </c>
      <c r="I176" s="19">
        <f ca="1">MAX(-Inputs!$B$8,MIN(Inputs!$B$8,H176))</f>
        <v>15.944424958459097</v>
      </c>
      <c r="J176" s="19">
        <f>(2/(Inputs!$B$23+1))*C176+(1-(2/(Inputs!$B$23+1)))*J175</f>
        <v>3046.6458562036814</v>
      </c>
      <c r="K176" s="19">
        <f>(2/(Inputs!$B$24+1))*C176+(1-(2/(Inputs!$B$24+1)))*K175</f>
        <v>2852.3924922788069</v>
      </c>
      <c r="L176" s="19">
        <f ca="1">(J176-K176)/(C176*Prices!G176)</f>
        <v>7.0230673247015556</v>
      </c>
      <c r="M176" s="19">
        <f ca="1">MAX(-Inputs!$B$8,MIN(Inputs!$B$8,L176*Inputs!$B$30))</f>
        <v>20</v>
      </c>
      <c r="N176" s="21">
        <v>2.2343999999999999E-2</v>
      </c>
      <c r="O176" s="12">
        <f>(2/(Inputs!$B$26+1))*N176+(1-(2/(Inputs!$B$26+1)))*O175</f>
        <v>1.8849975413688616E-2</v>
      </c>
      <c r="P176" s="19">
        <f ca="1">O176/(Prices!G176*SQRT(Inputs!$B$6))</f>
        <v>0.13457083692473046</v>
      </c>
      <c r="Q176" s="19">
        <f ca="1">MAX(-Inputs!$B$8,MIN(Inputs!$B$8,P176*Inputs!$B$31))</f>
        <v>4.0371251077419137</v>
      </c>
      <c r="R176" s="19">
        <f ca="1">MAX(-Inputs!$B$8,MIN(Inputs!$B$8,Inputs!$B$32*(40*(C176-AVERAGE(OFFSET(Prices!C176,-(Inputs!$B$25-1),0,Inputs!$B$25,1)))/(MAX(OFFSET(Prices!C176,-(Inputs!$B$25-1),0,Inputs!$B$25,1))-MIN(OFFSET(Prices!C176,-(Inputs!$B$25-1),0,Inputs!$B$25,1))))))</f>
        <v>15.938022172949022</v>
      </c>
    </row>
    <row r="177" spans="1:18" x14ac:dyDescent="0.25">
      <c r="A177" s="16">
        <f>Prices!A177</f>
        <v>174</v>
      </c>
      <c r="B177" s="17">
        <f>Prices!B177</f>
        <v>46113</v>
      </c>
      <c r="C177" s="18">
        <f>Prices!C177</f>
        <v>3106.42</v>
      </c>
      <c r="D177" s="19">
        <f>(2/(Inputs!$B$21+1))*C177+(1-(2/(Inputs!$B$21+1)))*D176</f>
        <v>2860.2087232856129</v>
      </c>
      <c r="E177" s="19">
        <f>(2/(Inputs!$B$22+1))*C177+(1-(2/(Inputs!$B$22+1)))*E176</f>
        <v>2620.3692680958961</v>
      </c>
      <c r="F177" s="20">
        <f t="shared" si="5"/>
        <v>239.83945518971677</v>
      </c>
      <c r="G177" s="19">
        <f ca="1">F177/(C177*Prices!G177)</f>
        <v>8.3848408990700349</v>
      </c>
      <c r="H177" s="19">
        <f ca="1">G177*Inputs!$B$29</f>
        <v>15.679652481260966</v>
      </c>
      <c r="I177" s="19">
        <f ca="1">MAX(-Inputs!$B$8,MIN(Inputs!$B$8,H177))</f>
        <v>15.679652481260966</v>
      </c>
      <c r="J177" s="19">
        <f>(2/(Inputs!$B$23+1))*C177+(1-(2/(Inputs!$B$23+1)))*J176</f>
        <v>3053.678108415013</v>
      </c>
      <c r="K177" s="19">
        <f>(2/(Inputs!$B$24+1))*C177+(1-(2/(Inputs!$B$24+1)))*K176</f>
        <v>2860.2087232856129</v>
      </c>
      <c r="L177" s="19">
        <f ca="1">(J177-K177)/(C177*Prices!G177)</f>
        <v>6.7637328973572428</v>
      </c>
      <c r="M177" s="19">
        <f ca="1">MAX(-Inputs!$B$8,MIN(Inputs!$B$8,L177*Inputs!$B$30))</f>
        <v>20</v>
      </c>
      <c r="N177" s="21">
        <v>2.1996000000000002E-2</v>
      </c>
      <c r="O177" s="12">
        <f>(2/(Inputs!$B$26+1))*N177+(1-(2/(Inputs!$B$26+1)))*O176</f>
        <v>1.8919118811189965E-2</v>
      </c>
      <c r="P177" s="19">
        <f ca="1">O177/(Prices!G177*SQRT(Inputs!$B$6))</f>
        <v>0.12841486304852542</v>
      </c>
      <c r="Q177" s="19">
        <f ca="1">MAX(-Inputs!$B$8,MIN(Inputs!$B$8,P177*Inputs!$B$31))</f>
        <v>3.8524458914557629</v>
      </c>
      <c r="R177" s="19">
        <f ca="1">MAX(-Inputs!$B$8,MIN(Inputs!$B$8,Inputs!$B$32*(40*(C177-AVERAGE(OFFSET(Prices!C177,-(Inputs!$B$25-1),0,Inputs!$B$25,1)))/(MAX(OFFSET(Prices!C177,-(Inputs!$B$25-1),0,Inputs!$B$25,1))-MIN(OFFSET(Prices!C177,-(Inputs!$B$25-1),0,Inputs!$B$25,1))))))</f>
        <v>12.12513303769404</v>
      </c>
    </row>
    <row r="178" spans="1:18" x14ac:dyDescent="0.25">
      <c r="A178" s="16">
        <f>Prices!A178</f>
        <v>175</v>
      </c>
      <c r="B178" s="17">
        <f>Prices!B178</f>
        <v>46114</v>
      </c>
      <c r="C178" s="18">
        <f>Prices!C178</f>
        <v>3117.27</v>
      </c>
      <c r="D178" s="19">
        <f>(2/(Inputs!$B$21+1))*C178+(1-(2/(Inputs!$B$21+1)))*D177</f>
        <v>2868.1183010306713</v>
      </c>
      <c r="E178" s="19">
        <f>(2/(Inputs!$B$22+1))*C178+(1-(2/(Inputs!$B$22+1)))*E177</f>
        <v>2624.2361998616866</v>
      </c>
      <c r="F178" s="20">
        <f t="shared" si="5"/>
        <v>243.88210116898472</v>
      </c>
      <c r="G178" s="19">
        <f ca="1">F178/(C178*Prices!G178)</f>
        <v>8.5059030169503966</v>
      </c>
      <c r="H178" s="19">
        <f ca="1">G178*Inputs!$B$29</f>
        <v>15.906038641697243</v>
      </c>
      <c r="I178" s="19">
        <f ca="1">MAX(-Inputs!$B$8,MIN(Inputs!$B$8,H178))</f>
        <v>15.906038641697243</v>
      </c>
      <c r="J178" s="19">
        <f>(2/(Inputs!$B$23+1))*C178+(1-(2/(Inputs!$B$23+1)))*J177</f>
        <v>3061.1595074250117</v>
      </c>
      <c r="K178" s="19">
        <f>(2/(Inputs!$B$24+1))*C178+(1-(2/(Inputs!$B$24+1)))*K177</f>
        <v>2868.1183010306713</v>
      </c>
      <c r="L178" s="19">
        <f ca="1">(J178-K178)/(C178*Prices!G178)</f>
        <v>6.7327195066588246</v>
      </c>
      <c r="M178" s="19">
        <f ca="1">MAX(-Inputs!$B$8,MIN(Inputs!$B$8,L178*Inputs!$B$30))</f>
        <v>20</v>
      </c>
      <c r="N178" s="21">
        <v>2.163E-2</v>
      </c>
      <c r="O178" s="12">
        <f>(2/(Inputs!$B$26+1))*N178+(1-(2/(Inputs!$B$26+1)))*O177</f>
        <v>1.897869861753744E-2</v>
      </c>
      <c r="P178" s="19">
        <f ca="1">O178/(Prices!G178*SQRT(Inputs!$B$6))</f>
        <v>0.12896188283853466</v>
      </c>
      <c r="Q178" s="19">
        <f ca="1">MAX(-Inputs!$B$8,MIN(Inputs!$B$8,P178*Inputs!$B$31))</f>
        <v>3.8688564851560399</v>
      </c>
      <c r="R178" s="19">
        <f ca="1">MAX(-Inputs!$B$8,MIN(Inputs!$B$8,Inputs!$B$32*(40*(C178-AVERAGE(OFFSET(Prices!C178,-(Inputs!$B$25-1),0,Inputs!$B$25,1)))/(MAX(OFFSET(Prices!C178,-(Inputs!$B$25-1),0,Inputs!$B$25,1))-MIN(OFFSET(Prices!C178,-(Inputs!$B$25-1),0,Inputs!$B$25,1))))))</f>
        <v>13.004074196753921</v>
      </c>
    </row>
    <row r="179" spans="1:18" x14ac:dyDescent="0.25">
      <c r="A179" s="16">
        <f>Prices!A179</f>
        <v>176</v>
      </c>
      <c r="B179" s="17">
        <f>Prices!B179</f>
        <v>46115</v>
      </c>
      <c r="C179" s="18">
        <f>Prices!C179</f>
        <v>3125.99</v>
      </c>
      <c r="D179" s="19">
        <f>(2/(Inputs!$B$21+1))*C179+(1-(2/(Inputs!$B$21+1)))*D178</f>
        <v>2876.0528148451122</v>
      </c>
      <c r="E179" s="19">
        <f>(2/(Inputs!$B$22+1))*C179+(1-(2/(Inputs!$B$22+1)))*E178</f>
        <v>2628.140898695448</v>
      </c>
      <c r="F179" s="20">
        <f t="shared" si="5"/>
        <v>247.91191614966419</v>
      </c>
      <c r="G179" s="19">
        <f ca="1">F179/(C179*Prices!G179)</f>
        <v>8.6906979291076656</v>
      </c>
      <c r="H179" s="19">
        <f ca="1">G179*Inputs!$B$29</f>
        <v>16.251605127431336</v>
      </c>
      <c r="I179" s="19">
        <f ca="1">MAX(-Inputs!$B$8,MIN(Inputs!$B$8,H179))</f>
        <v>16.251605127431336</v>
      </c>
      <c r="J179" s="19">
        <f>(2/(Inputs!$B$23+1))*C179+(1-(2/(Inputs!$B$23+1)))*J178</f>
        <v>3068.7866241985394</v>
      </c>
      <c r="K179" s="19">
        <f>(2/(Inputs!$B$24+1))*C179+(1-(2/(Inputs!$B$24+1)))*K178</f>
        <v>2876.0528148451122</v>
      </c>
      <c r="L179" s="19">
        <f ca="1">(J179-K179)/(C179*Prices!G179)</f>
        <v>6.7563969648222582</v>
      </c>
      <c r="M179" s="19">
        <f ca="1">MAX(-Inputs!$B$8,MIN(Inputs!$B$8,L179*Inputs!$B$30))</f>
        <v>20</v>
      </c>
      <c r="N179" s="21">
        <v>2.1246999999999999E-2</v>
      </c>
      <c r="O179" s="12">
        <f>(2/(Inputs!$B$26+1))*N179+(1-(2/(Inputs!$B$26+1)))*O178</f>
        <v>1.9028551395173982E-2</v>
      </c>
      <c r="P179" s="19">
        <f ca="1">O179/(Prices!G179*SQRT(Inputs!$B$6))</f>
        <v>0.13032585482991835</v>
      </c>
      <c r="Q179" s="19">
        <f ca="1">MAX(-Inputs!$B$8,MIN(Inputs!$B$8,P179*Inputs!$B$31))</f>
        <v>3.9097756448975503</v>
      </c>
      <c r="R179" s="19">
        <f ca="1">MAX(-Inputs!$B$8,MIN(Inputs!$B$8,Inputs!$B$32*(40*(C179-AVERAGE(OFFSET(Prices!C179,-(Inputs!$B$25-1),0,Inputs!$B$25,1)))/(MAX(OFFSET(Prices!C179,-(Inputs!$B$25-1),0,Inputs!$B$25,1))-MIN(OFFSET(Prices!C179,-(Inputs!$B$25-1),0,Inputs!$B$25,1))))))</f>
        <v>13.526241327374647</v>
      </c>
    </row>
    <row r="180" spans="1:18" x14ac:dyDescent="0.25">
      <c r="A180" s="16">
        <f>Prices!A180</f>
        <v>177</v>
      </c>
      <c r="B180" s="17">
        <f>Prices!B180</f>
        <v>46118</v>
      </c>
      <c r="C180" s="18">
        <f>Prices!C180</f>
        <v>3108.55</v>
      </c>
      <c r="D180" s="19">
        <f>(2/(Inputs!$B$21+1))*C180+(1-(2/(Inputs!$B$21+1)))*D179</f>
        <v>2883.2065743883395</v>
      </c>
      <c r="E180" s="19">
        <f>(2/(Inputs!$B$22+1))*C180+(1-(2/(Inputs!$B$22+1)))*E179</f>
        <v>2631.8794909234989</v>
      </c>
      <c r="F180" s="20">
        <f t="shared" si="5"/>
        <v>251.3270834648406</v>
      </c>
      <c r="G180" s="19">
        <f ca="1">F180/(C180*Prices!G180)</f>
        <v>9.0354830482544326</v>
      </c>
      <c r="H180" s="19">
        <f ca="1">G180*Inputs!$B$29</f>
        <v>16.896353300235791</v>
      </c>
      <c r="I180" s="19">
        <f ca="1">MAX(-Inputs!$B$8,MIN(Inputs!$B$8,H180))</f>
        <v>16.896353300235791</v>
      </c>
      <c r="J180" s="19">
        <f>(2/(Inputs!$B$23+1))*C180+(1-(2/(Inputs!$B$23+1)))*J179</f>
        <v>3073.4646684104755</v>
      </c>
      <c r="K180" s="19">
        <f>(2/(Inputs!$B$24+1))*C180+(1-(2/(Inputs!$B$24+1)))*K179</f>
        <v>2883.2065743883395</v>
      </c>
      <c r="L180" s="19">
        <f ca="1">(J180-K180)/(C180*Prices!G180)</f>
        <v>6.8399862029620753</v>
      </c>
      <c r="M180" s="19">
        <f ca="1">MAX(-Inputs!$B$8,MIN(Inputs!$B$8,L180*Inputs!$B$30))</f>
        <v>20</v>
      </c>
      <c r="N180" s="21">
        <v>2.0848999999999999E-2</v>
      </c>
      <c r="O180" s="12">
        <f>(2/(Inputs!$B$26+1))*N180+(1-(2/(Inputs!$B$26+1)))*O179</f>
        <v>1.9068561254620708E-2</v>
      </c>
      <c r="P180" s="19">
        <f ca="1">O180/(Prices!G180*SQRT(Inputs!$B$6))</f>
        <v>0.1331888548220341</v>
      </c>
      <c r="Q180" s="19">
        <f ca="1">MAX(-Inputs!$B$8,MIN(Inputs!$B$8,P180*Inputs!$B$31))</f>
        <v>3.995665644661023</v>
      </c>
      <c r="R180" s="19">
        <f ca="1">MAX(-Inputs!$B$8,MIN(Inputs!$B$8,Inputs!$B$32*(40*(C180-AVERAGE(OFFSET(Prices!C180,-(Inputs!$B$25-1),0,Inputs!$B$25,1)))/(MAX(OFFSET(Prices!C180,-(Inputs!$B$25-1),0,Inputs!$B$25,1))-MIN(OFFSET(Prices!C180,-(Inputs!$B$25-1),0,Inputs!$B$25,1))))))</f>
        <v>12.374510467659617</v>
      </c>
    </row>
    <row r="181" spans="1:18" x14ac:dyDescent="0.25">
      <c r="A181" s="16">
        <f>Prices!A181</f>
        <v>178</v>
      </c>
      <c r="B181" s="17">
        <f>Prices!B181</f>
        <v>46119</v>
      </c>
      <c r="C181" s="18">
        <f>Prices!C181</f>
        <v>3137.18</v>
      </c>
      <c r="D181" s="19">
        <f>(2/(Inputs!$B$21+1))*C181+(1-(2/(Inputs!$B$21+1)))*D180</f>
        <v>2891.0211413302368</v>
      </c>
      <c r="E181" s="19">
        <f>(2/(Inputs!$B$22+1))*C181+(1-(2/(Inputs!$B$22+1)))*E180</f>
        <v>2635.8117906050279</v>
      </c>
      <c r="F181" s="20">
        <f t="shared" si="5"/>
        <v>255.20935072520888</v>
      </c>
      <c r="G181" s="19">
        <f ca="1">F181/(C181*Prices!G181)</f>
        <v>9.0523945121684886</v>
      </c>
      <c r="H181" s="19">
        <f ca="1">G181*Inputs!$B$29</f>
        <v>16.927977737755075</v>
      </c>
      <c r="I181" s="19">
        <f ca="1">MAX(-Inputs!$B$8,MIN(Inputs!$B$8,H181))</f>
        <v>16.927977737755075</v>
      </c>
      <c r="J181" s="19">
        <f>(2/(Inputs!$B$23+1))*C181+(1-(2/(Inputs!$B$23+1)))*J180</f>
        <v>3080.9605897739489</v>
      </c>
      <c r="K181" s="19">
        <f>(2/(Inputs!$B$24+1))*C181+(1-(2/(Inputs!$B$24+1)))*K180</f>
        <v>2891.0211413302368</v>
      </c>
      <c r="L181" s="19">
        <f ca="1">(J181-K181)/(C181*Prices!G181)</f>
        <v>6.7372406843646679</v>
      </c>
      <c r="M181" s="19">
        <f ca="1">MAX(-Inputs!$B$8,MIN(Inputs!$B$8,L181*Inputs!$B$30))</f>
        <v>20</v>
      </c>
      <c r="N181" s="21">
        <v>2.0435999999999999E-2</v>
      </c>
      <c r="O181" s="12">
        <f>(2/(Inputs!$B$26+1))*N181+(1-(2/(Inputs!$B$26+1)))*O180</f>
        <v>1.9098614853420251E-2</v>
      </c>
      <c r="P181" s="19">
        <f ca="1">O181/(Prices!G181*SQRT(Inputs!$B$6))</f>
        <v>0.1328275663913423</v>
      </c>
      <c r="Q181" s="19">
        <f ca="1">MAX(-Inputs!$B$8,MIN(Inputs!$B$8,P181*Inputs!$B$31))</f>
        <v>3.984826991740269</v>
      </c>
      <c r="R181" s="19">
        <f ca="1">MAX(-Inputs!$B$8,MIN(Inputs!$B$8,Inputs!$B$32*(40*(C181-AVERAGE(OFFSET(Prices!C181,-(Inputs!$B$25-1),0,Inputs!$B$25,1)))/(MAX(OFFSET(Prices!C181,-(Inputs!$B$25-1),0,Inputs!$B$25,1))-MIN(OFFSET(Prices!C181,-(Inputs!$B$25-1),0,Inputs!$B$25,1))))))</f>
        <v>13.870841579002199</v>
      </c>
    </row>
    <row r="182" spans="1:18" x14ac:dyDescent="0.25">
      <c r="A182" s="16">
        <f>Prices!A182</f>
        <v>179</v>
      </c>
      <c r="B182" s="17">
        <f>Prices!B182</f>
        <v>46120</v>
      </c>
      <c r="C182" s="18">
        <f>Prices!C182</f>
        <v>3157.81</v>
      </c>
      <c r="D182" s="19">
        <f>(2/(Inputs!$B$21+1))*C182+(1-(2/(Inputs!$B$21+1)))*D181</f>
        <v>2899.2300292893065</v>
      </c>
      <c r="E182" s="19">
        <f>(2/(Inputs!$B$22+1))*C182+(1-(2/(Inputs!$B$22+1)))*E181</f>
        <v>2639.8740334796967</v>
      </c>
      <c r="F182" s="20">
        <f t="shared" si="5"/>
        <v>259.35599580960979</v>
      </c>
      <c r="G182" s="19">
        <f ca="1">F182/(C182*Prices!G182)</f>
        <v>9.1612560733883974</v>
      </c>
      <c r="H182" s="19">
        <f ca="1">G182*Inputs!$B$29</f>
        <v>17.131548857236304</v>
      </c>
      <c r="I182" s="19">
        <f ca="1">MAX(-Inputs!$B$8,MIN(Inputs!$B$8,H182))</f>
        <v>17.131548857236304</v>
      </c>
      <c r="J182" s="19">
        <f>(2/(Inputs!$B$23+1))*C182+(1-(2/(Inputs!$B$23+1)))*J181</f>
        <v>3090.0016968593663</v>
      </c>
      <c r="K182" s="19">
        <f>(2/(Inputs!$B$24+1))*C182+(1-(2/(Inputs!$B$24+1)))*K181</f>
        <v>2899.2300292893065</v>
      </c>
      <c r="L182" s="19">
        <f ca="1">(J182-K182)/(C182*Prices!G182)</f>
        <v>6.7386454386796419</v>
      </c>
      <c r="M182" s="19">
        <f ca="1">MAX(-Inputs!$B$8,MIN(Inputs!$B$8,L182*Inputs!$B$30))</f>
        <v>20</v>
      </c>
      <c r="N182" s="21">
        <v>2.001E-2</v>
      </c>
      <c r="O182" s="12">
        <f>(2/(Inputs!$B$26+1))*N182+(1-(2/(Inputs!$B$26+1)))*O181</f>
        <v>1.9118645296202223E-2</v>
      </c>
      <c r="P182" s="19">
        <f ca="1">O182/(Prices!G182*SQRT(Inputs!$B$6))</f>
        <v>0.13328517884937288</v>
      </c>
      <c r="Q182" s="19">
        <f ca="1">MAX(-Inputs!$B$8,MIN(Inputs!$B$8,P182*Inputs!$B$31))</f>
        <v>3.9985553654811863</v>
      </c>
      <c r="R182" s="19">
        <f ca="1">MAX(-Inputs!$B$8,MIN(Inputs!$B$8,Inputs!$B$32*(40*(C182-AVERAGE(OFFSET(Prices!C182,-(Inputs!$B$25-1),0,Inputs!$B$25,1)))/(MAX(OFFSET(Prices!C182,-(Inputs!$B$25-1),0,Inputs!$B$25,1))-MIN(OFFSET(Prices!C182,-(Inputs!$B$25-1),0,Inputs!$B$25,1))))))</f>
        <v>14.785394750546816</v>
      </c>
    </row>
    <row r="183" spans="1:18" x14ac:dyDescent="0.25">
      <c r="A183" s="16">
        <f>Prices!A183</f>
        <v>180</v>
      </c>
      <c r="B183" s="17">
        <f>Prices!B183</f>
        <v>46121</v>
      </c>
      <c r="C183" s="18">
        <f>Prices!C183</f>
        <v>3127.97</v>
      </c>
      <c r="D183" s="19">
        <f>(2/(Inputs!$B$21+1))*C183+(1-(2/(Inputs!$B$21+1)))*D182</f>
        <v>2906.2681822342506</v>
      </c>
      <c r="E183" s="19">
        <f>(2/(Inputs!$B$22+1))*C183+(1-(2/(Inputs!$B$22+1)))*E182</f>
        <v>2643.672445670516</v>
      </c>
      <c r="F183" s="20">
        <f t="shared" si="5"/>
        <v>262.59573656373459</v>
      </c>
      <c r="G183" s="19">
        <f ca="1">F183/(C183*Prices!G183)</f>
        <v>9.550421029144589</v>
      </c>
      <c r="H183" s="19">
        <f ca="1">G183*Inputs!$B$29</f>
        <v>17.859287324500382</v>
      </c>
      <c r="I183" s="19">
        <f ca="1">MAX(-Inputs!$B$8,MIN(Inputs!$B$8,H183))</f>
        <v>17.859287324500382</v>
      </c>
      <c r="J183" s="19">
        <f>(2/(Inputs!$B$23+1))*C183+(1-(2/(Inputs!$B$23+1)))*J182</f>
        <v>3094.4685560523822</v>
      </c>
      <c r="K183" s="19">
        <f>(2/(Inputs!$B$24+1))*C183+(1-(2/(Inputs!$B$24+1)))*K182</f>
        <v>2906.2681822342506</v>
      </c>
      <c r="L183" s="19">
        <f ca="1">(J183-K183)/(C183*Prices!G183)</f>
        <v>6.8447143557081755</v>
      </c>
      <c r="M183" s="19">
        <f ca="1">MAX(-Inputs!$B$8,MIN(Inputs!$B$8,L183*Inputs!$B$30))</f>
        <v>20</v>
      </c>
      <c r="N183" s="21">
        <v>1.9571000000000002E-2</v>
      </c>
      <c r="O183" s="12">
        <f>(2/(Inputs!$B$26+1))*N183+(1-(2/(Inputs!$B$26+1)))*O182</f>
        <v>1.9128587157824152E-2</v>
      </c>
      <c r="P183" s="19">
        <f ca="1">O183/(Prices!G183*SQRT(Inputs!$B$6))</f>
        <v>0.13600671079526225</v>
      </c>
      <c r="Q183" s="19">
        <f ca="1">MAX(-Inputs!$B$8,MIN(Inputs!$B$8,P183*Inputs!$B$31))</f>
        <v>4.0802013238578674</v>
      </c>
      <c r="R183" s="19">
        <f ca="1">MAX(-Inputs!$B$8,MIN(Inputs!$B$8,Inputs!$B$32*(40*(C183-AVERAGE(OFFSET(Prices!C183,-(Inputs!$B$25-1),0,Inputs!$B$25,1)))/(MAX(OFFSET(Prices!C183,-(Inputs!$B$25-1),0,Inputs!$B$25,1))-MIN(OFFSET(Prices!C183,-(Inputs!$B$25-1),0,Inputs!$B$25,1))))))</f>
        <v>12.079884907822088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83"/>
  <sheetViews>
    <sheetView zoomScaleNormal="100" workbookViewId="0">
      <pane xSplit="3" ySplit="3" topLeftCell="D130" activePane="bottomRight" state="frozen"/>
      <selection pane="topRight" activeCell="D1" sqref="D1"/>
      <selection pane="bottomLeft" activeCell="A4" sqref="A4"/>
      <selection pane="bottomRight" activeCell="G143" sqref="G143"/>
    </sheetView>
  </sheetViews>
  <sheetFormatPr defaultColWidth="8.7109375" defaultRowHeight="15" x14ac:dyDescent="0.25"/>
  <cols>
    <col min="1" max="3" width="12" customWidth="1"/>
    <col min="4" max="10" width="14" customWidth="1"/>
  </cols>
  <sheetData>
    <row r="1" spans="1:10" ht="19.5" customHeight="1" x14ac:dyDescent="0.25">
      <c r="A1" s="1" t="s">
        <v>110</v>
      </c>
      <c r="B1" s="4"/>
      <c r="C1" s="4"/>
      <c r="D1" s="4"/>
      <c r="E1" s="4"/>
      <c r="F1" s="4"/>
      <c r="G1" s="4"/>
      <c r="H1" s="4"/>
      <c r="I1" s="4"/>
      <c r="J1" s="4"/>
    </row>
    <row r="3" spans="1:10" ht="25.5" x14ac:dyDescent="0.25">
      <c r="A3" s="13" t="s">
        <v>87</v>
      </c>
      <c r="B3" s="13" t="s">
        <v>88</v>
      </c>
      <c r="C3" s="13" t="s">
        <v>111</v>
      </c>
      <c r="D3" s="13" t="s">
        <v>112</v>
      </c>
      <c r="E3" s="13" t="s">
        <v>113</v>
      </c>
      <c r="F3" s="13" t="s">
        <v>114</v>
      </c>
      <c r="G3" s="13" t="s">
        <v>115</v>
      </c>
      <c r="H3" s="13" t="s">
        <v>116</v>
      </c>
      <c r="I3" s="13" t="s">
        <v>117</v>
      </c>
    </row>
    <row r="4" spans="1:10" x14ac:dyDescent="0.25">
      <c r="A4" s="16">
        <f>Rules!A4</f>
        <v>1</v>
      </c>
      <c r="B4" s="17">
        <f>Rules!B4</f>
        <v>45870</v>
      </c>
      <c r="C4" s="18">
        <f>Rules!I4</f>
        <v>0</v>
      </c>
      <c r="D4" s="18">
        <f>Rules!M4</f>
        <v>0</v>
      </c>
      <c r="E4" s="18">
        <f>Rules!Q4</f>
        <v>0</v>
      </c>
      <c r="F4" s="18">
        <f>Rules!R4</f>
        <v>0</v>
      </c>
      <c r="G4" s="19"/>
      <c r="H4" s="19"/>
      <c r="I4" s="19"/>
    </row>
    <row r="5" spans="1:10" x14ac:dyDescent="0.25">
      <c r="A5" s="16">
        <f>Rules!A5</f>
        <v>2</v>
      </c>
      <c r="B5" s="17">
        <f>Rules!B5</f>
        <v>45873</v>
      </c>
      <c r="C5" s="18">
        <f>Rules!I5</f>
        <v>0</v>
      </c>
      <c r="D5" s="18">
        <f>Rules!M5</f>
        <v>0</v>
      </c>
      <c r="E5" s="18">
        <f>Rules!Q5</f>
        <v>0</v>
      </c>
      <c r="F5" s="18">
        <f>Rules!R5</f>
        <v>0</v>
      </c>
      <c r="G5" s="19"/>
      <c r="H5" s="19"/>
      <c r="I5" s="19"/>
    </row>
    <row r="6" spans="1:10" x14ac:dyDescent="0.25">
      <c r="A6" s="16">
        <f>Rules!A6</f>
        <v>3</v>
      </c>
      <c r="B6" s="17">
        <f>Rules!B6</f>
        <v>45874</v>
      </c>
      <c r="C6" s="18">
        <f>Rules!I6</f>
        <v>0</v>
      </c>
      <c r="D6" s="18">
        <f>Rules!M6</f>
        <v>0</v>
      </c>
      <c r="E6" s="18">
        <f>Rules!Q6</f>
        <v>0</v>
      </c>
      <c r="F6" s="18">
        <f>Rules!R6</f>
        <v>0</v>
      </c>
      <c r="G6" s="19"/>
      <c r="H6" s="19"/>
      <c r="I6" s="19"/>
    </row>
    <row r="7" spans="1:10" x14ac:dyDescent="0.25">
      <c r="A7" s="16">
        <f>Rules!A7</f>
        <v>4</v>
      </c>
      <c r="B7" s="17">
        <f>Rules!B7</f>
        <v>45875</v>
      </c>
      <c r="C7" s="18">
        <f>Rules!I7</f>
        <v>0</v>
      </c>
      <c r="D7" s="18">
        <f>Rules!M7</f>
        <v>0</v>
      </c>
      <c r="E7" s="18">
        <f>Rules!Q7</f>
        <v>0</v>
      </c>
      <c r="F7" s="18">
        <f>Rules!R7</f>
        <v>0</v>
      </c>
      <c r="G7" s="19"/>
      <c r="H7" s="19"/>
      <c r="I7" s="19"/>
    </row>
    <row r="8" spans="1:10" x14ac:dyDescent="0.25">
      <c r="A8" s="16">
        <f>Rules!A8</f>
        <v>5</v>
      </c>
      <c r="B8" s="17">
        <f>Rules!B8</f>
        <v>45876</v>
      </c>
      <c r="C8" s="18">
        <f>Rules!I8</f>
        <v>0</v>
      </c>
      <c r="D8" s="18">
        <f>Rules!M8</f>
        <v>0</v>
      </c>
      <c r="E8" s="18">
        <f>Rules!Q8</f>
        <v>0</v>
      </c>
      <c r="F8" s="18">
        <f>Rules!R8</f>
        <v>0</v>
      </c>
      <c r="G8" s="19"/>
      <c r="H8" s="19"/>
      <c r="I8" s="19"/>
    </row>
    <row r="9" spans="1:10" x14ac:dyDescent="0.25">
      <c r="A9" s="16">
        <f>Rules!A9</f>
        <v>6</v>
      </c>
      <c r="B9" s="17">
        <f>Rules!B9</f>
        <v>45877</v>
      </c>
      <c r="C9" s="18">
        <f>Rules!I9</f>
        <v>0</v>
      </c>
      <c r="D9" s="18">
        <f>Rules!M9</f>
        <v>0</v>
      </c>
      <c r="E9" s="18">
        <f>Rules!Q9</f>
        <v>0</v>
      </c>
      <c r="F9" s="18">
        <f>Rules!R9</f>
        <v>0</v>
      </c>
      <c r="G9" s="19"/>
      <c r="H9" s="19"/>
      <c r="I9" s="19"/>
    </row>
    <row r="10" spans="1:10" x14ac:dyDescent="0.25">
      <c r="A10" s="16">
        <f>Rules!A10</f>
        <v>7</v>
      </c>
      <c r="B10" s="17">
        <f>Rules!B10</f>
        <v>45880</v>
      </c>
      <c r="C10" s="18">
        <f>Rules!I10</f>
        <v>0</v>
      </c>
      <c r="D10" s="18">
        <f>Rules!M10</f>
        <v>0</v>
      </c>
      <c r="E10" s="18">
        <f>Rules!Q10</f>
        <v>0</v>
      </c>
      <c r="F10" s="18">
        <f>Rules!R10</f>
        <v>0</v>
      </c>
      <c r="G10" s="19"/>
      <c r="H10" s="19"/>
      <c r="I10" s="19"/>
    </row>
    <row r="11" spans="1:10" x14ac:dyDescent="0.25">
      <c r="A11" s="16">
        <f>Rules!A11</f>
        <v>8</v>
      </c>
      <c r="B11" s="17">
        <f>Rules!B11</f>
        <v>45881</v>
      </c>
      <c r="C11" s="18">
        <f>Rules!I11</f>
        <v>0</v>
      </c>
      <c r="D11" s="18">
        <f>Rules!M11</f>
        <v>0</v>
      </c>
      <c r="E11" s="18">
        <f>Rules!Q11</f>
        <v>0</v>
      </c>
      <c r="F11" s="18">
        <f>Rules!R11</f>
        <v>0</v>
      </c>
      <c r="G11" s="19"/>
      <c r="H11" s="19"/>
      <c r="I11" s="19"/>
    </row>
    <row r="12" spans="1:10" x14ac:dyDescent="0.25">
      <c r="A12" s="16">
        <f>Rules!A12</f>
        <v>9</v>
      </c>
      <c r="B12" s="17">
        <f>Rules!B12</f>
        <v>45882</v>
      </c>
      <c r="C12" s="18">
        <f>Rules!I12</f>
        <v>0</v>
      </c>
      <c r="D12" s="18">
        <f>Rules!M12</f>
        <v>0</v>
      </c>
      <c r="E12" s="18">
        <f>Rules!Q12</f>
        <v>0</v>
      </c>
      <c r="F12" s="18">
        <f>Rules!R12</f>
        <v>0</v>
      </c>
      <c r="G12" s="19"/>
      <c r="H12" s="19"/>
      <c r="I12" s="19"/>
    </row>
    <row r="13" spans="1:10" x14ac:dyDescent="0.25">
      <c r="A13" s="16">
        <f>Rules!A13</f>
        <v>10</v>
      </c>
      <c r="B13" s="17">
        <f>Rules!B13</f>
        <v>45883</v>
      </c>
      <c r="C13" s="18">
        <f>Rules!I13</f>
        <v>0</v>
      </c>
      <c r="D13" s="18">
        <f>Rules!M13</f>
        <v>0</v>
      </c>
      <c r="E13" s="18">
        <f>Rules!Q13</f>
        <v>0</v>
      </c>
      <c r="F13" s="18">
        <f>Rules!R13</f>
        <v>0</v>
      </c>
      <c r="G13" s="19"/>
      <c r="H13" s="19"/>
      <c r="I13" s="19"/>
    </row>
    <row r="14" spans="1:10" x14ac:dyDescent="0.25">
      <c r="A14" s="16">
        <f>Rules!A14</f>
        <v>11</v>
      </c>
      <c r="B14" s="17">
        <f>Rules!B14</f>
        <v>45884</v>
      </c>
      <c r="C14" s="18">
        <f ca="1">Rules!I14</f>
        <v>-4.4896764377768988E-2</v>
      </c>
      <c r="D14" s="18">
        <f ca="1">Rules!M14</f>
        <v>-0.43064142157187446</v>
      </c>
      <c r="E14" s="18">
        <f ca="1">Rules!Q14</f>
        <v>5.2842957498478933</v>
      </c>
      <c r="F14" s="18">
        <f>Rules!R14</f>
        <v>0</v>
      </c>
      <c r="G14" s="19"/>
      <c r="H14" s="19"/>
      <c r="I14" s="19"/>
    </row>
    <row r="15" spans="1:10" x14ac:dyDescent="0.25">
      <c r="A15" s="16">
        <f>Rules!A15</f>
        <v>12</v>
      </c>
      <c r="B15" s="17">
        <f>Rules!B15</f>
        <v>45887</v>
      </c>
      <c r="C15" s="18">
        <f ca="1">Rules!I15</f>
        <v>-2.840447382584934E-2</v>
      </c>
      <c r="D15" s="18">
        <f ca="1">Rules!M15</f>
        <v>-0.25346618927588893</v>
      </c>
      <c r="E15" s="18">
        <f ca="1">Rules!Q15</f>
        <v>4.8131235567117132</v>
      </c>
      <c r="F15" s="18">
        <f>Rules!R15</f>
        <v>0</v>
      </c>
      <c r="G15" s="19"/>
      <c r="H15" s="19"/>
      <c r="I15" s="19"/>
    </row>
    <row r="16" spans="1:10" x14ac:dyDescent="0.25">
      <c r="A16" s="16">
        <f>Rules!A16</f>
        <v>13</v>
      </c>
      <c r="B16" s="17">
        <f>Rules!B16</f>
        <v>45888</v>
      </c>
      <c r="C16" s="18">
        <f ca="1">Rules!I16</f>
        <v>6.9694449087682339E-2</v>
      </c>
      <c r="D16" s="18">
        <f ca="1">Rules!M16</f>
        <v>0.51871654562469249</v>
      </c>
      <c r="E16" s="18">
        <f ca="1">Rules!Q16</f>
        <v>4.6434468676859071</v>
      </c>
      <c r="F16" s="18">
        <f>Rules!R16</f>
        <v>0</v>
      </c>
      <c r="G16" s="19"/>
      <c r="H16" s="19"/>
      <c r="I16" s="19"/>
    </row>
    <row r="17" spans="1:9" x14ac:dyDescent="0.25">
      <c r="A17" s="16">
        <f>Rules!A17</f>
        <v>14</v>
      </c>
      <c r="B17" s="17">
        <f>Rules!B17</f>
        <v>45889</v>
      </c>
      <c r="C17" s="18">
        <f ca="1">Rules!I17</f>
        <v>0.21936437936982775</v>
      </c>
      <c r="D17" s="18">
        <f ca="1">Rules!M17</f>
        <v>1.594804250689994</v>
      </c>
      <c r="E17" s="18">
        <f ca="1">Rules!Q17</f>
        <v>4.8098936493188944</v>
      </c>
      <c r="F17" s="18">
        <f>Rules!R17</f>
        <v>0</v>
      </c>
      <c r="G17" s="19"/>
      <c r="H17" s="19"/>
      <c r="I17" s="19"/>
    </row>
    <row r="18" spans="1:9" x14ac:dyDescent="0.25">
      <c r="A18" s="16">
        <f>Rules!A18</f>
        <v>15</v>
      </c>
      <c r="B18" s="17">
        <f>Rules!B18</f>
        <v>45890</v>
      </c>
      <c r="C18" s="18">
        <f ca="1">Rules!I18</f>
        <v>0.37626936691823215</v>
      </c>
      <c r="D18" s="18">
        <f ca="1">Rules!M18</f>
        <v>2.6103366542997946</v>
      </c>
      <c r="E18" s="18">
        <f ca="1">Rules!Q18</f>
        <v>4.8374318632868141</v>
      </c>
      <c r="F18" s="18">
        <f>Rules!R18</f>
        <v>0</v>
      </c>
      <c r="G18" s="19"/>
      <c r="H18" s="19"/>
      <c r="I18" s="19"/>
    </row>
    <row r="19" spans="1:9" x14ac:dyDescent="0.25">
      <c r="A19" s="16">
        <f>Rules!A19</f>
        <v>16</v>
      </c>
      <c r="B19" s="17">
        <f>Rules!B19</f>
        <v>45891</v>
      </c>
      <c r="C19" s="18">
        <f ca="1">Rules!I19</f>
        <v>0.4693224303053784</v>
      </c>
      <c r="D19" s="18">
        <f ca="1">Rules!M19</f>
        <v>3.0478372647019292</v>
      </c>
      <c r="E19" s="18">
        <f ca="1">Rules!Q19</f>
        <v>4.6879661741583538</v>
      </c>
      <c r="F19" s="18">
        <f>Rules!R19</f>
        <v>0</v>
      </c>
      <c r="G19" s="19"/>
      <c r="H19" s="19"/>
      <c r="I19" s="19"/>
    </row>
    <row r="20" spans="1:9" x14ac:dyDescent="0.25">
      <c r="A20" s="16">
        <f>Rules!A20</f>
        <v>17</v>
      </c>
      <c r="B20" s="17">
        <f>Rules!B20</f>
        <v>45894</v>
      </c>
      <c r="C20" s="18">
        <f ca="1">Rules!I20</f>
        <v>0.51743657883740313</v>
      </c>
      <c r="D20" s="18">
        <f ca="1">Rules!M20</f>
        <v>3.0708527321566312</v>
      </c>
      <c r="E20" s="18">
        <f ca="1">Rules!Q20</f>
        <v>4.7442526635133833</v>
      </c>
      <c r="F20" s="18">
        <f>Rules!R20</f>
        <v>0</v>
      </c>
      <c r="G20" s="19"/>
      <c r="H20" s="19"/>
      <c r="I20" s="19"/>
    </row>
    <row r="21" spans="1:9" x14ac:dyDescent="0.25">
      <c r="A21" s="16">
        <f>Rules!A21</f>
        <v>18</v>
      </c>
      <c r="B21" s="17">
        <f>Rules!B21</f>
        <v>45895</v>
      </c>
      <c r="C21" s="18">
        <f ca="1">Rules!I21</f>
        <v>0.54942229870273762</v>
      </c>
      <c r="D21" s="18">
        <f ca="1">Rules!M21</f>
        <v>3.0492227260004485</v>
      </c>
      <c r="E21" s="18">
        <f ca="1">Rules!Q21</f>
        <v>4.5307413886851897</v>
      </c>
      <c r="F21" s="18">
        <f>Rules!R21</f>
        <v>0</v>
      </c>
      <c r="G21" s="19"/>
      <c r="H21" s="19"/>
      <c r="I21" s="19"/>
    </row>
    <row r="22" spans="1:9" x14ac:dyDescent="0.25">
      <c r="A22" s="16">
        <f>Rules!A22</f>
        <v>19</v>
      </c>
      <c r="B22" s="17">
        <f>Rules!B22</f>
        <v>45896</v>
      </c>
      <c r="C22" s="18">
        <f ca="1">Rules!I22</f>
        <v>0.68508952040394966</v>
      </c>
      <c r="D22" s="18">
        <f ca="1">Rules!M22</f>
        <v>3.7793620733004727</v>
      </c>
      <c r="E22" s="18">
        <f ca="1">Rules!Q22</f>
        <v>4.5443655101807652</v>
      </c>
      <c r="F22" s="18">
        <f>Rules!R22</f>
        <v>0</v>
      </c>
      <c r="G22" s="19"/>
      <c r="H22" s="19"/>
      <c r="I22" s="19"/>
    </row>
    <row r="23" spans="1:9" x14ac:dyDescent="0.25">
      <c r="A23" s="16">
        <f>Rules!A23</f>
        <v>20</v>
      </c>
      <c r="B23" s="17">
        <f>Rules!B23</f>
        <v>45897</v>
      </c>
      <c r="C23" s="18">
        <f ca="1">Rules!I23</f>
        <v>0.85717831946747647</v>
      </c>
      <c r="D23" s="18">
        <f ca="1">Rules!M23</f>
        <v>4.6331793237889105</v>
      </c>
      <c r="E23" s="18">
        <f ca="1">Rules!Q23</f>
        <v>4.7083589626423707</v>
      </c>
      <c r="F23" s="18">
        <f>Rules!R23</f>
        <v>0</v>
      </c>
      <c r="G23" s="19"/>
      <c r="H23" s="19"/>
      <c r="I23" s="19"/>
    </row>
    <row r="24" spans="1:9" x14ac:dyDescent="0.25">
      <c r="A24" s="16">
        <f>Rules!A24</f>
        <v>21</v>
      </c>
      <c r="B24" s="17">
        <f>Rules!B24</f>
        <v>45898</v>
      </c>
      <c r="C24" s="18">
        <f ca="1">Rules!I24</f>
        <v>1.0222870590152926</v>
      </c>
      <c r="D24" s="18">
        <f ca="1">Rules!M24</f>
        <v>5.353273685348487</v>
      </c>
      <c r="E24" s="18">
        <f ca="1">Rules!Q24</f>
        <v>4.8247661088887881</v>
      </c>
      <c r="F24" s="18">
        <f>Rules!R24</f>
        <v>0</v>
      </c>
      <c r="G24" s="19"/>
      <c r="H24" s="19"/>
      <c r="I24" s="19"/>
    </row>
    <row r="25" spans="1:9" x14ac:dyDescent="0.25">
      <c r="A25" s="16">
        <f>Rules!A25</f>
        <v>22</v>
      </c>
      <c r="B25" s="17">
        <f>Rules!B25</f>
        <v>45901</v>
      </c>
      <c r="C25" s="18">
        <f ca="1">Rules!I25</f>
        <v>1.1334503658037216</v>
      </c>
      <c r="D25" s="18">
        <f ca="1">Rules!M25</f>
        <v>5.8156540334137734</v>
      </c>
      <c r="E25" s="18">
        <f ca="1">Rules!Q25</f>
        <v>4.5865500635602556</v>
      </c>
      <c r="F25" s="18">
        <f>Rules!R25</f>
        <v>0</v>
      </c>
      <c r="G25" s="19"/>
      <c r="H25" s="19"/>
      <c r="I25" s="19"/>
    </row>
    <row r="26" spans="1:9" x14ac:dyDescent="0.25">
      <c r="A26" s="16">
        <f>Rules!A26</f>
        <v>23</v>
      </c>
      <c r="B26" s="17">
        <f>Rules!B26</f>
        <v>45902</v>
      </c>
      <c r="C26" s="18">
        <f ca="1">Rules!I26</f>
        <v>1.2217943992872915</v>
      </c>
      <c r="D26" s="18">
        <f ca="1">Rules!M26</f>
        <v>5.8638464521033864</v>
      </c>
      <c r="E26" s="18">
        <f ca="1">Rules!Q26</f>
        <v>4.5713656391640169</v>
      </c>
      <c r="F26" s="18">
        <f>Rules!R26</f>
        <v>0</v>
      </c>
      <c r="G26" s="19"/>
      <c r="H26" s="19"/>
      <c r="I26" s="19"/>
    </row>
    <row r="27" spans="1:9" x14ac:dyDescent="0.25">
      <c r="A27" s="16">
        <f>Rules!A27</f>
        <v>24</v>
      </c>
      <c r="B27" s="17">
        <f>Rules!B27</f>
        <v>45903</v>
      </c>
      <c r="C27" s="18">
        <f ca="1">Rules!I27</f>
        <v>1.3128732058514518</v>
      </c>
      <c r="D27" s="18">
        <f ca="1">Rules!M27</f>
        <v>5.8759002356839565</v>
      </c>
      <c r="E27" s="18">
        <f ca="1">Rules!Q27</f>
        <v>4.6727754517361815</v>
      </c>
      <c r="F27" s="18">
        <f>Rules!R27</f>
        <v>0</v>
      </c>
      <c r="G27" s="19"/>
      <c r="H27" s="19"/>
      <c r="I27" s="19"/>
    </row>
    <row r="28" spans="1:9" x14ac:dyDescent="0.25">
      <c r="A28" s="16">
        <f>Rules!A28</f>
        <v>25</v>
      </c>
      <c r="B28" s="17">
        <f>Rules!B28</f>
        <v>45904</v>
      </c>
      <c r="C28" s="18">
        <f ca="1">Rules!I28</f>
        <v>1.4045189924871633</v>
      </c>
      <c r="D28" s="18">
        <f ca="1">Rules!M28</f>
        <v>6.0086146719436115</v>
      </c>
      <c r="E28" s="18">
        <f ca="1">Rules!Q28</f>
        <v>4.6907010176377151</v>
      </c>
      <c r="F28" s="18">
        <f>Rules!R28</f>
        <v>0</v>
      </c>
      <c r="G28" s="19"/>
      <c r="H28" s="19"/>
      <c r="I28" s="19"/>
    </row>
    <row r="29" spans="1:9" x14ac:dyDescent="0.25">
      <c r="A29" s="16">
        <f>Rules!A29</f>
        <v>26</v>
      </c>
      <c r="B29" s="17">
        <f>Rules!B29</f>
        <v>45905</v>
      </c>
      <c r="C29" s="18">
        <f ca="1">Rules!I29</f>
        <v>1.5657837897227358</v>
      </c>
      <c r="D29" s="18">
        <f ca="1">Rules!M29</f>
        <v>6.6127214658541318</v>
      </c>
      <c r="E29" s="18">
        <f ca="1">Rules!Q29</f>
        <v>4.7739477246882593</v>
      </c>
      <c r="F29" s="18">
        <f>Rules!R29</f>
        <v>0</v>
      </c>
      <c r="G29" s="19"/>
      <c r="H29" s="19"/>
      <c r="I29" s="19"/>
    </row>
    <row r="30" spans="1:9" x14ac:dyDescent="0.25">
      <c r="A30" s="16">
        <f>Rules!A30</f>
        <v>27</v>
      </c>
      <c r="B30" s="17">
        <f>Rules!B30</f>
        <v>45908</v>
      </c>
      <c r="C30" s="18">
        <f ca="1">Rules!I30</f>
        <v>1.7430460959810323</v>
      </c>
      <c r="D30" s="18">
        <f ca="1">Rules!M30</f>
        <v>7.171750156855154</v>
      </c>
      <c r="E30" s="18">
        <f ca="1">Rules!Q30</f>
        <v>4.8901072253198459</v>
      </c>
      <c r="F30" s="18">
        <f>Rules!R30</f>
        <v>0</v>
      </c>
      <c r="G30" s="19"/>
      <c r="H30" s="19"/>
      <c r="I30" s="19"/>
    </row>
    <row r="31" spans="1:9" x14ac:dyDescent="0.25">
      <c r="A31" s="16">
        <f>Rules!A31</f>
        <v>28</v>
      </c>
      <c r="B31" s="17">
        <f>Rules!B31</f>
        <v>45909</v>
      </c>
      <c r="C31" s="18">
        <f ca="1">Rules!I31</f>
        <v>1.941005217679959</v>
      </c>
      <c r="D31" s="18">
        <f ca="1">Rules!M31</f>
        <v>7.8548639898855832</v>
      </c>
      <c r="E31" s="18">
        <f ca="1">Rules!Q31</f>
        <v>5.0127668767665821</v>
      </c>
      <c r="F31" s="18">
        <f>Rules!R31</f>
        <v>0</v>
      </c>
      <c r="G31" s="19"/>
      <c r="H31" s="19"/>
      <c r="I31" s="19"/>
    </row>
    <row r="32" spans="1:9" x14ac:dyDescent="0.25">
      <c r="A32" s="16">
        <f>Rules!A32</f>
        <v>29</v>
      </c>
      <c r="B32" s="17">
        <f>Rules!B32</f>
        <v>45910</v>
      </c>
      <c r="C32" s="18">
        <f ca="1">Rules!I32</f>
        <v>2.1332090258027887</v>
      </c>
      <c r="D32" s="18">
        <f ca="1">Rules!M32</f>
        <v>8.5107927118300832</v>
      </c>
      <c r="E32" s="18">
        <f ca="1">Rules!Q32</f>
        <v>5.0682480318985776</v>
      </c>
      <c r="F32" s="18">
        <f>Rules!R32</f>
        <v>0</v>
      </c>
      <c r="G32" s="19"/>
      <c r="H32" s="19"/>
      <c r="I32" s="19"/>
    </row>
    <row r="33" spans="1:9" x14ac:dyDescent="0.25">
      <c r="A33" s="16">
        <f>Rules!A33</f>
        <v>30</v>
      </c>
      <c r="B33" s="17">
        <f>Rules!B33</f>
        <v>45911</v>
      </c>
      <c r="C33" s="18">
        <f ca="1">Rules!I33</f>
        <v>2.2996839342150928</v>
      </c>
      <c r="D33" s="18">
        <f ca="1">Rules!M33</f>
        <v>9.177111088765928</v>
      </c>
      <c r="E33" s="18">
        <f ca="1">Rules!Q33</f>
        <v>4.9874362030795636</v>
      </c>
      <c r="F33" s="18">
        <f>Rules!R33</f>
        <v>0</v>
      </c>
      <c r="G33" s="19"/>
      <c r="H33" s="19"/>
      <c r="I33" s="19"/>
    </row>
    <row r="34" spans="1:9" x14ac:dyDescent="0.25">
      <c r="A34" s="16">
        <f>Rules!A34</f>
        <v>31</v>
      </c>
      <c r="B34" s="17">
        <f>Rules!B34</f>
        <v>45912</v>
      </c>
      <c r="C34" s="18">
        <f ca="1">Rules!I34</f>
        <v>2.4761944383442387</v>
      </c>
      <c r="D34" s="18">
        <f ca="1">Rules!M34</f>
        <v>9.5261972725701085</v>
      </c>
      <c r="E34" s="18">
        <f ca="1">Rules!Q34</f>
        <v>5.0023840193483542</v>
      </c>
      <c r="F34" s="18">
        <f>Rules!R34</f>
        <v>0</v>
      </c>
      <c r="G34" s="19"/>
      <c r="H34" s="19"/>
      <c r="I34" s="19"/>
    </row>
    <row r="35" spans="1:9" x14ac:dyDescent="0.25">
      <c r="A35" s="16">
        <f>Rules!A35</f>
        <v>32</v>
      </c>
      <c r="B35" s="17">
        <f>Rules!B35</f>
        <v>45915</v>
      </c>
      <c r="C35" s="18">
        <f ca="1">Rules!I35</f>
        <v>2.5537168607551286</v>
      </c>
      <c r="D35" s="18">
        <f ca="1">Rules!M35</f>
        <v>9.6116715390036287</v>
      </c>
      <c r="E35" s="18">
        <f ca="1">Rules!Q35</f>
        <v>4.8419488684357521</v>
      </c>
      <c r="F35" s="18">
        <f>Rules!R35</f>
        <v>0</v>
      </c>
      <c r="G35" s="19"/>
      <c r="H35" s="19"/>
      <c r="I35" s="19"/>
    </row>
    <row r="36" spans="1:9" x14ac:dyDescent="0.25">
      <c r="A36" s="16">
        <f>Rules!A36</f>
        <v>33</v>
      </c>
      <c r="B36" s="17">
        <f>Rules!B36</f>
        <v>45916</v>
      </c>
      <c r="C36" s="18">
        <f ca="1">Rules!I36</f>
        <v>2.3706628763872355</v>
      </c>
      <c r="D36" s="18">
        <f ca="1">Rules!M36</f>
        <v>8.3896240836673162</v>
      </c>
      <c r="E36" s="18">
        <f ca="1">Rules!Q36</f>
        <v>4.2972697712855048</v>
      </c>
      <c r="F36" s="18">
        <f>Rules!R36</f>
        <v>0</v>
      </c>
      <c r="G36" s="19"/>
      <c r="H36" s="19"/>
      <c r="I36" s="19"/>
    </row>
    <row r="37" spans="1:9" x14ac:dyDescent="0.25">
      <c r="A37" s="16">
        <f>Rules!A37</f>
        <v>34</v>
      </c>
      <c r="B37" s="17">
        <f>Rules!B37</f>
        <v>45917</v>
      </c>
      <c r="C37" s="18">
        <f ca="1">Rules!I37</f>
        <v>2.2982201114197127</v>
      </c>
      <c r="D37" s="18">
        <f ca="1">Rules!M37</f>
        <v>7.1105510400432017</v>
      </c>
      <c r="E37" s="18">
        <f ca="1">Rules!Q37</f>
        <v>4.1736006860628088</v>
      </c>
      <c r="F37" s="18">
        <f>Rules!R37</f>
        <v>0</v>
      </c>
      <c r="G37" s="19"/>
      <c r="H37" s="19"/>
      <c r="I37" s="19"/>
    </row>
    <row r="38" spans="1:9" x14ac:dyDescent="0.25">
      <c r="A38" s="16">
        <f>Rules!A38</f>
        <v>35</v>
      </c>
      <c r="B38" s="17">
        <f>Rules!B38</f>
        <v>45918</v>
      </c>
      <c r="C38" s="18">
        <f ca="1">Rules!I38</f>
        <v>2.2484315068040188</v>
      </c>
      <c r="D38" s="18">
        <f ca="1">Rules!M38</f>
        <v>5.9354021094072804</v>
      </c>
      <c r="E38" s="18">
        <f ca="1">Rules!Q38</f>
        <v>4.2198379057461484</v>
      </c>
      <c r="F38" s="18">
        <f>Rules!R38</f>
        <v>0</v>
      </c>
      <c r="G38" s="19"/>
      <c r="H38" s="19"/>
      <c r="I38" s="19"/>
    </row>
    <row r="39" spans="1:9" x14ac:dyDescent="0.25">
      <c r="A39" s="16">
        <f>Rules!A39</f>
        <v>36</v>
      </c>
      <c r="B39" s="17">
        <f>Rules!B39</f>
        <v>45919</v>
      </c>
      <c r="C39" s="18">
        <f ca="1">Rules!I39</f>
        <v>2.1579207457214884</v>
      </c>
      <c r="D39" s="18">
        <f ca="1">Rules!M39</f>
        <v>4.5853299644682881</v>
      </c>
      <c r="E39" s="18">
        <f ca="1">Rules!Q39</f>
        <v>4.2505517424237844</v>
      </c>
      <c r="F39" s="18">
        <f>Rules!R39</f>
        <v>0</v>
      </c>
      <c r="G39" s="19"/>
      <c r="H39" s="19"/>
      <c r="I39" s="19"/>
    </row>
    <row r="40" spans="1:9" x14ac:dyDescent="0.25">
      <c r="A40" s="16">
        <f>Rules!A40</f>
        <v>37</v>
      </c>
      <c r="B40" s="17">
        <f>Rules!B40</f>
        <v>45922</v>
      </c>
      <c r="C40" s="18">
        <f ca="1">Rules!I40</f>
        <v>2.0502186087884504</v>
      </c>
      <c r="D40" s="18">
        <f ca="1">Rules!M40</f>
        <v>3.6629930195844009</v>
      </c>
      <c r="E40" s="18">
        <f ca="1">Rules!Q40</f>
        <v>4.2124515573321313</v>
      </c>
      <c r="F40" s="18">
        <f>Rules!R40</f>
        <v>0</v>
      </c>
      <c r="G40" s="19"/>
      <c r="H40" s="19"/>
      <c r="I40" s="19"/>
    </row>
    <row r="41" spans="1:9" x14ac:dyDescent="0.25">
      <c r="A41" s="16">
        <f>Rules!A41</f>
        <v>38</v>
      </c>
      <c r="B41" s="17">
        <f>Rules!B41</f>
        <v>45923</v>
      </c>
      <c r="C41" s="18">
        <f ca="1">Rules!I41</f>
        <v>2.0081484219527006</v>
      </c>
      <c r="D41" s="18">
        <f ca="1">Rules!M41</f>
        <v>3.2113807975051976</v>
      </c>
      <c r="E41" s="18">
        <f ca="1">Rules!Q41</f>
        <v>4.2097854604814202</v>
      </c>
      <c r="F41" s="18">
        <f>Rules!R41</f>
        <v>0</v>
      </c>
      <c r="G41" s="19"/>
      <c r="H41" s="19"/>
      <c r="I41" s="19"/>
    </row>
    <row r="42" spans="1:9" x14ac:dyDescent="0.25">
      <c r="A42" s="16">
        <f>Rules!A42</f>
        <v>39</v>
      </c>
      <c r="B42" s="17">
        <f>Rules!B42</f>
        <v>45924</v>
      </c>
      <c r="C42" s="18">
        <f ca="1">Rules!I42</f>
        <v>1.9229728426342463</v>
      </c>
      <c r="D42" s="18">
        <f ca="1">Rules!M42</f>
        <v>2.4199987145530639</v>
      </c>
      <c r="E42" s="18">
        <f ca="1">Rules!Q42</f>
        <v>4.1492590034668577</v>
      </c>
      <c r="F42" s="18">
        <f>Rules!R42</f>
        <v>0</v>
      </c>
      <c r="G42" s="19"/>
      <c r="H42" s="19"/>
      <c r="I42" s="19"/>
    </row>
    <row r="43" spans="1:9" x14ac:dyDescent="0.25">
      <c r="A43" s="16">
        <f>Rules!A43</f>
        <v>40</v>
      </c>
      <c r="B43" s="17">
        <f>Rules!B43</f>
        <v>45925</v>
      </c>
      <c r="C43" s="18">
        <f ca="1">Rules!I43</f>
        <v>1.8796824967706223</v>
      </c>
      <c r="D43" s="18">
        <f ca="1">Rules!M43</f>
        <v>2.090025568193536</v>
      </c>
      <c r="E43" s="18">
        <f ca="1">Rules!Q43</f>
        <v>4.1546369318821741</v>
      </c>
      <c r="F43" s="18">
        <f>Rules!R43</f>
        <v>0</v>
      </c>
      <c r="G43" s="19"/>
      <c r="H43" s="19"/>
      <c r="I43" s="19"/>
    </row>
    <row r="44" spans="1:9" x14ac:dyDescent="0.25">
      <c r="A44" s="16">
        <f>Rules!A44</f>
        <v>41</v>
      </c>
      <c r="B44" s="17">
        <f>Rules!B44</f>
        <v>45926</v>
      </c>
      <c r="C44" s="18">
        <f ca="1">Rules!I44</f>
        <v>1.8165682140145571</v>
      </c>
      <c r="D44" s="18">
        <f ca="1">Rules!M44</f>
        <v>1.4995455841809784</v>
      </c>
      <c r="E44" s="18">
        <f ca="1">Rules!Q44</f>
        <v>4.1314767078229568</v>
      </c>
      <c r="F44" s="18">
        <f>Rules!R44</f>
        <v>0</v>
      </c>
      <c r="G44" s="19"/>
      <c r="H44" s="19"/>
      <c r="I44" s="19"/>
    </row>
    <row r="45" spans="1:9" x14ac:dyDescent="0.25">
      <c r="A45" s="16">
        <f>Rules!A45</f>
        <v>42</v>
      </c>
      <c r="B45" s="17">
        <f>Rules!B45</f>
        <v>45929</v>
      </c>
      <c r="C45" s="18">
        <f ca="1">Rules!I45</f>
        <v>1.8120852336807076</v>
      </c>
      <c r="D45" s="18">
        <f ca="1">Rules!M45</f>
        <v>1.0343899715858709</v>
      </c>
      <c r="E45" s="18">
        <f ca="1">Rules!Q45</f>
        <v>4.2743898790858337</v>
      </c>
      <c r="F45" s="18">
        <f>Rules!R45</f>
        <v>0</v>
      </c>
      <c r="G45" s="19"/>
      <c r="H45" s="19"/>
      <c r="I45" s="19"/>
    </row>
    <row r="46" spans="1:9" x14ac:dyDescent="0.25">
      <c r="A46" s="16">
        <f>Rules!A46</f>
        <v>43</v>
      </c>
      <c r="B46" s="17">
        <f>Rules!B46</f>
        <v>45930</v>
      </c>
      <c r="C46" s="18">
        <f ca="1">Rules!I46</f>
        <v>1.7598854734703715</v>
      </c>
      <c r="D46" s="18">
        <f ca="1">Rules!M46</f>
        <v>0.53337206376487312</v>
      </c>
      <c r="E46" s="18">
        <f ca="1">Rules!Q46</f>
        <v>4.3161201748963975</v>
      </c>
      <c r="F46" s="18">
        <f>Rules!R46</f>
        <v>0</v>
      </c>
      <c r="G46" s="19"/>
      <c r="H46" s="19"/>
      <c r="I46" s="19"/>
    </row>
    <row r="47" spans="1:9" x14ac:dyDescent="0.25">
      <c r="A47" s="16">
        <f>Rules!A47</f>
        <v>44</v>
      </c>
      <c r="B47" s="17">
        <f>Rules!B47</f>
        <v>45931</v>
      </c>
      <c r="C47" s="18">
        <f ca="1">Rules!I47</f>
        <v>1.7097444284028382</v>
      </c>
      <c r="D47" s="18">
        <f ca="1">Rules!M47</f>
        <v>0.18570462148894529</v>
      </c>
      <c r="E47" s="18">
        <f ca="1">Rules!Q47</f>
        <v>4.3463551377606917</v>
      </c>
      <c r="F47" s="18">
        <f>Rules!R47</f>
        <v>0</v>
      </c>
      <c r="G47" s="19"/>
      <c r="H47" s="19"/>
      <c r="I47" s="19"/>
    </row>
    <row r="48" spans="1:9" x14ac:dyDescent="0.25">
      <c r="A48" s="16">
        <f>Rules!A48</f>
        <v>45</v>
      </c>
      <c r="B48" s="17">
        <f>Rules!B48</f>
        <v>45932</v>
      </c>
      <c r="C48" s="18">
        <f ca="1">Rules!I48</f>
        <v>1.6720202361212329</v>
      </c>
      <c r="D48" s="18">
        <f ca="1">Rules!M48</f>
        <v>0.23891442249674583</v>
      </c>
      <c r="E48" s="18">
        <f ca="1">Rules!Q48</f>
        <v>4.3124747382469995</v>
      </c>
      <c r="F48" s="18">
        <f>Rules!R48</f>
        <v>0</v>
      </c>
      <c r="G48" s="19"/>
      <c r="H48" s="19"/>
      <c r="I48" s="19"/>
    </row>
    <row r="49" spans="1:9" x14ac:dyDescent="0.25">
      <c r="A49" s="16">
        <f>Rules!A49</f>
        <v>46</v>
      </c>
      <c r="B49" s="17">
        <f>Rules!B49</f>
        <v>45933</v>
      </c>
      <c r="C49" s="18">
        <f ca="1">Rules!I49</f>
        <v>1.6850251610593472</v>
      </c>
      <c r="D49" s="18">
        <f ca="1">Rules!M49</f>
        <v>0.56446473708180189</v>
      </c>
      <c r="E49" s="18">
        <f ca="1">Rules!Q49</f>
        <v>4.3035760436075936</v>
      </c>
      <c r="F49" s="18">
        <f ca="1">Rules!R49</f>
        <v>2.0793089092424513</v>
      </c>
      <c r="G49" s="19">
        <f ca="1">C49*Inputs!$B$35+D49*Inputs!$B$36+E49*Inputs!$B$37+F49*Inputs!$B$38</f>
        <v>2.3805204261843125</v>
      </c>
      <c r="H49" s="19">
        <f ca="1">G49*Inputs!$B$40</f>
        <v>3.1184817583014497</v>
      </c>
      <c r="I49" s="19">
        <f ca="1">MAX(-Inputs!$B$8,MIN(Inputs!$B$8,H49))</f>
        <v>3.1184817583014497</v>
      </c>
    </row>
    <row r="50" spans="1:9" x14ac:dyDescent="0.25">
      <c r="A50" s="16">
        <f>Rules!A50</f>
        <v>47</v>
      </c>
      <c r="B50" s="17">
        <f>Rules!B50</f>
        <v>45936</v>
      </c>
      <c r="C50" s="18">
        <f ca="1">Rules!I50</f>
        <v>1.7348147931786071</v>
      </c>
      <c r="D50" s="18">
        <f ca="1">Rules!M50</f>
        <v>1.0155980757867307</v>
      </c>
      <c r="E50" s="18">
        <f ca="1">Rules!Q50</f>
        <v>4.3208873836002546</v>
      </c>
      <c r="F50" s="18">
        <f ca="1">Rules!R50</f>
        <v>4.0667193562294477</v>
      </c>
      <c r="G50" s="19">
        <f ca="1">C50*Inputs!$B$35+D50*Inputs!$B$36+E50*Inputs!$B$37+F50*Inputs!$B$38</f>
        <v>2.8099217049358405</v>
      </c>
      <c r="H50" s="19">
        <f ca="1">G50*Inputs!$B$40</f>
        <v>3.6809974334659512</v>
      </c>
      <c r="I50" s="19">
        <f ca="1">MAX(-Inputs!$B$8,MIN(Inputs!$B$8,H50))</f>
        <v>3.6809974334659512</v>
      </c>
    </row>
    <row r="51" spans="1:9" x14ac:dyDescent="0.25">
      <c r="A51" s="16">
        <f>Rules!A51</f>
        <v>48</v>
      </c>
      <c r="B51" s="17">
        <f>Rules!B51</f>
        <v>45937</v>
      </c>
      <c r="C51" s="18">
        <f ca="1">Rules!I51</f>
        <v>1.8374321391589588</v>
      </c>
      <c r="D51" s="18">
        <f ca="1">Rules!M51</f>
        <v>1.6982562280257829</v>
      </c>
      <c r="E51" s="18">
        <f ca="1">Rules!Q51</f>
        <v>4.3919228114688238</v>
      </c>
      <c r="F51" s="18">
        <f ca="1">Rules!R51</f>
        <v>7.4378646357236446</v>
      </c>
      <c r="G51" s="19">
        <f ca="1">C51*Inputs!$B$35+D51*Inputs!$B$36+E51*Inputs!$B$37+F51*Inputs!$B$38</f>
        <v>3.5367747711688207</v>
      </c>
      <c r="H51" s="19">
        <f ca="1">G51*Inputs!$B$40</f>
        <v>4.6331749502311554</v>
      </c>
      <c r="I51" s="19">
        <f ca="1">MAX(-Inputs!$B$8,MIN(Inputs!$B$8,H51))</f>
        <v>4.6331749502311554</v>
      </c>
    </row>
    <row r="52" spans="1:9" x14ac:dyDescent="0.25">
      <c r="A52" s="16">
        <f>Rules!A52</f>
        <v>49</v>
      </c>
      <c r="B52" s="17">
        <f>Rules!B52</f>
        <v>45938</v>
      </c>
      <c r="C52" s="18">
        <f ca="1">Rules!I52</f>
        <v>1.9528764410029213</v>
      </c>
      <c r="D52" s="18">
        <f ca="1">Rules!M52</f>
        <v>2.4948508992090566</v>
      </c>
      <c r="E52" s="18">
        <f ca="1">Rules!Q52</f>
        <v>4.421466630687922</v>
      </c>
      <c r="F52" s="18">
        <f ca="1">Rules!R52</f>
        <v>9.889675240695615</v>
      </c>
      <c r="G52" s="19">
        <f ca="1">C52*Inputs!$B$35+D52*Inputs!$B$36+E52*Inputs!$B$37+F52*Inputs!$B$38</f>
        <v>4.1428964418981096</v>
      </c>
      <c r="H52" s="19">
        <f ca="1">G52*Inputs!$B$40</f>
        <v>5.4271943388865234</v>
      </c>
      <c r="I52" s="19">
        <f ca="1">MAX(-Inputs!$B$8,MIN(Inputs!$B$8,H52))</f>
        <v>5.4271943388865234</v>
      </c>
    </row>
    <row r="53" spans="1:9" x14ac:dyDescent="0.25">
      <c r="A53" s="16">
        <f>Rules!A53</f>
        <v>50</v>
      </c>
      <c r="B53" s="17">
        <f>Rules!B53</f>
        <v>45939</v>
      </c>
      <c r="C53" s="18">
        <f ca="1">Rules!I53</f>
        <v>2.0454091172624205</v>
      </c>
      <c r="D53" s="18">
        <f ca="1">Rules!M53</f>
        <v>2.983463341808414</v>
      </c>
      <c r="E53" s="18">
        <f ca="1">Rules!Q53</f>
        <v>4.4170930150830525</v>
      </c>
      <c r="F53" s="18">
        <f ca="1">Rules!R53</f>
        <v>7.0045751633986901</v>
      </c>
      <c r="G53" s="19">
        <f ca="1">C53*Inputs!$B$35+D53*Inputs!$B$36+E53*Inputs!$B$37+F53*Inputs!$B$38</f>
        <v>3.8538869445565802</v>
      </c>
      <c r="H53" s="19">
        <f ca="1">G53*Inputs!$B$40</f>
        <v>5.0485918973691204</v>
      </c>
      <c r="I53" s="19">
        <f ca="1">MAX(-Inputs!$B$8,MIN(Inputs!$B$8,H53))</f>
        <v>5.0485918973691204</v>
      </c>
    </row>
    <row r="54" spans="1:9" x14ac:dyDescent="0.25">
      <c r="A54" s="16">
        <f>Rules!A54</f>
        <v>51</v>
      </c>
      <c r="B54" s="17">
        <f>Rules!B54</f>
        <v>45940</v>
      </c>
      <c r="C54" s="18">
        <f ca="1">Rules!I54</f>
        <v>2.1140912505915135</v>
      </c>
      <c r="D54" s="18">
        <f ca="1">Rules!M54</f>
        <v>3.18049755646698</v>
      </c>
      <c r="E54" s="18">
        <f ca="1">Rules!Q54</f>
        <v>4.4267104753534854</v>
      </c>
      <c r="F54" s="18">
        <f ca="1">Rules!R54</f>
        <v>3.5578835279429759</v>
      </c>
      <c r="G54" s="19">
        <f ca="1">C54*Inputs!$B$35+D54*Inputs!$B$36+E54*Inputs!$B$37+F54*Inputs!$B$38</f>
        <v>3.4066783973297894</v>
      </c>
      <c r="H54" s="19">
        <f ca="1">G54*Inputs!$B$40</f>
        <v>4.4627487005020239</v>
      </c>
      <c r="I54" s="19">
        <f ca="1">MAX(-Inputs!$B$8,MIN(Inputs!$B$8,H54))</f>
        <v>4.4627487005020239</v>
      </c>
    </row>
    <row r="55" spans="1:9" x14ac:dyDescent="0.25">
      <c r="A55" s="16">
        <f>Rules!A55</f>
        <v>52</v>
      </c>
      <c r="B55" s="17">
        <f>Rules!B55</f>
        <v>45943</v>
      </c>
      <c r="C55" s="18">
        <f ca="1">Rules!I55</f>
        <v>2.1816766918198542</v>
      </c>
      <c r="D55" s="18">
        <f ca="1">Rules!M55</f>
        <v>3.2359588110837496</v>
      </c>
      <c r="E55" s="18">
        <f ca="1">Rules!Q55</f>
        <v>4.4829491061265117</v>
      </c>
      <c r="F55" s="18">
        <f ca="1">Rules!R55</f>
        <v>1.4739223030035287</v>
      </c>
      <c r="G55" s="19">
        <f ca="1">C55*Inputs!$B$35+D55*Inputs!$B$36+E55*Inputs!$B$37+F55*Inputs!$B$38</f>
        <v>3.1445294083207092</v>
      </c>
      <c r="H55" s="19">
        <f ca="1">G55*Inputs!$B$40</f>
        <v>4.1193335249001288</v>
      </c>
      <c r="I55" s="19">
        <f ca="1">MAX(-Inputs!$B$8,MIN(Inputs!$B$8,H55))</f>
        <v>4.1193335249001288</v>
      </c>
    </row>
    <row r="56" spans="1:9" x14ac:dyDescent="0.25">
      <c r="A56" s="16">
        <f>Rules!A56</f>
        <v>53</v>
      </c>
      <c r="B56" s="17">
        <f>Rules!B56</f>
        <v>45944</v>
      </c>
      <c r="C56" s="18">
        <f ca="1">Rules!I56</f>
        <v>2.2278693359602255</v>
      </c>
      <c r="D56" s="18">
        <f ca="1">Rules!M56</f>
        <v>3.4402133254508143</v>
      </c>
      <c r="E56" s="18">
        <f ca="1">Rules!Q56</f>
        <v>4.4751483023139595</v>
      </c>
      <c r="F56" s="18">
        <f ca="1">Rules!R56</f>
        <v>4.3846001321876864</v>
      </c>
      <c r="G56" s="19">
        <f ca="1">C56*Inputs!$B$35+D56*Inputs!$B$36+E56*Inputs!$B$37+F56*Inputs!$B$38</f>
        <v>3.6410125909907984</v>
      </c>
      <c r="H56" s="19">
        <f ca="1">G56*Inputs!$B$40</f>
        <v>4.769726494197946</v>
      </c>
      <c r="I56" s="19">
        <f ca="1">MAX(-Inputs!$B$8,MIN(Inputs!$B$8,H56))</f>
        <v>4.769726494197946</v>
      </c>
    </row>
    <row r="57" spans="1:9" x14ac:dyDescent="0.25">
      <c r="A57" s="16">
        <f>Rules!A57</f>
        <v>54</v>
      </c>
      <c r="B57" s="17">
        <f>Rules!B57</f>
        <v>45945</v>
      </c>
      <c r="C57" s="18">
        <f ca="1">Rules!I57</f>
        <v>2.3550563235177964</v>
      </c>
      <c r="D57" s="18">
        <f ca="1">Rules!M57</f>
        <v>3.6891728262297159</v>
      </c>
      <c r="E57" s="18">
        <f ca="1">Rules!Q57</f>
        <v>4.6108281131015163</v>
      </c>
      <c r="F57" s="18">
        <f ca="1">Rules!R57</f>
        <v>3.6111404861568821</v>
      </c>
      <c r="G57" s="19">
        <f ca="1">C57*Inputs!$B$35+D57*Inputs!$B$36+E57*Inputs!$B$37+F57*Inputs!$B$38</f>
        <v>3.6665181999459406</v>
      </c>
      <c r="H57" s="19">
        <f ca="1">G57*Inputs!$B$40</f>
        <v>4.8031388419291821</v>
      </c>
      <c r="I57" s="19">
        <f ca="1">MAX(-Inputs!$B$8,MIN(Inputs!$B$8,H57))</f>
        <v>4.8031388419291821</v>
      </c>
    </row>
    <row r="58" spans="1:9" x14ac:dyDescent="0.25">
      <c r="A58" s="16">
        <f>Rules!A58</f>
        <v>55</v>
      </c>
      <c r="B58" s="17">
        <f>Rules!B58</f>
        <v>45946</v>
      </c>
      <c r="C58" s="18">
        <f ca="1">Rules!I58</f>
        <v>2.2438148777686244</v>
      </c>
      <c r="D58" s="18">
        <f ca="1">Rules!M58</f>
        <v>4.2184900969268222</v>
      </c>
      <c r="E58" s="18">
        <f ca="1">Rules!Q58</f>
        <v>4.1749326092058725</v>
      </c>
      <c r="F58" s="18">
        <f ca="1">Rules!R58</f>
        <v>14.93659081390477</v>
      </c>
      <c r="G58" s="19">
        <f ca="1">C58*Inputs!$B$35+D58*Inputs!$B$36+E58*Inputs!$B$37+F58*Inputs!$B$38</f>
        <v>5.3172912789816325</v>
      </c>
      <c r="H58" s="19">
        <f ca="1">G58*Inputs!$B$40</f>
        <v>6.9656515754659392</v>
      </c>
      <c r="I58" s="19">
        <f ca="1">MAX(-Inputs!$B$8,MIN(Inputs!$B$8,H58))</f>
        <v>6.9656515754659392</v>
      </c>
    </row>
    <row r="59" spans="1:9" x14ac:dyDescent="0.25">
      <c r="A59" s="16">
        <f>Rules!A59</f>
        <v>56</v>
      </c>
      <c r="B59" s="17">
        <f>Rules!B59</f>
        <v>45947</v>
      </c>
      <c r="C59" s="18">
        <f ca="1">Rules!I59</f>
        <v>2.3648278890019787</v>
      </c>
      <c r="D59" s="18">
        <f ca="1">Rules!M59</f>
        <v>4.7692463012531352</v>
      </c>
      <c r="E59" s="18">
        <f ca="1">Rules!Q59</f>
        <v>4.1404144836533767</v>
      </c>
      <c r="F59" s="18">
        <f ca="1">Rules!R59</f>
        <v>11.108432221136315</v>
      </c>
      <c r="G59" s="19">
        <f ca="1">C59*Inputs!$B$35+D59*Inputs!$B$36+E59*Inputs!$B$37+F59*Inputs!$B$38</f>
        <v>4.8989284500129076</v>
      </c>
      <c r="H59" s="19">
        <f ca="1">G59*Inputs!$B$40</f>
        <v>6.4175962695169089</v>
      </c>
      <c r="I59" s="19">
        <f ca="1">MAX(-Inputs!$B$8,MIN(Inputs!$B$8,H59))</f>
        <v>6.4175962695169089</v>
      </c>
    </row>
    <row r="60" spans="1:9" x14ac:dyDescent="0.25">
      <c r="A60" s="16">
        <f>Rules!A60</f>
        <v>57</v>
      </c>
      <c r="B60" s="17">
        <f>Rules!B60</f>
        <v>45950</v>
      </c>
      <c r="C60" s="18">
        <f ca="1">Rules!I60</f>
        <v>2.4356820133979982</v>
      </c>
      <c r="D60" s="18">
        <f ca="1">Rules!M60</f>
        <v>4.8757758921238921</v>
      </c>
      <c r="E60" s="18">
        <f ca="1">Rules!Q60</f>
        <v>4.0945574843488775</v>
      </c>
      <c r="F60" s="18">
        <f ca="1">Rules!R60</f>
        <v>5.9414002512912285</v>
      </c>
      <c r="G60" s="19">
        <f ca="1">C60*Inputs!$B$35+D60*Inputs!$B$36+E60*Inputs!$B$37+F60*Inputs!$B$38</f>
        <v>4.1521696335962641</v>
      </c>
      <c r="H60" s="19">
        <f ca="1">G60*Inputs!$B$40</f>
        <v>5.4393422200111061</v>
      </c>
      <c r="I60" s="19">
        <f ca="1">MAX(-Inputs!$B$8,MIN(Inputs!$B$8,H60))</f>
        <v>5.4393422200111061</v>
      </c>
    </row>
    <row r="61" spans="1:9" x14ac:dyDescent="0.25">
      <c r="A61" s="16">
        <f>Rules!A61</f>
        <v>58</v>
      </c>
      <c r="B61" s="17">
        <f>Rules!B61</f>
        <v>45951</v>
      </c>
      <c r="C61" s="18">
        <f ca="1">Rules!I61</f>
        <v>2.5574730724028765</v>
      </c>
      <c r="D61" s="18">
        <f ca="1">Rules!M61</f>
        <v>5.2904623414434617</v>
      </c>
      <c r="E61" s="18">
        <f ca="1">Rules!Q61</f>
        <v>4.1439443574750419</v>
      </c>
      <c r="F61" s="18">
        <f ca="1">Rules!R61</f>
        <v>9.8564847131089852</v>
      </c>
      <c r="G61" s="19">
        <f ca="1">C61*Inputs!$B$35+D61*Inputs!$B$36+E61*Inputs!$B$37+F61*Inputs!$B$38</f>
        <v>4.8908370855441969</v>
      </c>
      <c r="H61" s="19">
        <f ca="1">G61*Inputs!$B$40</f>
        <v>6.4069965820628987</v>
      </c>
      <c r="I61" s="19">
        <f ca="1">MAX(-Inputs!$B$8,MIN(Inputs!$B$8,H61))</f>
        <v>6.4069965820628987</v>
      </c>
    </row>
    <row r="62" spans="1:9" x14ac:dyDescent="0.25">
      <c r="A62" s="16">
        <f>Rules!A62</f>
        <v>59</v>
      </c>
      <c r="B62" s="17">
        <f>Rules!B62</f>
        <v>45952</v>
      </c>
      <c r="C62" s="18">
        <f ca="1">Rules!I62</f>
        <v>2.617954351675662</v>
      </c>
      <c r="D62" s="18">
        <f ca="1">Rules!M62</f>
        <v>5.8952036552645533</v>
      </c>
      <c r="E62" s="18">
        <f ca="1">Rules!Q62</f>
        <v>4.0175807114466977</v>
      </c>
      <c r="F62" s="18">
        <f ca="1">Rules!R62</f>
        <v>15.053979730564773</v>
      </c>
      <c r="G62" s="19">
        <f ca="1">C62*Inputs!$B$35+D62*Inputs!$B$36+E62*Inputs!$B$37+F62*Inputs!$B$38</f>
        <v>5.792539710326114</v>
      </c>
      <c r="H62" s="19">
        <f ca="1">G62*Inputs!$B$40</f>
        <v>7.58822702052721</v>
      </c>
      <c r="I62" s="19">
        <f ca="1">MAX(-Inputs!$B$8,MIN(Inputs!$B$8,H62))</f>
        <v>7.58822702052721</v>
      </c>
    </row>
    <row r="63" spans="1:9" x14ac:dyDescent="0.25">
      <c r="A63" s="16">
        <f>Rules!A63</f>
        <v>60</v>
      </c>
      <c r="B63" s="17">
        <f>Rules!B63</f>
        <v>45953</v>
      </c>
      <c r="C63" s="18">
        <f ca="1">Rules!I63</f>
        <v>2.7950692216530415</v>
      </c>
      <c r="D63" s="18">
        <f ca="1">Rules!M63</f>
        <v>6.7685329936873506</v>
      </c>
      <c r="E63" s="18">
        <f ca="1">Rules!Q63</f>
        <v>4.0094929281524658</v>
      </c>
      <c r="F63" s="18">
        <f ca="1">Rules!R63</f>
        <v>15.820866141732209</v>
      </c>
      <c r="G63" s="19">
        <f ca="1">C63*Inputs!$B$35+D63*Inputs!$B$36+E63*Inputs!$B$37+F63*Inputs!$B$38</f>
        <v>6.1673529999482923</v>
      </c>
      <c r="H63" s="19">
        <f ca="1">G63*Inputs!$B$40</f>
        <v>8.0792324299322633</v>
      </c>
      <c r="I63" s="19">
        <f ca="1">MAX(-Inputs!$B$8,MIN(Inputs!$B$8,H63))</f>
        <v>8.0792324299322633</v>
      </c>
    </row>
    <row r="64" spans="1:9" x14ac:dyDescent="0.25">
      <c r="A64" s="16">
        <f>Rules!A64</f>
        <v>61</v>
      </c>
      <c r="B64" s="17">
        <f>Rules!B64</f>
        <v>45954</v>
      </c>
      <c r="C64" s="18">
        <f ca="1">Rules!I64</f>
        <v>2.995053219085043</v>
      </c>
      <c r="D64" s="18">
        <f ca="1">Rules!M64</f>
        <v>7.7821029395122912</v>
      </c>
      <c r="E64" s="18">
        <f ca="1">Rules!Q64</f>
        <v>3.997481077772433</v>
      </c>
      <c r="F64" s="18">
        <f ca="1">Rules!R64</f>
        <v>16.86724316845369</v>
      </c>
      <c r="G64" s="19">
        <f ca="1">C64*Inputs!$B$35+D64*Inputs!$B$36+E64*Inputs!$B$37+F64*Inputs!$B$38</f>
        <v>6.6234938921377378</v>
      </c>
      <c r="H64" s="19">
        <f ca="1">G64*Inputs!$B$40</f>
        <v>8.6767769987004364</v>
      </c>
      <c r="I64" s="19">
        <f ca="1">MAX(-Inputs!$B$8,MIN(Inputs!$B$8,H64))</f>
        <v>8.6767769987004364</v>
      </c>
    </row>
    <row r="65" spans="1:9" x14ac:dyDescent="0.25">
      <c r="A65" s="16">
        <f>Rules!A65</f>
        <v>62</v>
      </c>
      <c r="B65" s="17">
        <f>Rules!B65</f>
        <v>45957</v>
      </c>
      <c r="C65" s="18">
        <f ca="1">Rules!I65</f>
        <v>3.1720782496540458</v>
      </c>
      <c r="D65" s="18">
        <f ca="1">Rules!M65</f>
        <v>8.8626516978473298</v>
      </c>
      <c r="E65" s="18">
        <f ca="1">Rules!Q65</f>
        <v>3.9105663320022441</v>
      </c>
      <c r="F65" s="18">
        <f ca="1">Rules!R65</f>
        <v>18.081740412979322</v>
      </c>
      <c r="G65" s="19">
        <f ca="1">C65*Inputs!$B$35+D65*Inputs!$B$36+E65*Inputs!$B$37+F65*Inputs!$B$38</f>
        <v>7.0896417650230275</v>
      </c>
      <c r="H65" s="19">
        <f ca="1">G65*Inputs!$B$40</f>
        <v>9.287430712180166</v>
      </c>
      <c r="I65" s="19">
        <f ca="1">MAX(-Inputs!$B$8,MIN(Inputs!$B$8,H65))</f>
        <v>9.287430712180166</v>
      </c>
    </row>
    <row r="66" spans="1:9" x14ac:dyDescent="0.25">
      <c r="A66" s="16">
        <f>Rules!A66</f>
        <v>63</v>
      </c>
      <c r="B66" s="17">
        <f>Rules!B66</f>
        <v>45958</v>
      </c>
      <c r="C66" s="18">
        <f ca="1">Rules!I66</f>
        <v>3.4343517051871451</v>
      </c>
      <c r="D66" s="18">
        <f ca="1">Rules!M66</f>
        <v>9.9349635085852732</v>
      </c>
      <c r="E66" s="18">
        <f ca="1">Rules!Q66</f>
        <v>3.8994226266148129</v>
      </c>
      <c r="F66" s="18">
        <f ca="1">Rules!R66</f>
        <v>17.033982300884869</v>
      </c>
      <c r="G66" s="19">
        <f ca="1">C66*Inputs!$B$35+D66*Inputs!$B$36+E66*Inputs!$B$37+F66*Inputs!$B$38</f>
        <v>7.2622240678910197</v>
      </c>
      <c r="H66" s="19">
        <f ca="1">G66*Inputs!$B$40</f>
        <v>9.5135135289372368</v>
      </c>
      <c r="I66" s="19">
        <f ca="1">MAX(-Inputs!$B$8,MIN(Inputs!$B$8,H66))</f>
        <v>9.5135135289372368</v>
      </c>
    </row>
    <row r="67" spans="1:9" x14ac:dyDescent="0.25">
      <c r="A67" s="16">
        <f>Rules!A67</f>
        <v>64</v>
      </c>
      <c r="B67" s="17">
        <f>Rules!B67</f>
        <v>45959</v>
      </c>
      <c r="C67" s="18">
        <f ca="1">Rules!I67</f>
        <v>3.5415007173927076</v>
      </c>
      <c r="D67" s="18">
        <f ca="1">Rules!M67</f>
        <v>10.086063976942871</v>
      </c>
      <c r="E67" s="18">
        <f ca="1">Rules!Q67</f>
        <v>3.752067088206033</v>
      </c>
      <c r="F67" s="18">
        <f ca="1">Rules!R67</f>
        <v>11.97188790560465</v>
      </c>
      <c r="G67" s="19">
        <f ca="1">C67*Inputs!$B$35+D67*Inputs!$B$36+E67*Inputs!$B$37+F67*Inputs!$B$38</f>
        <v>6.515897840296704</v>
      </c>
      <c r="H67" s="19">
        <f ca="1">G67*Inputs!$B$40</f>
        <v>8.5358261707886829</v>
      </c>
      <c r="I67" s="19">
        <f ca="1">MAX(-Inputs!$B$8,MIN(Inputs!$B$8,H67))</f>
        <v>8.5358261707886829</v>
      </c>
    </row>
    <row r="68" spans="1:9" x14ac:dyDescent="0.25">
      <c r="A68" s="16">
        <f>Rules!A68</f>
        <v>65</v>
      </c>
      <c r="B68" s="17">
        <f>Rules!B68</f>
        <v>45960</v>
      </c>
      <c r="C68" s="18">
        <f ca="1">Rules!I68</f>
        <v>3.7093104123671394</v>
      </c>
      <c r="D68" s="18">
        <f ca="1">Rules!M68</f>
        <v>10.218877800250899</v>
      </c>
      <c r="E68" s="18">
        <f ca="1">Rules!Q68</f>
        <v>3.7412701159423478</v>
      </c>
      <c r="F68" s="18">
        <f ca="1">Rules!R68</f>
        <v>9.7887610619468397</v>
      </c>
      <c r="G68" s="19">
        <f ca="1">C68*Inputs!$B$35+D68*Inputs!$B$36+E68*Inputs!$B$37+F68*Inputs!$B$38</f>
        <v>6.2598057530263578</v>
      </c>
      <c r="H68" s="19">
        <f ca="1">G68*Inputs!$B$40</f>
        <v>8.2003455364645284</v>
      </c>
      <c r="I68" s="19">
        <f ca="1">MAX(-Inputs!$B$8,MIN(Inputs!$B$8,H68))</f>
        <v>8.2003455364645284</v>
      </c>
    </row>
    <row r="69" spans="1:9" x14ac:dyDescent="0.25">
      <c r="A69" s="16">
        <f>Rules!A69</f>
        <v>66</v>
      </c>
      <c r="B69" s="17">
        <f>Rules!B69</f>
        <v>45961</v>
      </c>
      <c r="C69" s="18">
        <f ca="1">Rules!I69</f>
        <v>3.8665183794005595</v>
      </c>
      <c r="D69" s="18">
        <f ca="1">Rules!M69</f>
        <v>10.479574742635245</v>
      </c>
      <c r="E69" s="18">
        <f ca="1">Rules!Q69</f>
        <v>3.7398956570241273</v>
      </c>
      <c r="F69" s="18">
        <f ca="1">Rules!R69</f>
        <v>12.127256637168118</v>
      </c>
      <c r="G69" s="19">
        <f ca="1">C69*Inputs!$B$35+D69*Inputs!$B$36+E69*Inputs!$B$37+F69*Inputs!$B$38</f>
        <v>6.7145752560426128</v>
      </c>
      <c r="H69" s="19">
        <f ca="1">G69*Inputs!$B$40</f>
        <v>8.7960935854158233</v>
      </c>
      <c r="I69" s="19">
        <f ca="1">MAX(-Inputs!$B$8,MIN(Inputs!$B$8,H69))</f>
        <v>8.7960935854158233</v>
      </c>
    </row>
    <row r="70" spans="1:9" x14ac:dyDescent="0.25">
      <c r="A70" s="16">
        <f>Rules!A70</f>
        <v>67</v>
      </c>
      <c r="B70" s="17">
        <f>Rules!B70</f>
        <v>45964</v>
      </c>
      <c r="C70" s="18">
        <f ca="1">Rules!I70</f>
        <v>3.9122234402217302</v>
      </c>
      <c r="D70" s="18">
        <f ca="1">Rules!M70</f>
        <v>10.056053885136063</v>
      </c>
      <c r="E70" s="18">
        <f ca="1">Rules!Q70</f>
        <v>3.6148527932349221</v>
      </c>
      <c r="F70" s="18">
        <f ca="1">Rules!R70</f>
        <v>7.2648672566371753</v>
      </c>
      <c r="G70" s="19">
        <f ca="1">C70*Inputs!$B$35+D70*Inputs!$B$36+E70*Inputs!$B$37+F70*Inputs!$B$38</f>
        <v>5.8469978974672472</v>
      </c>
      <c r="H70" s="19">
        <f ca="1">G70*Inputs!$B$40</f>
        <v>7.6595672456820942</v>
      </c>
      <c r="I70" s="19">
        <f ca="1">MAX(-Inputs!$B$8,MIN(Inputs!$B$8,H70))</f>
        <v>7.6595672456820942</v>
      </c>
    </row>
    <row r="71" spans="1:9" x14ac:dyDescent="0.25">
      <c r="A71" s="16">
        <f>Rules!A71</f>
        <v>68</v>
      </c>
      <c r="B71" s="17">
        <f>Rules!B71</f>
        <v>45965</v>
      </c>
      <c r="C71" s="18">
        <f ca="1">Rules!I71</f>
        <v>4.0940797210785291</v>
      </c>
      <c r="D71" s="18">
        <f ca="1">Rules!M71</f>
        <v>9.9844484423794508</v>
      </c>
      <c r="E71" s="18">
        <f ca="1">Rules!Q71</f>
        <v>3.6741231646309016</v>
      </c>
      <c r="F71" s="18">
        <f ca="1">Rules!R71</f>
        <v>6.9627433628319144</v>
      </c>
      <c r="G71" s="19">
        <f ca="1">C71*Inputs!$B$35+D71*Inputs!$B$36+E71*Inputs!$B$37+F71*Inputs!$B$38</f>
        <v>5.849986652910097</v>
      </c>
      <c r="H71" s="19">
        <f ca="1">G71*Inputs!$B$40</f>
        <v>7.6634825153122277</v>
      </c>
      <c r="I71" s="19">
        <f ca="1">MAX(-Inputs!$B$8,MIN(Inputs!$B$8,H71))</f>
        <v>7.6634825153122277</v>
      </c>
    </row>
    <row r="72" spans="1:9" x14ac:dyDescent="0.25">
      <c r="A72" s="16">
        <f>Rules!A72</f>
        <v>69</v>
      </c>
      <c r="B72" s="17">
        <f>Rules!B72</f>
        <v>45966</v>
      </c>
      <c r="C72" s="18">
        <f ca="1">Rules!I72</f>
        <v>4.5289072126233156</v>
      </c>
      <c r="D72" s="18">
        <f ca="1">Rules!M72</f>
        <v>10.53814100317387</v>
      </c>
      <c r="E72" s="18">
        <f ca="1">Rules!Q72</f>
        <v>3.9530023617379153</v>
      </c>
      <c r="F72" s="18">
        <f ca="1">Rules!R72</f>
        <v>7.3366371681416807</v>
      </c>
      <c r="G72" s="19">
        <f ca="1">C72*Inputs!$B$35+D72*Inputs!$B$36+E72*Inputs!$B$37+F72*Inputs!$B$38</f>
        <v>6.2508084557788184</v>
      </c>
      <c r="H72" s="19">
        <f ca="1">G72*Inputs!$B$40</f>
        <v>8.1885590770702521</v>
      </c>
      <c r="I72" s="19">
        <f ca="1">MAX(-Inputs!$B$8,MIN(Inputs!$B$8,H72))</f>
        <v>8.1885590770702521</v>
      </c>
    </row>
    <row r="73" spans="1:9" x14ac:dyDescent="0.25">
      <c r="A73" s="16">
        <f>Rules!A73</f>
        <v>70</v>
      </c>
      <c r="B73" s="17">
        <f>Rules!B73</f>
        <v>45967</v>
      </c>
      <c r="C73" s="18">
        <f ca="1">Rules!I73</f>
        <v>4.6346053875124635</v>
      </c>
      <c r="D73" s="18">
        <f ca="1">Rules!M73</f>
        <v>10.196657742170817</v>
      </c>
      <c r="E73" s="18">
        <f ca="1">Rules!Q73</f>
        <v>3.9323810531669516</v>
      </c>
      <c r="F73" s="18">
        <f ca="1">Rules!R73</f>
        <v>6.0925958702065577</v>
      </c>
      <c r="G73" s="19">
        <f ca="1">C73*Inputs!$B$35+D73*Inputs!$B$36+E73*Inputs!$B$37+F73*Inputs!$B$38</f>
        <v>5.9980385315602369</v>
      </c>
      <c r="H73" s="19">
        <f ca="1">G73*Inputs!$B$40</f>
        <v>7.8574304763439109</v>
      </c>
      <c r="I73" s="19">
        <f ca="1">MAX(-Inputs!$B$8,MIN(Inputs!$B$8,H73))</f>
        <v>7.8574304763439109</v>
      </c>
    </row>
    <row r="74" spans="1:9" x14ac:dyDescent="0.25">
      <c r="A74" s="16">
        <f>Rules!A74</f>
        <v>71</v>
      </c>
      <c r="B74" s="17">
        <f>Rules!B74</f>
        <v>45968</v>
      </c>
      <c r="C74" s="18">
        <f ca="1">Rules!I74</f>
        <v>4.756802939940151</v>
      </c>
      <c r="D74" s="18">
        <f ca="1">Rules!M74</f>
        <v>10.084023519118931</v>
      </c>
      <c r="E74" s="18">
        <f ca="1">Rules!Q74</f>
        <v>3.9410743589054813</v>
      </c>
      <c r="F74" s="18">
        <f ca="1">Rules!R74</f>
        <v>7.8529793510325065</v>
      </c>
      <c r="G74" s="19">
        <f ca="1">C74*Inputs!$B$35+D74*Inputs!$B$36+E74*Inputs!$B$37+F74*Inputs!$B$38</f>
        <v>6.2675295430365647</v>
      </c>
      <c r="H74" s="19">
        <f ca="1">G74*Inputs!$B$40</f>
        <v>8.2104637013779005</v>
      </c>
      <c r="I74" s="19">
        <f ca="1">MAX(-Inputs!$B$8,MIN(Inputs!$B$8,H74))</f>
        <v>8.2104637013779005</v>
      </c>
    </row>
    <row r="75" spans="1:9" x14ac:dyDescent="0.25">
      <c r="A75" s="16">
        <f>Rules!A75</f>
        <v>72</v>
      </c>
      <c r="B75" s="17">
        <f>Rules!B75</f>
        <v>45971</v>
      </c>
      <c r="C75" s="18">
        <f ca="1">Rules!I75</f>
        <v>4.8972027775612821</v>
      </c>
      <c r="D75" s="18">
        <f ca="1">Rules!M75</f>
        <v>10.137114934901458</v>
      </c>
      <c r="E75" s="18">
        <f ca="1">Rules!Q75</f>
        <v>3.940741248076896</v>
      </c>
      <c r="F75" s="18">
        <f ca="1">Rules!R75</f>
        <v>9.2062831858408298</v>
      </c>
      <c r="G75" s="19">
        <f ca="1">C75*Inputs!$B$35+D75*Inputs!$B$36+E75*Inputs!$B$37+F75*Inputs!$B$38</f>
        <v>6.5187813428187233</v>
      </c>
      <c r="H75" s="19">
        <f ca="1">G75*Inputs!$B$40</f>
        <v>8.5396035590925283</v>
      </c>
      <c r="I75" s="19">
        <f ca="1">MAX(-Inputs!$B$8,MIN(Inputs!$B$8,H75))</f>
        <v>8.5396035590925283</v>
      </c>
    </row>
    <row r="76" spans="1:9" x14ac:dyDescent="0.25">
      <c r="A76" s="16">
        <f>Rules!A76</f>
        <v>73</v>
      </c>
      <c r="B76" s="17">
        <f>Rules!B76</f>
        <v>45972</v>
      </c>
      <c r="C76" s="18">
        <f ca="1">Rules!I76</f>
        <v>4.7305879411964344</v>
      </c>
      <c r="D76" s="18">
        <f ca="1">Rules!M76</f>
        <v>10.106294544420026</v>
      </c>
      <c r="E76" s="18">
        <f ca="1">Rules!Q76</f>
        <v>3.6855941469823548</v>
      </c>
      <c r="F76" s="18">
        <f ca="1">Rules!R76</f>
        <v>15.378892863084509</v>
      </c>
      <c r="G76" s="19">
        <f ca="1">C76*Inputs!$B$35+D76*Inputs!$B$36+E76*Inputs!$B$37+F76*Inputs!$B$38</f>
        <v>7.3060125023106153</v>
      </c>
      <c r="H76" s="19">
        <f ca="1">G76*Inputs!$B$40</f>
        <v>9.5708763780269059</v>
      </c>
      <c r="I76" s="19">
        <f ca="1">MAX(-Inputs!$B$8,MIN(Inputs!$B$8,H76))</f>
        <v>9.5708763780269059</v>
      </c>
    </row>
    <row r="77" spans="1:9" x14ac:dyDescent="0.25">
      <c r="A77" s="16">
        <f>Rules!A77</f>
        <v>74</v>
      </c>
      <c r="B77" s="17">
        <f>Rules!B77</f>
        <v>45973</v>
      </c>
      <c r="C77" s="18">
        <f ca="1">Rules!I77</f>
        <v>5.0406527533039345</v>
      </c>
      <c r="D77" s="18">
        <f ca="1">Rules!M77</f>
        <v>11.085262138138027</v>
      </c>
      <c r="E77" s="18">
        <f ca="1">Rules!Q77</f>
        <v>3.7327097375282854</v>
      </c>
      <c r="F77" s="18">
        <f ca="1">Rules!R77</f>
        <v>15.468856514568591</v>
      </c>
      <c r="G77" s="19">
        <f ca="1">C77*Inputs!$B$35+D77*Inputs!$B$36+E77*Inputs!$B$37+F77*Inputs!$B$38</f>
        <v>7.6582556081806787</v>
      </c>
      <c r="H77" s="19">
        <f ca="1">G77*Inputs!$B$40</f>
        <v>10.032314846716689</v>
      </c>
      <c r="I77" s="19">
        <f ca="1">MAX(-Inputs!$B$8,MIN(Inputs!$B$8,H77))</f>
        <v>10.032314846716689</v>
      </c>
    </row>
    <row r="78" spans="1:9" x14ac:dyDescent="0.25">
      <c r="A78" s="16">
        <f>Rules!A78</f>
        <v>75</v>
      </c>
      <c r="B78" s="17">
        <f>Rules!B78</f>
        <v>45974</v>
      </c>
      <c r="C78" s="18">
        <f ca="1">Rules!I78</f>
        <v>5.2402023412948644</v>
      </c>
      <c r="D78" s="18">
        <f ca="1">Rules!M78</f>
        <v>11.516094391206144</v>
      </c>
      <c r="E78" s="18">
        <f ca="1">Rules!Q78</f>
        <v>3.6789651840194346</v>
      </c>
      <c r="F78" s="18">
        <f ca="1">Rules!R78</f>
        <v>12.865200659703291</v>
      </c>
      <c r="G78" s="19">
        <f ca="1">C78*Inputs!$B$35+D78*Inputs!$B$36+E78*Inputs!$B$37+F78*Inputs!$B$38</f>
        <v>7.4064920964875469</v>
      </c>
      <c r="H78" s="19">
        <f ca="1">G78*Inputs!$B$40</f>
        <v>9.7025046463986868</v>
      </c>
      <c r="I78" s="19">
        <f ca="1">MAX(-Inputs!$B$8,MIN(Inputs!$B$8,H78))</f>
        <v>9.7025046463986868</v>
      </c>
    </row>
    <row r="79" spans="1:9" x14ac:dyDescent="0.25">
      <c r="A79" s="16">
        <f>Rules!A79</f>
        <v>76</v>
      </c>
      <c r="B79" s="17">
        <f>Rules!B79</f>
        <v>45975</v>
      </c>
      <c r="C79" s="18">
        <f ca="1">Rules!I79</f>
        <v>5.4572680279665668</v>
      </c>
      <c r="D79" s="18">
        <f ca="1">Rules!M79</f>
        <v>11.737945066505098</v>
      </c>
      <c r="E79" s="18">
        <f ca="1">Rules!Q79</f>
        <v>3.6633666485997716</v>
      </c>
      <c r="F79" s="18">
        <f ca="1">Rules!R79</f>
        <v>11.033145973853113</v>
      </c>
      <c r="G79" s="19">
        <f ca="1">C79*Inputs!$B$35+D79*Inputs!$B$36+E79*Inputs!$B$37+F79*Inputs!$B$38</f>
        <v>7.2359534967058039</v>
      </c>
      <c r="H79" s="19">
        <f ca="1">G79*Inputs!$B$40</f>
        <v>9.4790990806846036</v>
      </c>
      <c r="I79" s="19">
        <f ca="1">MAX(-Inputs!$B$8,MIN(Inputs!$B$8,H79))</f>
        <v>9.4790990806846036</v>
      </c>
    </row>
    <row r="80" spans="1:9" x14ac:dyDescent="0.25">
      <c r="A80" s="16">
        <f>Rules!A80</f>
        <v>77</v>
      </c>
      <c r="B80" s="17">
        <f>Rules!B80</f>
        <v>45978</v>
      </c>
      <c r="C80" s="18">
        <f ca="1">Rules!I80</f>
        <v>5.5195248722085992</v>
      </c>
      <c r="D80" s="18">
        <f ca="1">Rules!M80</f>
        <v>11.354488629578249</v>
      </c>
      <c r="E80" s="18">
        <f ca="1">Rules!Q80</f>
        <v>3.5663614530857961</v>
      </c>
      <c r="F80" s="18">
        <f ca="1">Rules!R80</f>
        <v>7.7564243484055275</v>
      </c>
      <c r="G80" s="19">
        <f ca="1">C80*Inputs!$B$35+D80*Inputs!$B$36+E80*Inputs!$B$37+F80*Inputs!$B$38</f>
        <v>6.6301935362875692</v>
      </c>
      <c r="H80" s="19">
        <f ca="1">G80*Inputs!$B$40</f>
        <v>8.6855535325367157</v>
      </c>
      <c r="I80" s="19">
        <f ca="1">MAX(-Inputs!$B$8,MIN(Inputs!$B$8,H80))</f>
        <v>8.6855535325367157</v>
      </c>
    </row>
    <row r="81" spans="1:9" x14ac:dyDescent="0.25">
      <c r="A81" s="16">
        <f>Rules!A81</f>
        <v>78</v>
      </c>
      <c r="B81" s="17">
        <f>Rules!B81</f>
        <v>45979</v>
      </c>
      <c r="C81" s="18">
        <f ca="1">Rules!I81</f>
        <v>5.5897386549837336</v>
      </c>
      <c r="D81" s="18">
        <f ca="1">Rules!M81</f>
        <v>11.232341575180882</v>
      </c>
      <c r="E81" s="18">
        <f ca="1">Rules!Q81</f>
        <v>3.5165438389231038</v>
      </c>
      <c r="F81" s="18">
        <f ca="1">Rules!R81</f>
        <v>9.8772337413608131</v>
      </c>
      <c r="G81" s="19">
        <f ca="1">C81*Inputs!$B$35+D81*Inputs!$B$36+E81*Inputs!$B$37+F81*Inputs!$B$38</f>
        <v>6.9178954623683619</v>
      </c>
      <c r="H81" s="19">
        <f ca="1">G81*Inputs!$B$40</f>
        <v>9.0624430557025537</v>
      </c>
      <c r="I81" s="19">
        <f ca="1">MAX(-Inputs!$B$8,MIN(Inputs!$B$8,H81))</f>
        <v>9.0624430557025537</v>
      </c>
    </row>
    <row r="82" spans="1:9" x14ac:dyDescent="0.25">
      <c r="A82" s="16">
        <f>Rules!A82</f>
        <v>79</v>
      </c>
      <c r="B82" s="17">
        <f>Rules!B82</f>
        <v>45980</v>
      </c>
      <c r="C82" s="18">
        <f ca="1">Rules!I82</f>
        <v>5.6749500879477957</v>
      </c>
      <c r="D82" s="18">
        <f ca="1">Rules!M82</f>
        <v>10.94777238402451</v>
      </c>
      <c r="E82" s="18">
        <f ca="1">Rules!Q82</f>
        <v>3.4464263233849044</v>
      </c>
      <c r="F82" s="18">
        <f ca="1">Rules!R82</f>
        <v>7.3678949121493815</v>
      </c>
      <c r="G82" s="19">
        <f ca="1">C82*Inputs!$B$35+D82*Inputs!$B$36+E82*Inputs!$B$37+F82*Inputs!$B$38</f>
        <v>6.4671140680002006</v>
      </c>
      <c r="H82" s="19">
        <f ca="1">G82*Inputs!$B$40</f>
        <v>8.4719194290802626</v>
      </c>
      <c r="I82" s="19">
        <f ca="1">MAX(-Inputs!$B$8,MIN(Inputs!$B$8,H82))</f>
        <v>8.4719194290802626</v>
      </c>
    </row>
    <row r="83" spans="1:9" x14ac:dyDescent="0.25">
      <c r="A83" s="16">
        <f>Rules!A83</f>
        <v>80</v>
      </c>
      <c r="B83" s="17">
        <f>Rules!B83</f>
        <v>45981</v>
      </c>
      <c r="C83" s="18">
        <f ca="1">Rules!I83</f>
        <v>5.8064941318521708</v>
      </c>
      <c r="D83" s="18">
        <f ca="1">Rules!M83</f>
        <v>10.718439266872595</v>
      </c>
      <c r="E83" s="18">
        <f ca="1">Rules!Q83</f>
        <v>3.4280593366136989</v>
      </c>
      <c r="F83" s="18">
        <f ca="1">Rules!R83</f>
        <v>6.4521941876927276</v>
      </c>
      <c r="G83" s="19">
        <f ca="1">C83*Inputs!$B$35+D83*Inputs!$B$36+E83*Inputs!$B$37+F83*Inputs!$B$38</f>
        <v>6.2988832456498951</v>
      </c>
      <c r="H83" s="19">
        <f ca="1">G83*Inputs!$B$40</f>
        <v>8.2515370518013622</v>
      </c>
      <c r="I83" s="19">
        <f ca="1">MAX(-Inputs!$B$8,MIN(Inputs!$B$8,H83))</f>
        <v>8.2515370518013622</v>
      </c>
    </row>
    <row r="84" spans="1:9" x14ac:dyDescent="0.25">
      <c r="A84" s="16">
        <f>Rules!A84</f>
        <v>81</v>
      </c>
      <c r="B84" s="17">
        <f>Rules!B84</f>
        <v>45982</v>
      </c>
      <c r="C84" s="18">
        <f ca="1">Rules!I84</f>
        <v>5.8910771321130397</v>
      </c>
      <c r="D84" s="18">
        <f ca="1">Rules!M84</f>
        <v>10.594239257739867</v>
      </c>
      <c r="E84" s="18">
        <f ca="1">Rules!Q84</f>
        <v>3.3932286790693129</v>
      </c>
      <c r="F84" s="18">
        <f ca="1">Rules!R84</f>
        <v>7.8995545007911865</v>
      </c>
      <c r="G84" s="19">
        <f ca="1">C84*Inputs!$B$35+D84*Inputs!$B$36+E84*Inputs!$B$37+F84*Inputs!$B$38</f>
        <v>6.4938923102561636</v>
      </c>
      <c r="H84" s="19">
        <f ca="1">G84*Inputs!$B$40</f>
        <v>8.5069989264355748</v>
      </c>
      <c r="I84" s="19">
        <f ca="1">MAX(-Inputs!$B$8,MIN(Inputs!$B$8,H84))</f>
        <v>8.5069989264355748</v>
      </c>
    </row>
    <row r="85" spans="1:9" x14ac:dyDescent="0.25">
      <c r="A85" s="16">
        <f>Rules!A85</f>
        <v>82</v>
      </c>
      <c r="B85" s="17">
        <f>Rules!B85</f>
        <v>45985</v>
      </c>
      <c r="C85" s="18">
        <f ca="1">Rules!I85</f>
        <v>5.9480233369616853</v>
      </c>
      <c r="D85" s="18">
        <f ca="1">Rules!M85</f>
        <v>10.188964160296802</v>
      </c>
      <c r="E85" s="18">
        <f ca="1">Rules!Q85</f>
        <v>3.317604096651658</v>
      </c>
      <c r="F85" s="18">
        <f ca="1">Rules!R85</f>
        <v>4.9465442584729198</v>
      </c>
      <c r="G85" s="19">
        <f ca="1">C85*Inputs!$B$35+D85*Inputs!$B$36+E85*Inputs!$B$37+F85*Inputs!$B$38</f>
        <v>5.9373899469136404</v>
      </c>
      <c r="H85" s="19">
        <f ca="1">G85*Inputs!$B$40</f>
        <v>7.7779808304568689</v>
      </c>
      <c r="I85" s="19">
        <f ca="1">MAX(-Inputs!$B$8,MIN(Inputs!$B$8,H85))</f>
        <v>7.7779808304568689</v>
      </c>
    </row>
    <row r="86" spans="1:9" x14ac:dyDescent="0.25">
      <c r="A86" s="16">
        <f>Rules!A86</f>
        <v>83</v>
      </c>
      <c r="B86" s="17">
        <f>Rules!B86</f>
        <v>45986</v>
      </c>
      <c r="C86" s="18">
        <f ca="1">Rules!I86</f>
        <v>6.0358517314340014</v>
      </c>
      <c r="D86" s="18">
        <f ca="1">Rules!M86</f>
        <v>9.7583593014549947</v>
      </c>
      <c r="E86" s="18">
        <f ca="1">Rules!Q86</f>
        <v>3.2852757195179509</v>
      </c>
      <c r="F86" s="18">
        <f ca="1">Rules!R86</f>
        <v>3.4057434016971766</v>
      </c>
      <c r="G86" s="19">
        <f ca="1">C86*Inputs!$B$35+D86*Inputs!$B$36+E86*Inputs!$B$37+F86*Inputs!$B$38</f>
        <v>5.6092607703081079</v>
      </c>
      <c r="H86" s="19">
        <f ca="1">G86*Inputs!$B$40</f>
        <v>7.3481316091036213</v>
      </c>
      <c r="I86" s="19">
        <f ca="1">MAX(-Inputs!$B$8,MIN(Inputs!$B$8,H86))</f>
        <v>7.3481316091036213</v>
      </c>
    </row>
    <row r="87" spans="1:9" x14ac:dyDescent="0.25">
      <c r="A87" s="16">
        <f>Rules!A87</f>
        <v>84</v>
      </c>
      <c r="B87" s="17">
        <f>Rules!B87</f>
        <v>45987</v>
      </c>
      <c r="C87" s="18">
        <f ca="1">Rules!I87</f>
        <v>5.8221885071860058</v>
      </c>
      <c r="D87" s="18">
        <f ca="1">Rules!M87</f>
        <v>8.3786086923782932</v>
      </c>
      <c r="E87" s="18">
        <f ca="1">Rules!Q87</f>
        <v>3.0905973420766619</v>
      </c>
      <c r="F87" s="18">
        <f ca="1">Rules!R87</f>
        <v>-3.1514040303930111</v>
      </c>
      <c r="G87" s="19">
        <f ca="1">C87*Inputs!$B$35+D87*Inputs!$B$36+E87*Inputs!$B$37+F87*Inputs!$B$38</f>
        <v>4.1591977650589547</v>
      </c>
      <c r="H87" s="19">
        <f ca="1">G87*Inputs!$B$40</f>
        <v>5.4485490722272312</v>
      </c>
      <c r="I87" s="19">
        <f ca="1">MAX(-Inputs!$B$8,MIN(Inputs!$B$8,H87))</f>
        <v>5.4485490722272312</v>
      </c>
    </row>
    <row r="88" spans="1:9" x14ac:dyDescent="0.25">
      <c r="A88" s="16">
        <f>Rules!A88</f>
        <v>85</v>
      </c>
      <c r="B88" s="17">
        <f>Rules!B88</f>
        <v>45988</v>
      </c>
      <c r="C88" s="18">
        <f ca="1">Rules!I88</f>
        <v>5.7188822755849698</v>
      </c>
      <c r="D88" s="18">
        <f ca="1">Rules!M88</f>
        <v>7.0039935783670204</v>
      </c>
      <c r="E88" s="18">
        <f ca="1">Rules!Q88</f>
        <v>3.0096001650647386</v>
      </c>
      <c r="F88" s="18">
        <f ca="1">Rules!R88</f>
        <v>-7.9319460241960096</v>
      </c>
      <c r="G88" s="19">
        <f ca="1">C88*Inputs!$B$35+D88*Inputs!$B$36+E88*Inputs!$B$37+F88*Inputs!$B$38</f>
        <v>3.0442871176312547</v>
      </c>
      <c r="H88" s="19">
        <f ca="1">G88*Inputs!$B$40</f>
        <v>3.9880161240969438</v>
      </c>
      <c r="I88" s="19">
        <f ca="1">MAX(-Inputs!$B$8,MIN(Inputs!$B$8,H88))</f>
        <v>3.9880161240969438</v>
      </c>
    </row>
    <row r="89" spans="1:9" x14ac:dyDescent="0.25">
      <c r="A89" s="16">
        <f>Rules!A89</f>
        <v>86</v>
      </c>
      <c r="B89" s="17">
        <f>Rules!B89</f>
        <v>45989</v>
      </c>
      <c r="C89" s="18">
        <f ca="1">Rules!I89</f>
        <v>5.6342369795944478</v>
      </c>
      <c r="D89" s="18">
        <f ca="1">Rules!M89</f>
        <v>5.6357974918174376</v>
      </c>
      <c r="E89" s="18">
        <f ca="1">Rules!Q89</f>
        <v>2.9686953322369392</v>
      </c>
      <c r="F89" s="18">
        <f ca="1">Rules!R89</f>
        <v>-10.894023125780329</v>
      </c>
      <c r="G89" s="19">
        <f ca="1">C89*Inputs!$B$35+D89*Inputs!$B$36+E89*Inputs!$B$37+F89*Inputs!$B$38</f>
        <v>2.2224485152688511</v>
      </c>
      <c r="H89" s="19">
        <f ca="1">G89*Inputs!$B$40</f>
        <v>2.9114075550021949</v>
      </c>
      <c r="I89" s="19">
        <f ca="1">MAX(-Inputs!$B$8,MIN(Inputs!$B$8,H89))</f>
        <v>2.9114075550021949</v>
      </c>
    </row>
    <row r="90" spans="1:9" x14ac:dyDescent="0.25">
      <c r="A90" s="16">
        <f>Rules!A90</f>
        <v>87</v>
      </c>
      <c r="B90" s="17">
        <f>Rules!B90</f>
        <v>45992</v>
      </c>
      <c r="C90" s="18">
        <f ca="1">Rules!I90</f>
        <v>5.5222921127911127</v>
      </c>
      <c r="D90" s="18">
        <f ca="1">Rules!M90</f>
        <v>4.5105226000133367</v>
      </c>
      <c r="E90" s="18">
        <f ca="1">Rules!Q90</f>
        <v>2.9334093939194386</v>
      </c>
      <c r="F90" s="18">
        <f ca="1">Rules!R90</f>
        <v>-9.7218337766679124</v>
      </c>
      <c r="G90" s="19">
        <f ca="1">C90*Inputs!$B$35+D90*Inputs!$B$36+E90*Inputs!$B$37+F90*Inputs!$B$38</f>
        <v>2.0766218995727286</v>
      </c>
      <c r="H90" s="19">
        <f ca="1">G90*Inputs!$B$40</f>
        <v>2.7203746884402746</v>
      </c>
      <c r="I90" s="19">
        <f ca="1">MAX(-Inputs!$B$8,MIN(Inputs!$B$8,H90))</f>
        <v>2.7203746884402746</v>
      </c>
    </row>
    <row r="91" spans="1:9" x14ac:dyDescent="0.25">
      <c r="A91" s="16">
        <f>Rules!A91</f>
        <v>88</v>
      </c>
      <c r="B91" s="17">
        <f>Rules!B91</f>
        <v>45993</v>
      </c>
      <c r="C91" s="18">
        <f ca="1">Rules!I91</f>
        <v>5.3617536765233735</v>
      </c>
      <c r="D91" s="18">
        <f ca="1">Rules!M91</f>
        <v>3.8298533549828448</v>
      </c>
      <c r="E91" s="18">
        <f ca="1">Rules!Q91</f>
        <v>2.8670537107157497</v>
      </c>
      <c r="F91" s="18">
        <f ca="1">Rules!R91</f>
        <v>-5.6340860973888951</v>
      </c>
      <c r="G91" s="19">
        <f ca="1">C91*Inputs!$B$35+D91*Inputs!$B$36+E91*Inputs!$B$37+F91*Inputs!$B$38</f>
        <v>2.4562576420187332</v>
      </c>
      <c r="H91" s="19">
        <f ca="1">G91*Inputs!$B$40</f>
        <v>3.2176975110445407</v>
      </c>
      <c r="I91" s="19">
        <f ca="1">MAX(-Inputs!$B$8,MIN(Inputs!$B$8,H91))</f>
        <v>3.2176975110445407</v>
      </c>
    </row>
    <row r="92" spans="1:9" x14ac:dyDescent="0.25">
      <c r="A92" s="16">
        <f>Rules!A92</f>
        <v>89</v>
      </c>
      <c r="B92" s="17">
        <f>Rules!B92</f>
        <v>45994</v>
      </c>
      <c r="C92" s="18">
        <f ca="1">Rules!I92</f>
        <v>5.3204299931045105</v>
      </c>
      <c r="D92" s="18">
        <f ca="1">Rules!M92</f>
        <v>3.2862524416016723</v>
      </c>
      <c r="E92" s="18">
        <f ca="1">Rules!Q92</f>
        <v>2.8313311984820713</v>
      </c>
      <c r="F92" s="18">
        <f ca="1">Rules!R92</f>
        <v>-6.072341349546738</v>
      </c>
      <c r="G92" s="19">
        <f ca="1">C92*Inputs!$B$35+D92*Inputs!$B$36+E92*Inputs!$B$37+F92*Inputs!$B$38</f>
        <v>2.2317853257132598</v>
      </c>
      <c r="H92" s="19">
        <f ca="1">G92*Inputs!$B$40</f>
        <v>2.9236387766843706</v>
      </c>
      <c r="I92" s="19">
        <f ca="1">MAX(-Inputs!$B$8,MIN(Inputs!$B$8,H92))</f>
        <v>2.9236387766843706</v>
      </c>
    </row>
    <row r="93" spans="1:9" x14ac:dyDescent="0.25">
      <c r="A93" s="16">
        <f>Rules!A93</f>
        <v>90</v>
      </c>
      <c r="B93" s="17">
        <f>Rules!B93</f>
        <v>45995</v>
      </c>
      <c r="C93" s="18">
        <f ca="1">Rules!I93</f>
        <v>5.6196169335669914</v>
      </c>
      <c r="D93" s="18">
        <f ca="1">Rules!M93</f>
        <v>3.0479838204657286</v>
      </c>
      <c r="E93" s="18">
        <f ca="1">Rules!Q93</f>
        <v>2.9796731079546497</v>
      </c>
      <c r="F93" s="18">
        <f ca="1">Rules!R93</f>
        <v>-5.5059877313935255</v>
      </c>
      <c r="G93" s="19">
        <f ca="1">C93*Inputs!$B$35+D93*Inputs!$B$36+E93*Inputs!$B$37+F93*Inputs!$B$38</f>
        <v>2.3838876165832783</v>
      </c>
      <c r="H93" s="19">
        <f ca="1">G93*Inputs!$B$40</f>
        <v>3.1228927777240947</v>
      </c>
      <c r="I93" s="19">
        <f ca="1">MAX(-Inputs!$B$8,MIN(Inputs!$B$8,H93))</f>
        <v>3.1228927777240947</v>
      </c>
    </row>
    <row r="94" spans="1:9" x14ac:dyDescent="0.25">
      <c r="A94" s="16">
        <f>Rules!A94</f>
        <v>91</v>
      </c>
      <c r="B94" s="17">
        <f>Rules!B94</f>
        <v>45996</v>
      </c>
      <c r="C94" s="18">
        <f ca="1">Rules!I94</f>
        <v>5.6100574650792092</v>
      </c>
      <c r="D94" s="18">
        <f ca="1">Rules!M94</f>
        <v>2.6968303162116514</v>
      </c>
      <c r="E94" s="18">
        <f ca="1">Rules!Q94</f>
        <v>2.9586187839463789</v>
      </c>
      <c r="F94" s="18">
        <f ca="1">Rules!R94</f>
        <v>-5.360181314803782</v>
      </c>
      <c r="G94" s="19">
        <f ca="1">C94*Inputs!$B$35+D94*Inputs!$B$36+E94*Inputs!$B$37+F94*Inputs!$B$38</f>
        <v>2.3082113224833805</v>
      </c>
      <c r="H94" s="19">
        <f ca="1">G94*Inputs!$B$40</f>
        <v>3.0237568324532287</v>
      </c>
      <c r="I94" s="19">
        <f ca="1">MAX(-Inputs!$B$8,MIN(Inputs!$B$8,H94))</f>
        <v>3.0237568324532287</v>
      </c>
    </row>
    <row r="95" spans="1:9" x14ac:dyDescent="0.25">
      <c r="A95" s="16">
        <f>Rules!A95</f>
        <v>92</v>
      </c>
      <c r="B95" s="17">
        <f>Rules!B95</f>
        <v>45999</v>
      </c>
      <c r="C95" s="18">
        <f ca="1">Rules!I95</f>
        <v>5.561190150036329</v>
      </c>
      <c r="D95" s="18">
        <f ca="1">Rules!M95</f>
        <v>2.7001064962426451</v>
      </c>
      <c r="E95" s="18">
        <f ca="1">Rules!Q95</f>
        <v>2.9191624487781556</v>
      </c>
      <c r="F95" s="18">
        <f ca="1">Rules!R95</f>
        <v>-1.9570972238356388</v>
      </c>
      <c r="G95" s="19">
        <f ca="1">C95*Inputs!$B$35+D95*Inputs!$B$36+E95*Inputs!$B$37+F95*Inputs!$B$38</f>
        <v>2.7934664350667524</v>
      </c>
      <c r="H95" s="19">
        <f ca="1">G95*Inputs!$B$40</f>
        <v>3.659441029937446</v>
      </c>
      <c r="I95" s="19">
        <f ca="1">MAX(-Inputs!$B$8,MIN(Inputs!$B$8,H95))</f>
        <v>3.659441029937446</v>
      </c>
    </row>
    <row r="96" spans="1:9" x14ac:dyDescent="0.25">
      <c r="A96" s="16">
        <f>Rules!A96</f>
        <v>93</v>
      </c>
      <c r="B96" s="17">
        <f>Rules!B96</f>
        <v>46000</v>
      </c>
      <c r="C96" s="18">
        <f ca="1">Rules!I96</f>
        <v>5.564741553429732</v>
      </c>
      <c r="D96" s="18">
        <f ca="1">Rules!M96</f>
        <v>2.9826235310822131</v>
      </c>
      <c r="E96" s="18">
        <f ca="1">Rules!Q96</f>
        <v>2.8829901076267905</v>
      </c>
      <c r="F96" s="18">
        <f ca="1">Rules!R96</f>
        <v>1.0469508653733159</v>
      </c>
      <c r="G96" s="19">
        <f ca="1">C96*Inputs!$B$35+D96*Inputs!$B$36+E96*Inputs!$B$37+F96*Inputs!$B$38</f>
        <v>3.3029304386033602</v>
      </c>
      <c r="H96" s="19">
        <f ca="1">G96*Inputs!$B$40</f>
        <v>4.3268388745704023</v>
      </c>
      <c r="I96" s="19">
        <f ca="1">MAX(-Inputs!$B$8,MIN(Inputs!$B$8,H96))</f>
        <v>4.3268388745704023</v>
      </c>
    </row>
    <row r="97" spans="1:9" x14ac:dyDescent="0.25">
      <c r="A97" s="16">
        <f>Rules!A97</f>
        <v>94</v>
      </c>
      <c r="B97" s="17">
        <f>Rules!B97</f>
        <v>46001</v>
      </c>
      <c r="C97" s="18">
        <f ca="1">Rules!I97</f>
        <v>5.7625195736665269</v>
      </c>
      <c r="D97" s="18">
        <f ca="1">Rules!M97</f>
        <v>3.3864276967973845</v>
      </c>
      <c r="E97" s="18">
        <f ca="1">Rules!Q97</f>
        <v>2.9254702672593815</v>
      </c>
      <c r="F97" s="18">
        <f ca="1">Rules!R97</f>
        <v>1.5153060607889648</v>
      </c>
      <c r="G97" s="19">
        <f ca="1">C97*Inputs!$B$35+D97*Inputs!$B$36+E97*Inputs!$B$37+F97*Inputs!$B$38</f>
        <v>3.5384473202751057</v>
      </c>
      <c r="H97" s="19">
        <f ca="1">G97*Inputs!$B$40</f>
        <v>4.6353659895603885</v>
      </c>
      <c r="I97" s="19">
        <f ca="1">MAX(-Inputs!$B$8,MIN(Inputs!$B$8,H97))</f>
        <v>4.6353659895603885</v>
      </c>
    </row>
    <row r="98" spans="1:9" x14ac:dyDescent="0.25">
      <c r="A98" s="16">
        <f>Rules!A98</f>
        <v>95</v>
      </c>
      <c r="B98" s="17">
        <f>Rules!B98</f>
        <v>46002</v>
      </c>
      <c r="C98" s="18">
        <f ca="1">Rules!I98</f>
        <v>5.7508220157447587</v>
      </c>
      <c r="D98" s="18">
        <f ca="1">Rules!M98</f>
        <v>3.2514006307150569</v>
      </c>
      <c r="E98" s="18">
        <f ca="1">Rules!Q98</f>
        <v>2.8518923212941356</v>
      </c>
      <c r="F98" s="18">
        <f ca="1">Rules!R98</f>
        <v>-3.2730255604569405</v>
      </c>
      <c r="G98" s="19">
        <f ca="1">C98*Inputs!$B$35+D98*Inputs!$B$36+E98*Inputs!$B$37+F98*Inputs!$B$38</f>
        <v>2.75776413999936</v>
      </c>
      <c r="H98" s="19">
        <f ca="1">G98*Inputs!$B$40</f>
        <v>3.6126710233991619</v>
      </c>
      <c r="I98" s="19">
        <f ca="1">MAX(-Inputs!$B$8,MIN(Inputs!$B$8,H98))</f>
        <v>3.6126710233991619</v>
      </c>
    </row>
    <row r="99" spans="1:9" x14ac:dyDescent="0.25">
      <c r="A99" s="16">
        <f>Rules!A99</f>
        <v>96</v>
      </c>
      <c r="B99" s="17">
        <f>Rules!B99</f>
        <v>46003</v>
      </c>
      <c r="C99" s="18">
        <f ca="1">Rules!I99</f>
        <v>5.7514916969349494</v>
      </c>
      <c r="D99" s="18">
        <f ca="1">Rules!M99</f>
        <v>3.4053635739467132</v>
      </c>
      <c r="E99" s="18">
        <f ca="1">Rules!Q99</f>
        <v>2.8216859633603653</v>
      </c>
      <c r="F99" s="18">
        <f ca="1">Rules!R99</f>
        <v>7.0596410659095013E-2</v>
      </c>
      <c r="G99" s="19">
        <f ca="1">C99*Inputs!$B$35+D99*Inputs!$B$36+E99*Inputs!$B$37+F99*Inputs!$B$38</f>
        <v>3.2873933664954076</v>
      </c>
      <c r="H99" s="19">
        <f ca="1">G99*Inputs!$B$40</f>
        <v>4.3064853101089842</v>
      </c>
      <c r="I99" s="19">
        <f ca="1">MAX(-Inputs!$B$8,MIN(Inputs!$B$8,H99))</f>
        <v>4.3064853101089842</v>
      </c>
    </row>
    <row r="100" spans="1:9" x14ac:dyDescent="0.25">
      <c r="A100" s="16">
        <f>Rules!A100</f>
        <v>97</v>
      </c>
      <c r="B100" s="17">
        <f>Rules!B100</f>
        <v>46006</v>
      </c>
      <c r="C100" s="18">
        <f ca="1">Rules!I100</f>
        <v>5.9189682110073996</v>
      </c>
      <c r="D100" s="18">
        <f ca="1">Rules!M100</f>
        <v>3.7269808624112652</v>
      </c>
      <c r="E100" s="18">
        <f ca="1">Rules!Q100</f>
        <v>2.8525368083271641</v>
      </c>
      <c r="F100" s="18">
        <f ca="1">Rules!R100</f>
        <v>1.0371623663059872</v>
      </c>
      <c r="G100" s="19">
        <f ca="1">C100*Inputs!$B$35+D100*Inputs!$B$36+E100*Inputs!$B$37+F100*Inputs!$B$38</f>
        <v>3.5654495062150717</v>
      </c>
      <c r="H100" s="19">
        <f ca="1">G100*Inputs!$B$40</f>
        <v>4.670738853141744</v>
      </c>
      <c r="I100" s="19">
        <f ca="1">MAX(-Inputs!$B$8,MIN(Inputs!$B$8,H100))</f>
        <v>4.670738853141744</v>
      </c>
    </row>
    <row r="101" spans="1:9" x14ac:dyDescent="0.25">
      <c r="A101" s="16">
        <f>Rules!A101</f>
        <v>98</v>
      </c>
      <c r="B101" s="17">
        <f>Rules!B101</f>
        <v>46007</v>
      </c>
      <c r="C101" s="18">
        <f ca="1">Rules!I101</f>
        <v>5.8341976779286497</v>
      </c>
      <c r="D101" s="18">
        <f ca="1">Rules!M101</f>
        <v>4.2200941234232383</v>
      </c>
      <c r="E101" s="18">
        <f ca="1">Rules!Q101</f>
        <v>2.7614215814647425</v>
      </c>
      <c r="F101" s="18">
        <f ca="1">Rules!R101</f>
        <v>5.6609946220314269</v>
      </c>
      <c r="G101" s="19">
        <f ca="1">C101*Inputs!$B$35+D101*Inputs!$B$36+E101*Inputs!$B$37+F101*Inputs!$B$38</f>
        <v>4.3292196971553452</v>
      </c>
      <c r="H101" s="19">
        <f ca="1">G101*Inputs!$B$40</f>
        <v>5.6712778032735027</v>
      </c>
      <c r="I101" s="19">
        <f ca="1">MAX(-Inputs!$B$8,MIN(Inputs!$B$8,H101))</f>
        <v>5.6712778032735027</v>
      </c>
    </row>
    <row r="102" spans="1:9" x14ac:dyDescent="0.25">
      <c r="A102" s="16">
        <f>Rules!A102</f>
        <v>99</v>
      </c>
      <c r="B102" s="17">
        <f>Rules!B102</f>
        <v>46008</v>
      </c>
      <c r="C102" s="18">
        <f ca="1">Rules!I102</f>
        <v>6.10820313739816</v>
      </c>
      <c r="D102" s="18">
        <f ca="1">Rules!M102</f>
        <v>4.8340777598267177</v>
      </c>
      <c r="E102" s="18">
        <f ca="1">Rules!Q102</f>
        <v>2.8103581480006778</v>
      </c>
      <c r="F102" s="18">
        <f ca="1">Rules!R102</f>
        <v>4.9824823252159405</v>
      </c>
      <c r="G102" s="19">
        <f ca="1">C102*Inputs!$B$35+D102*Inputs!$B$36+E102*Inputs!$B$37+F102*Inputs!$B$38</f>
        <v>4.4665679248888477</v>
      </c>
      <c r="H102" s="19">
        <f ca="1">G102*Inputs!$B$40</f>
        <v>5.8512039816043906</v>
      </c>
      <c r="I102" s="19">
        <f ca="1">MAX(-Inputs!$B$8,MIN(Inputs!$B$8,H102))</f>
        <v>5.8512039816043906</v>
      </c>
    </row>
    <row r="103" spans="1:9" x14ac:dyDescent="0.25">
      <c r="A103" s="16">
        <f>Rules!A103</f>
        <v>100</v>
      </c>
      <c r="B103" s="17">
        <f>Rules!B103</f>
        <v>46009</v>
      </c>
      <c r="C103" s="18">
        <f ca="1">Rules!I103</f>
        <v>5.9111456747195668</v>
      </c>
      <c r="D103" s="18">
        <f ca="1">Rules!M103</f>
        <v>5.5784727581534383</v>
      </c>
      <c r="E103" s="18">
        <f ca="1">Rules!Q103</f>
        <v>2.6597105182560989</v>
      </c>
      <c r="F103" s="18">
        <f ca="1">Rules!R103</f>
        <v>12.746089502300224</v>
      </c>
      <c r="G103" s="19">
        <f ca="1">C103*Inputs!$B$35+D103*Inputs!$B$36+E103*Inputs!$B$37+F103*Inputs!$B$38</f>
        <v>5.7152167149529198</v>
      </c>
      <c r="H103" s="19">
        <f ca="1">G103*Inputs!$B$40</f>
        <v>7.486933896588325</v>
      </c>
      <c r="I103" s="19">
        <f ca="1">MAX(-Inputs!$B$8,MIN(Inputs!$B$8,H103))</f>
        <v>7.486933896588325</v>
      </c>
    </row>
    <row r="104" spans="1:9" x14ac:dyDescent="0.25">
      <c r="A104" s="16">
        <f>Rules!A104</f>
        <v>101</v>
      </c>
      <c r="B104" s="17">
        <f>Rules!B104</f>
        <v>46010</v>
      </c>
      <c r="C104" s="18">
        <f ca="1">Rules!I104</f>
        <v>6.1055378475508535</v>
      </c>
      <c r="D104" s="18">
        <f ca="1">Rules!M104</f>
        <v>6.3433753229373808</v>
      </c>
      <c r="E104" s="18">
        <f ca="1">Rules!Q104</f>
        <v>2.6408462722722512</v>
      </c>
      <c r="F104" s="18">
        <f ca="1">Rules!R104</f>
        <v>10.622542869092308</v>
      </c>
      <c r="G104" s="19">
        <f ca="1">C104*Inputs!$B$35+D104*Inputs!$B$36+E104*Inputs!$B$37+F104*Inputs!$B$38</f>
        <v>5.6299059182811924</v>
      </c>
      <c r="H104" s="19">
        <f ca="1">G104*Inputs!$B$40</f>
        <v>7.3751767529483621</v>
      </c>
      <c r="I104" s="19">
        <f ca="1">MAX(-Inputs!$B$8,MIN(Inputs!$B$8,H104))</f>
        <v>7.3751767529483621</v>
      </c>
    </row>
    <row r="105" spans="1:9" x14ac:dyDescent="0.25">
      <c r="A105" s="16">
        <f>Rules!A105</f>
        <v>102</v>
      </c>
      <c r="B105" s="17">
        <f>Rules!B105</f>
        <v>46013</v>
      </c>
      <c r="C105" s="18">
        <f ca="1">Rules!I105</f>
        <v>6.2462554387599445</v>
      </c>
      <c r="D105" s="18">
        <f ca="1">Rules!M105</f>
        <v>7.4031677666927562</v>
      </c>
      <c r="E105" s="18">
        <f ca="1">Rules!Q105</f>
        <v>2.6228135352141617</v>
      </c>
      <c r="F105" s="18">
        <f ca="1">Rules!R105</f>
        <v>14.628729874776363</v>
      </c>
      <c r="G105" s="19">
        <f ca="1">C105*Inputs!$B$35+D105*Inputs!$B$36+E105*Inputs!$B$37+F105*Inputs!$B$38</f>
        <v>6.5246500199045858</v>
      </c>
      <c r="H105" s="19">
        <f ca="1">G105*Inputs!$B$40</f>
        <v>8.5472915260750071</v>
      </c>
      <c r="I105" s="19">
        <f ca="1">MAX(-Inputs!$B$8,MIN(Inputs!$B$8,H105))</f>
        <v>8.5472915260750071</v>
      </c>
    </row>
    <row r="106" spans="1:9" x14ac:dyDescent="0.25">
      <c r="A106" s="16">
        <f>Rules!A106</f>
        <v>103</v>
      </c>
      <c r="B106" s="17">
        <f>Rules!B106</f>
        <v>46014</v>
      </c>
      <c r="C106" s="18">
        <f ca="1">Rules!I106</f>
        <v>6.446194336228249</v>
      </c>
      <c r="D106" s="18">
        <f ca="1">Rules!M106</f>
        <v>8.3584126554302838</v>
      </c>
      <c r="E106" s="18">
        <f ca="1">Rules!Q106</f>
        <v>2.5961843499485875</v>
      </c>
      <c r="F106" s="18">
        <f ca="1">Rules!R106</f>
        <v>14.503840480187113</v>
      </c>
      <c r="G106" s="19">
        <f ca="1">C106*Inputs!$B$35+D106*Inputs!$B$36+E106*Inputs!$B$37+F106*Inputs!$B$38</f>
        <v>6.7853923424247053</v>
      </c>
      <c r="H106" s="19">
        <f ca="1">G106*Inputs!$B$40</f>
        <v>8.8888639685763646</v>
      </c>
      <c r="I106" s="19">
        <f ca="1">MAX(-Inputs!$B$8,MIN(Inputs!$B$8,H106))</f>
        <v>8.8888639685763646</v>
      </c>
    </row>
    <row r="107" spans="1:9" x14ac:dyDescent="0.25">
      <c r="A107" s="16">
        <f>Rules!A107</f>
        <v>104</v>
      </c>
      <c r="B107" s="17">
        <f>Rules!B107</f>
        <v>46015</v>
      </c>
      <c r="C107" s="18">
        <f ca="1">Rules!I107</f>
        <v>6.5984150042527485</v>
      </c>
      <c r="D107" s="18">
        <f ca="1">Rules!M107</f>
        <v>8.9170617143651629</v>
      </c>
      <c r="E107" s="18">
        <f ca="1">Rules!Q107</f>
        <v>2.550703477772418</v>
      </c>
      <c r="F107" s="18">
        <f ca="1">Rules!R107</f>
        <v>11.956793326211862</v>
      </c>
      <c r="G107" s="19">
        <f ca="1">C107*Inputs!$B$35+D107*Inputs!$B$36+E107*Inputs!$B$37+F107*Inputs!$B$38</f>
        <v>6.565134395806604</v>
      </c>
      <c r="H107" s="19">
        <f ca="1">G107*Inputs!$B$40</f>
        <v>8.600326058506651</v>
      </c>
      <c r="I107" s="19">
        <f ca="1">MAX(-Inputs!$B$8,MIN(Inputs!$B$8,H107))</f>
        <v>8.600326058506651</v>
      </c>
    </row>
    <row r="108" spans="1:9" x14ac:dyDescent="0.25">
      <c r="A108" s="16">
        <f>Rules!A108</f>
        <v>105</v>
      </c>
      <c r="B108" s="17">
        <f>Rules!B108</f>
        <v>46016</v>
      </c>
      <c r="C108" s="18">
        <f ca="1">Rules!I108</f>
        <v>6.6348656830427268</v>
      </c>
      <c r="D108" s="18">
        <f ca="1">Rules!M108</f>
        <v>8.8570721448415366</v>
      </c>
      <c r="E108" s="18">
        <f ca="1">Rules!Q108</f>
        <v>2.4730677025955021</v>
      </c>
      <c r="F108" s="18">
        <f ca="1">Rules!R108</f>
        <v>7.1591993488987065</v>
      </c>
      <c r="G108" s="19">
        <f ca="1">C108*Inputs!$B$35+D108*Inputs!$B$36+E108*Inputs!$B$37+F108*Inputs!$B$38</f>
        <v>5.8124380552142973</v>
      </c>
      <c r="H108" s="19">
        <f ca="1">G108*Inputs!$B$40</f>
        <v>7.6142938523307295</v>
      </c>
      <c r="I108" s="19">
        <f ca="1">MAX(-Inputs!$B$8,MIN(Inputs!$B$8,H108))</f>
        <v>7.6142938523307295</v>
      </c>
    </row>
    <row r="109" spans="1:9" x14ac:dyDescent="0.25">
      <c r="A109" s="16">
        <f>Rules!A109</f>
        <v>106</v>
      </c>
      <c r="B109" s="17">
        <f>Rules!B109</f>
        <v>46017</v>
      </c>
      <c r="C109" s="18">
        <f ca="1">Rules!I109</f>
        <v>6.7477684434923306</v>
      </c>
      <c r="D109" s="18">
        <f ca="1">Rules!M109</f>
        <v>8.8044719804466691</v>
      </c>
      <c r="E109" s="18">
        <f ca="1">Rules!Q109</f>
        <v>2.4567996858473564</v>
      </c>
      <c r="F109" s="18">
        <f ca="1">Rules!R109</f>
        <v>6.18192685284086</v>
      </c>
      <c r="G109" s="19">
        <f ca="1">C109*Inputs!$B$35+D109*Inputs!$B$36+E109*Inputs!$B$37+F109*Inputs!$B$38</f>
        <v>5.6752290239574537</v>
      </c>
      <c r="H109" s="19">
        <f ca="1">G109*Inputs!$B$40</f>
        <v>7.4345500213842648</v>
      </c>
      <c r="I109" s="19">
        <f ca="1">MAX(-Inputs!$B$8,MIN(Inputs!$B$8,H109))</f>
        <v>7.4345500213842648</v>
      </c>
    </row>
    <row r="110" spans="1:9" x14ac:dyDescent="0.25">
      <c r="A110" s="16">
        <f>Rules!A110</f>
        <v>107</v>
      </c>
      <c r="B110" s="17">
        <f>Rules!B110</f>
        <v>46020</v>
      </c>
      <c r="C110" s="18">
        <f ca="1">Rules!I110</f>
        <v>6.6656046764867227</v>
      </c>
      <c r="D110" s="18">
        <f ca="1">Rules!M110</f>
        <v>8.8759658341868573</v>
      </c>
      <c r="E110" s="18">
        <f ca="1">Rules!Q110</f>
        <v>2.3891555301346492</v>
      </c>
      <c r="F110" s="18">
        <f ca="1">Rules!R110</f>
        <v>10.823632941655154</v>
      </c>
      <c r="G110" s="19">
        <f ca="1">C110*Inputs!$B$35+D110*Inputs!$B$36+E110*Inputs!$B$37+F110*Inputs!$B$38</f>
        <v>6.3451420044637956</v>
      </c>
      <c r="H110" s="19">
        <f ca="1">G110*Inputs!$B$40</f>
        <v>8.3121360258475718</v>
      </c>
      <c r="I110" s="19">
        <f ca="1">MAX(-Inputs!$B$8,MIN(Inputs!$B$8,H110))</f>
        <v>8.3121360258475718</v>
      </c>
    </row>
    <row r="111" spans="1:9" x14ac:dyDescent="0.25">
      <c r="A111" s="16">
        <f>Rules!A111</f>
        <v>108</v>
      </c>
      <c r="B111" s="17">
        <f>Rules!B111</f>
        <v>46021</v>
      </c>
      <c r="C111" s="18">
        <f ca="1">Rules!I111</f>
        <v>7.1421036393725448</v>
      </c>
      <c r="D111" s="18">
        <f ca="1">Rules!M111</f>
        <v>9.8395760559659031</v>
      </c>
      <c r="E111" s="18">
        <f ca="1">Rules!Q111</f>
        <v>2.4974954722878095</v>
      </c>
      <c r="F111" s="18">
        <f ca="1">Rules!R111</f>
        <v>13.118823529411745</v>
      </c>
      <c r="G111" s="19">
        <f ca="1">C111*Inputs!$B$35+D111*Inputs!$B$36+E111*Inputs!$B$37+F111*Inputs!$B$38</f>
        <v>7.0873668685471074</v>
      </c>
      <c r="H111" s="19">
        <f ca="1">G111*Inputs!$B$40</f>
        <v>9.2844505977967113</v>
      </c>
      <c r="I111" s="19">
        <f ca="1">MAX(-Inputs!$B$8,MIN(Inputs!$B$8,H111))</f>
        <v>9.2844505977967113</v>
      </c>
    </row>
    <row r="112" spans="1:9" x14ac:dyDescent="0.25">
      <c r="A112" s="16">
        <f>Rules!A112</f>
        <v>109</v>
      </c>
      <c r="B112" s="17">
        <f>Rules!B112</f>
        <v>46022</v>
      </c>
      <c r="C112" s="18">
        <f ca="1">Rules!I112</f>
        <v>7.2814282039484324</v>
      </c>
      <c r="D112" s="18">
        <f ca="1">Rules!M112</f>
        <v>10.431045969229681</v>
      </c>
      <c r="E112" s="18">
        <f ca="1">Rules!Q112</f>
        <v>2.4765914019578417</v>
      </c>
      <c r="F112" s="18">
        <f ca="1">Rules!R112</f>
        <v>13.799648728396798</v>
      </c>
      <c r="G112" s="19">
        <f ca="1">C112*Inputs!$B$35+D112*Inputs!$B$36+E112*Inputs!$B$37+F112*Inputs!$B$38</f>
        <v>7.3648728432392918</v>
      </c>
      <c r="H112" s="19">
        <f ca="1">G112*Inputs!$B$40</f>
        <v>9.6479834246434724</v>
      </c>
      <c r="I112" s="19">
        <f ca="1">MAX(-Inputs!$B$8,MIN(Inputs!$B$8,H112))</f>
        <v>9.6479834246434724</v>
      </c>
    </row>
    <row r="113" spans="1:9" x14ac:dyDescent="0.25">
      <c r="A113" s="16">
        <f>Rules!A113</f>
        <v>110</v>
      </c>
      <c r="B113" s="17">
        <f>Rules!B113</f>
        <v>46023</v>
      </c>
      <c r="C113" s="18">
        <f ca="1">Rules!I113</f>
        <v>6.9549420805499871</v>
      </c>
      <c r="D113" s="18">
        <f ca="1">Rules!M113</f>
        <v>9.5223254814936578</v>
      </c>
      <c r="E113" s="18">
        <f ca="1">Rules!Q113</f>
        <v>2.2729053077028167</v>
      </c>
      <c r="F113" s="18">
        <f ca="1">Rules!R113</f>
        <v>4.8473139431408532</v>
      </c>
      <c r="G113" s="19">
        <f ca="1">C113*Inputs!$B$35+D113*Inputs!$B$36+E113*Inputs!$B$37+F113*Inputs!$B$38</f>
        <v>5.6419308396780243</v>
      </c>
      <c r="H113" s="19">
        <f ca="1">G113*Inputs!$B$40</f>
        <v>7.3909293999782122</v>
      </c>
      <c r="I113" s="19">
        <f ca="1">MAX(-Inputs!$B$8,MIN(Inputs!$B$8,H113))</f>
        <v>7.3909293999782122</v>
      </c>
    </row>
    <row r="114" spans="1:9" x14ac:dyDescent="0.25">
      <c r="A114" s="16">
        <f>Rules!A114</f>
        <v>111</v>
      </c>
      <c r="B114" s="17">
        <f>Rules!B114</f>
        <v>46024</v>
      </c>
      <c r="C114" s="18">
        <f ca="1">Rules!I114</f>
        <v>6.9985418780827509</v>
      </c>
      <c r="D114" s="18">
        <f ca="1">Rules!M114</f>
        <v>9.3455814597953193</v>
      </c>
      <c r="E114" s="18">
        <f ca="1">Rules!Q114</f>
        <v>2.2610046468097313</v>
      </c>
      <c r="F114" s="18">
        <f ca="1">Rules!R114</f>
        <v>6.7502084211513482</v>
      </c>
      <c r="G114" s="19">
        <f ca="1">C114*Inputs!$B$35+D114*Inputs!$B$36+E114*Inputs!$B$37+F114*Inputs!$B$38</f>
        <v>5.8899137240256261</v>
      </c>
      <c r="H114" s="19">
        <f ca="1">G114*Inputs!$B$40</f>
        <v>7.7157869784735702</v>
      </c>
      <c r="I114" s="19">
        <f ca="1">MAX(-Inputs!$B$8,MIN(Inputs!$B$8,H114))</f>
        <v>7.7157869784735702</v>
      </c>
    </row>
    <row r="115" spans="1:9" x14ac:dyDescent="0.25">
      <c r="A115" s="16">
        <f>Rules!A115</f>
        <v>112</v>
      </c>
      <c r="B115" s="17">
        <f>Rules!B115</f>
        <v>46027</v>
      </c>
      <c r="C115" s="18">
        <f ca="1">Rules!I115</f>
        <v>7.1126724910484338</v>
      </c>
      <c r="D115" s="18">
        <f ca="1">Rules!M115</f>
        <v>9.4261347020076851</v>
      </c>
      <c r="E115" s="18">
        <f ca="1">Rules!Q115</f>
        <v>2.2658414039460202</v>
      </c>
      <c r="F115" s="18">
        <f ca="1">Rules!R115</f>
        <v>8.5691724041029609</v>
      </c>
      <c r="G115" s="19">
        <f ca="1">C115*Inputs!$B$35+D115*Inputs!$B$36+E115*Inputs!$B$37+F115*Inputs!$B$38</f>
        <v>6.2131221502605811</v>
      </c>
      <c r="H115" s="19">
        <f ca="1">G115*Inputs!$B$40</f>
        <v>8.1391900168413613</v>
      </c>
      <c r="I115" s="19">
        <f ca="1">MAX(-Inputs!$B$8,MIN(Inputs!$B$8,H115))</f>
        <v>8.1391900168413613</v>
      </c>
    </row>
    <row r="116" spans="1:9" x14ac:dyDescent="0.25">
      <c r="A116" s="16">
        <f>Rules!A116</f>
        <v>113</v>
      </c>
      <c r="B116" s="17">
        <f>Rules!B116</f>
        <v>46028</v>
      </c>
      <c r="C116" s="18">
        <f ca="1">Rules!I116</f>
        <v>7.2520686739690357</v>
      </c>
      <c r="D116" s="18">
        <f ca="1">Rules!M116</f>
        <v>9.3598312514911974</v>
      </c>
      <c r="E116" s="18">
        <f ca="1">Rules!Q116</f>
        <v>2.2641706042508085</v>
      </c>
      <c r="F116" s="18">
        <f ca="1">Rules!R116</f>
        <v>6.7733220926420836</v>
      </c>
      <c r="G116" s="19">
        <f ca="1">C116*Inputs!$B$35+D116*Inputs!$B$36+E116*Inputs!$B$37+F116*Inputs!$B$38</f>
        <v>5.9614330067491528</v>
      </c>
      <c r="H116" s="19">
        <f ca="1">G116*Inputs!$B$40</f>
        <v>7.8094772388413904</v>
      </c>
      <c r="I116" s="19">
        <f ca="1">MAX(-Inputs!$B$8,MIN(Inputs!$B$8,H116))</f>
        <v>7.8094772388413904</v>
      </c>
    </row>
    <row r="117" spans="1:9" x14ac:dyDescent="0.25">
      <c r="A117" s="16">
        <f>Rules!A117</f>
        <v>114</v>
      </c>
      <c r="B117" s="17">
        <f>Rules!B117</f>
        <v>46029</v>
      </c>
      <c r="C117" s="18">
        <f ca="1">Rules!I117</f>
        <v>7.3467643882761324</v>
      </c>
      <c r="D117" s="18">
        <f ca="1">Rules!M117</f>
        <v>9.0590075584659218</v>
      </c>
      <c r="E117" s="18">
        <f ca="1">Rules!Q117</f>
        <v>2.2578982258214926</v>
      </c>
      <c r="F117" s="18">
        <f ca="1">Rules!R117</f>
        <v>4.8145613788582162</v>
      </c>
      <c r="G117" s="19">
        <f ca="1">C117*Inputs!$B$35+D117*Inputs!$B$36+E117*Inputs!$B$37+F117*Inputs!$B$38</f>
        <v>5.6138915725517684</v>
      </c>
      <c r="H117" s="19">
        <f ca="1">G117*Inputs!$B$40</f>
        <v>7.3541979600428169</v>
      </c>
      <c r="I117" s="19">
        <f ca="1">MAX(-Inputs!$B$8,MIN(Inputs!$B$8,H117))</f>
        <v>7.3541979600428169</v>
      </c>
    </row>
    <row r="118" spans="1:9" x14ac:dyDescent="0.25">
      <c r="A118" s="16">
        <f>Rules!A118</f>
        <v>115</v>
      </c>
      <c r="B118" s="17">
        <f>Rules!B118</f>
        <v>46030</v>
      </c>
      <c r="C118" s="18">
        <f ca="1">Rules!I118</f>
        <v>7.3955691342343437</v>
      </c>
      <c r="D118" s="18">
        <f ca="1">Rules!M118</f>
        <v>8.7368617234901702</v>
      </c>
      <c r="E118" s="18">
        <f ca="1">Rules!Q118</f>
        <v>2.2538447312177134</v>
      </c>
      <c r="F118" s="18">
        <f ca="1">Rules!R118</f>
        <v>4.9622265936022236</v>
      </c>
      <c r="G118" s="19">
        <f ca="1">C118*Inputs!$B$35+D118*Inputs!$B$36+E118*Inputs!$B$37+F118*Inputs!$B$38</f>
        <v>5.5662873593976618</v>
      </c>
      <c r="H118" s="19">
        <f ca="1">G118*Inputs!$B$40</f>
        <v>7.2918364408109371</v>
      </c>
      <c r="I118" s="19">
        <f ca="1">MAX(-Inputs!$B$8,MIN(Inputs!$B$8,H118))</f>
        <v>7.2918364408109371</v>
      </c>
    </row>
    <row r="119" spans="1:9" x14ac:dyDescent="0.25">
      <c r="A119" s="16">
        <f>Rules!A119</f>
        <v>116</v>
      </c>
      <c r="B119" s="17">
        <f>Rules!B119</f>
        <v>46031</v>
      </c>
      <c r="C119" s="18">
        <f ca="1">Rules!I119</f>
        <v>7.1540017984566786</v>
      </c>
      <c r="D119" s="18">
        <f ca="1">Rules!M119</f>
        <v>8.6046550032543099</v>
      </c>
      <c r="E119" s="18">
        <f ca="1">Rules!Q119</f>
        <v>2.1784182006181476</v>
      </c>
      <c r="F119" s="18">
        <f ca="1">Rules!R119</f>
        <v>10.866900847735543</v>
      </c>
      <c r="G119" s="19">
        <f ca="1">C119*Inputs!$B$35+D119*Inputs!$B$36+E119*Inputs!$B$37+F119*Inputs!$B$38</f>
        <v>6.3321456978044299</v>
      </c>
      <c r="H119" s="19">
        <f ca="1">G119*Inputs!$B$40</f>
        <v>8.2951108641238029</v>
      </c>
      <c r="I119" s="19">
        <f ca="1">MAX(-Inputs!$B$8,MIN(Inputs!$B$8,H119))</f>
        <v>8.2951108641238029</v>
      </c>
    </row>
    <row r="120" spans="1:9" x14ac:dyDescent="0.25">
      <c r="A120" s="16">
        <f>Rules!A120</f>
        <v>117</v>
      </c>
      <c r="B120" s="17">
        <f>Rules!B120</f>
        <v>46034</v>
      </c>
      <c r="C120" s="18">
        <f ca="1">Rules!I120</f>
        <v>7.2536038903442597</v>
      </c>
      <c r="D120" s="18">
        <f ca="1">Rules!M120</f>
        <v>8.5241064213503588</v>
      </c>
      <c r="E120" s="18">
        <f ca="1">Rules!Q120</f>
        <v>2.1642051686541284</v>
      </c>
      <c r="F120" s="18">
        <f ca="1">Rules!R120</f>
        <v>7.1167486300408118</v>
      </c>
      <c r="G120" s="19">
        <f ca="1">C120*Inputs!$B$35+D120*Inputs!$B$36+E120*Inputs!$B$37+F120*Inputs!$B$38</f>
        <v>5.7694116814587213</v>
      </c>
      <c r="H120" s="19">
        <f ca="1">G120*Inputs!$B$40</f>
        <v>7.5579293027109253</v>
      </c>
      <c r="I120" s="19">
        <f ca="1">MAX(-Inputs!$B$8,MIN(Inputs!$B$8,H120))</f>
        <v>7.5579293027109253</v>
      </c>
    </row>
    <row r="121" spans="1:9" x14ac:dyDescent="0.25">
      <c r="A121" s="16">
        <f>Rules!A121</f>
        <v>118</v>
      </c>
      <c r="B121" s="17">
        <f>Rules!B121</f>
        <v>46035</v>
      </c>
      <c r="C121" s="18">
        <f ca="1">Rules!I121</f>
        <v>7.3283783118941273</v>
      </c>
      <c r="D121" s="18">
        <f ca="1">Rules!M121</f>
        <v>8.2971973842812687</v>
      </c>
      <c r="E121" s="18">
        <f ca="1">Rules!Q121</f>
        <v>2.1642842537651119</v>
      </c>
      <c r="F121" s="18">
        <f ca="1">Rules!R121</f>
        <v>5.6937005292492575</v>
      </c>
      <c r="G121" s="19">
        <f ca="1">C121*Inputs!$B$35+D121*Inputs!$B$36+E121*Inputs!$B$37+F121*Inputs!$B$38</f>
        <v>5.5179484922490269</v>
      </c>
      <c r="H121" s="19">
        <f ca="1">G121*Inputs!$B$40</f>
        <v>7.2285125248462254</v>
      </c>
      <c r="I121" s="19">
        <f ca="1">MAX(-Inputs!$B$8,MIN(Inputs!$B$8,H121))</f>
        <v>7.2285125248462254</v>
      </c>
    </row>
    <row r="122" spans="1:9" x14ac:dyDescent="0.25">
      <c r="A122" s="16">
        <f>Rules!A122</f>
        <v>119</v>
      </c>
      <c r="B122" s="17">
        <f>Rules!B122</f>
        <v>46036</v>
      </c>
      <c r="C122" s="18">
        <f ca="1">Rules!I122</f>
        <v>7.5218389929730778</v>
      </c>
      <c r="D122" s="18">
        <f ca="1">Rules!M122</f>
        <v>8.6196642971021156</v>
      </c>
      <c r="E122" s="18">
        <f ca="1">Rules!Q122</f>
        <v>2.2226099335302996</v>
      </c>
      <c r="F122" s="18">
        <f ca="1">Rules!R122</f>
        <v>10.302435483115602</v>
      </c>
      <c r="G122" s="19">
        <f ca="1">C122*Inputs!$B$35+D122*Inputs!$B$36+E122*Inputs!$B$37+F122*Inputs!$B$38</f>
        <v>6.358654621721743</v>
      </c>
      <c r="H122" s="19">
        <f ca="1">G122*Inputs!$B$40</f>
        <v>8.3298375544554837</v>
      </c>
      <c r="I122" s="19">
        <f ca="1">MAX(-Inputs!$B$8,MIN(Inputs!$B$8,H122))</f>
        <v>8.3298375544554837</v>
      </c>
    </row>
    <row r="123" spans="1:9" x14ac:dyDescent="0.25">
      <c r="A123" s="16">
        <f>Rules!A123</f>
        <v>120</v>
      </c>
      <c r="B123" s="17">
        <f>Rules!B123</f>
        <v>46037</v>
      </c>
      <c r="C123" s="18">
        <f ca="1">Rules!I123</f>
        <v>7.768203027648271</v>
      </c>
      <c r="D123" s="18">
        <f ca="1">Rules!M123</f>
        <v>8.8302655864041171</v>
      </c>
      <c r="E123" s="18">
        <f ca="1">Rules!Q123</f>
        <v>2.2652062722392694</v>
      </c>
      <c r="F123" s="18">
        <f ca="1">Rules!R123</f>
        <v>8.643693503817234</v>
      </c>
      <c r="G123" s="19">
        <f ca="1">C123*Inputs!$B$35+D123*Inputs!$B$36+E123*Inputs!$B$37+F123*Inputs!$B$38</f>
        <v>6.2389933743694259</v>
      </c>
      <c r="H123" s="19">
        <f ca="1">G123*Inputs!$B$40</f>
        <v>8.1730813204239485</v>
      </c>
      <c r="I123" s="19">
        <f ca="1">MAX(-Inputs!$B$8,MIN(Inputs!$B$8,H123))</f>
        <v>8.1730813204239485</v>
      </c>
    </row>
    <row r="124" spans="1:9" x14ac:dyDescent="0.25">
      <c r="A124" s="16">
        <f>Rules!A124</f>
        <v>121</v>
      </c>
      <c r="B124" s="17">
        <f>Rules!B124</f>
        <v>46038</v>
      </c>
      <c r="C124" s="18">
        <f ca="1">Rules!I124</f>
        <v>7.9033567596139456</v>
      </c>
      <c r="D124" s="18">
        <f ca="1">Rules!M124</f>
        <v>8.7882144278412984</v>
      </c>
      <c r="E124" s="18">
        <f ca="1">Rules!Q124</f>
        <v>2.2841419367872189</v>
      </c>
      <c r="F124" s="18">
        <f ca="1">Rules!R124</f>
        <v>7.3630649618285773</v>
      </c>
      <c r="G124" s="19">
        <f ca="1">C124*Inputs!$B$35+D124*Inputs!$B$36+E124*Inputs!$B$37+F124*Inputs!$B$38</f>
        <v>6.0768022190136239</v>
      </c>
      <c r="H124" s="19">
        <f ca="1">G124*Inputs!$B$40</f>
        <v>7.9606109069078475</v>
      </c>
      <c r="I124" s="19">
        <f ca="1">MAX(-Inputs!$B$8,MIN(Inputs!$B$8,H124))</f>
        <v>7.9606109069078475</v>
      </c>
    </row>
    <row r="125" spans="1:9" x14ac:dyDescent="0.25">
      <c r="A125" s="16">
        <f>Rules!A125</f>
        <v>122</v>
      </c>
      <c r="B125" s="17">
        <f>Rules!B125</f>
        <v>46041</v>
      </c>
      <c r="C125" s="18">
        <f ca="1">Rules!I125</f>
        <v>7.9660557698121108</v>
      </c>
      <c r="D125" s="18">
        <f ca="1">Rules!M125</f>
        <v>8.6994482422402299</v>
      </c>
      <c r="E125" s="18">
        <f ca="1">Rules!Q125</f>
        <v>2.2938018042755788</v>
      </c>
      <c r="F125" s="18">
        <f ca="1">Rules!R125</f>
        <v>7.6165284998360985</v>
      </c>
      <c r="G125" s="19">
        <f ca="1">C125*Inputs!$B$35+D125*Inputs!$B$36+E125*Inputs!$B$37+F125*Inputs!$B$38</f>
        <v>6.1116859094849527</v>
      </c>
      <c r="H125" s="19">
        <f ca="1">G125*Inputs!$B$40</f>
        <v>8.0063085414252892</v>
      </c>
      <c r="I125" s="19">
        <f ca="1">MAX(-Inputs!$B$8,MIN(Inputs!$B$8,H125))</f>
        <v>8.0063085414252892</v>
      </c>
    </row>
    <row r="126" spans="1:9" x14ac:dyDescent="0.25">
      <c r="A126" s="16">
        <f>Rules!A126</f>
        <v>123</v>
      </c>
      <c r="B126" s="17">
        <f>Rules!B126</f>
        <v>46042</v>
      </c>
      <c r="C126" s="18">
        <f ca="1">Rules!I126</f>
        <v>7.9659005157889053</v>
      </c>
      <c r="D126" s="18">
        <f ca="1">Rules!M126</f>
        <v>8.1679490645415349</v>
      </c>
      <c r="E126" s="18">
        <f ca="1">Rules!Q126</f>
        <v>2.2738637031301181</v>
      </c>
      <c r="F126" s="18">
        <f ca="1">Rules!R126</f>
        <v>3.262011147018971</v>
      </c>
      <c r="G126" s="19">
        <f ca="1">C126*Inputs!$B$35+D126*Inputs!$B$36+E126*Inputs!$B$37+F126*Inputs!$B$38</f>
        <v>5.3186163632309968</v>
      </c>
      <c r="H126" s="19">
        <f ca="1">G126*Inputs!$B$40</f>
        <v>6.967387435832606</v>
      </c>
      <c r="I126" s="19">
        <f ca="1">MAX(-Inputs!$B$8,MIN(Inputs!$B$8,H126))</f>
        <v>6.967387435832606</v>
      </c>
    </row>
    <row r="127" spans="1:9" x14ac:dyDescent="0.25">
      <c r="A127" s="16">
        <f>Rules!A127</f>
        <v>124</v>
      </c>
      <c r="B127" s="17">
        <f>Rules!B127</f>
        <v>46043</v>
      </c>
      <c r="C127" s="18">
        <f ca="1">Rules!I127</f>
        <v>7.9710020779137087</v>
      </c>
      <c r="D127" s="18">
        <f ca="1">Rules!M127</f>
        <v>7.7728937948139194</v>
      </c>
      <c r="E127" s="18">
        <f ca="1">Rules!Q127</f>
        <v>2.2879265574537611</v>
      </c>
      <c r="F127" s="18">
        <f ca="1">Rules!R127</f>
        <v>3.8193293054189801</v>
      </c>
      <c r="G127" s="19">
        <f ca="1">C127*Inputs!$B$35+D127*Inputs!$B$36+E127*Inputs!$B$37+F127*Inputs!$B$38</f>
        <v>5.3096476591035699</v>
      </c>
      <c r="H127" s="19">
        <f ca="1">G127*Inputs!$B$40</f>
        <v>6.9556384334256771</v>
      </c>
      <c r="I127" s="19">
        <f ca="1">MAX(-Inputs!$B$8,MIN(Inputs!$B$8,H127))</f>
        <v>6.9556384334256771</v>
      </c>
    </row>
    <row r="128" spans="1:9" x14ac:dyDescent="0.25">
      <c r="A128" s="16">
        <f>Rules!A128</f>
        <v>125</v>
      </c>
      <c r="B128" s="17">
        <f>Rules!B128</f>
        <v>46044</v>
      </c>
      <c r="C128" s="18">
        <f ca="1">Rules!I128</f>
        <v>7.8641616314161098</v>
      </c>
      <c r="D128" s="18">
        <f ca="1">Rules!M128</f>
        <v>6.9519242081490038</v>
      </c>
      <c r="E128" s="18">
        <f ca="1">Rules!Q128</f>
        <v>2.2550828296585368</v>
      </c>
      <c r="F128" s="18">
        <f ca="1">Rules!R128</f>
        <v>-0.56853074797428615</v>
      </c>
      <c r="G128" s="19">
        <f ca="1">C128*Inputs!$B$35+D128*Inputs!$B$36+E128*Inputs!$B$37+F128*Inputs!$B$38</f>
        <v>4.4080208380756236</v>
      </c>
      <c r="H128" s="19">
        <f ca="1">G128*Inputs!$B$40</f>
        <v>5.774507297879067</v>
      </c>
      <c r="I128" s="19">
        <f ca="1">MAX(-Inputs!$B$8,MIN(Inputs!$B$8,H128))</f>
        <v>5.774507297879067</v>
      </c>
    </row>
    <row r="129" spans="1:9" x14ac:dyDescent="0.25">
      <c r="A129" s="16">
        <f>Rules!A129</f>
        <v>126</v>
      </c>
      <c r="B129" s="17">
        <f>Rules!B129</f>
        <v>46045</v>
      </c>
      <c r="C129" s="18">
        <f ca="1">Rules!I129</f>
        <v>7.7351006535350644</v>
      </c>
      <c r="D129" s="18">
        <f ca="1">Rules!M129</f>
        <v>6.4909904476542577</v>
      </c>
      <c r="E129" s="18">
        <f ca="1">Rules!Q129</f>
        <v>2.2526891759185599</v>
      </c>
      <c r="F129" s="18">
        <f ca="1">Rules!R129</f>
        <v>2.2163027585535198</v>
      </c>
      <c r="G129" s="19">
        <f ca="1">C129*Inputs!$B$35+D129*Inputs!$B$36+E129*Inputs!$B$37+F129*Inputs!$B$38</f>
        <v>4.6774094006518547</v>
      </c>
      <c r="H129" s="19">
        <f ca="1">G129*Inputs!$B$40</f>
        <v>6.1274063148539302</v>
      </c>
      <c r="I129" s="19">
        <f ca="1">MAX(-Inputs!$B$8,MIN(Inputs!$B$8,H129))</f>
        <v>6.1274063148539302</v>
      </c>
    </row>
    <row r="130" spans="1:9" x14ac:dyDescent="0.25">
      <c r="A130" s="16">
        <f>Rules!A130</f>
        <v>127</v>
      </c>
      <c r="B130" s="17">
        <f>Rules!B130</f>
        <v>46048</v>
      </c>
      <c r="C130" s="18">
        <f ca="1">Rules!I130</f>
        <v>7.8082000679405592</v>
      </c>
      <c r="D130" s="18">
        <f ca="1">Rules!M130</f>
        <v>6.2470024675926359</v>
      </c>
      <c r="E130" s="18">
        <f ca="1">Rules!Q130</f>
        <v>2.2909029301247039</v>
      </c>
      <c r="F130" s="18">
        <f ca="1">Rules!R130</f>
        <v>2.1739565386539623</v>
      </c>
      <c r="G130" s="19">
        <f ca="1">C130*Inputs!$B$35+D130*Inputs!$B$36+E130*Inputs!$B$37+F130*Inputs!$B$38</f>
        <v>4.6417101402250385</v>
      </c>
      <c r="H130" s="19">
        <f ca="1">G130*Inputs!$B$40</f>
        <v>6.0806402836948008</v>
      </c>
      <c r="I130" s="19">
        <f ca="1">MAX(-Inputs!$B$8,MIN(Inputs!$B$8,H130))</f>
        <v>6.0806402836948008</v>
      </c>
    </row>
    <row r="131" spans="1:9" x14ac:dyDescent="0.25">
      <c r="A131" s="16">
        <f>Rules!A131</f>
        <v>128</v>
      </c>
      <c r="B131" s="17">
        <f>Rules!B131</f>
        <v>46049</v>
      </c>
      <c r="C131" s="18">
        <f ca="1">Rules!I131</f>
        <v>7.3388227448358592</v>
      </c>
      <c r="D131" s="18">
        <f ca="1">Rules!M131</f>
        <v>6.2748813961429608</v>
      </c>
      <c r="E131" s="18">
        <f ca="1">Rules!Q131</f>
        <v>2.1911449302673764</v>
      </c>
      <c r="F131" s="18">
        <f ca="1">Rules!R131</f>
        <v>10.85445360712146</v>
      </c>
      <c r="G131" s="19">
        <f ca="1">C131*Inputs!$B$35+D131*Inputs!$B$36+E131*Inputs!$B$37+F131*Inputs!$B$38</f>
        <v>5.7984948019065055</v>
      </c>
      <c r="H131" s="19">
        <f ca="1">G131*Inputs!$B$40</f>
        <v>7.5960281904975222</v>
      </c>
      <c r="I131" s="19">
        <f ca="1">MAX(-Inputs!$B$8,MIN(Inputs!$B$8,H131))</f>
        <v>7.5960281904975222</v>
      </c>
    </row>
    <row r="132" spans="1:9" x14ac:dyDescent="0.25">
      <c r="A132" s="16">
        <f>Rules!A132</f>
        <v>129</v>
      </c>
      <c r="B132" s="17">
        <f>Rules!B132</f>
        <v>46050</v>
      </c>
      <c r="C132" s="18">
        <f ca="1">Rules!I132</f>
        <v>7.4253405727882686</v>
      </c>
      <c r="D132" s="18">
        <f ca="1">Rules!M132</f>
        <v>6.7539484463483141</v>
      </c>
      <c r="E132" s="18">
        <f ca="1">Rules!Q132</f>
        <v>2.2112416199347331</v>
      </c>
      <c r="F132" s="18">
        <f ca="1">Rules!R132</f>
        <v>11.218108598250527</v>
      </c>
      <c r="G132" s="19">
        <f ca="1">C132*Inputs!$B$35+D132*Inputs!$B$36+E132*Inputs!$B$37+F132*Inputs!$B$38</f>
        <v>6.0014731114988811</v>
      </c>
      <c r="H132" s="19">
        <f ca="1">G132*Inputs!$B$40</f>
        <v>7.8619297760635343</v>
      </c>
      <c r="I132" s="19">
        <f ca="1">MAX(-Inputs!$B$8,MIN(Inputs!$B$8,H132))</f>
        <v>7.8619297760635343</v>
      </c>
    </row>
    <row r="133" spans="1:9" x14ac:dyDescent="0.25">
      <c r="A133" s="16">
        <f>Rules!A133</f>
        <v>130</v>
      </c>
      <c r="B133" s="17">
        <f>Rules!B133</f>
        <v>46051</v>
      </c>
      <c r="C133" s="18">
        <f ca="1">Rules!I133</f>
        <v>7.4807476298146831</v>
      </c>
      <c r="D133" s="18">
        <f ca="1">Rules!M133</f>
        <v>7.5094126530779466</v>
      </c>
      <c r="E133" s="18">
        <f ca="1">Rules!Q133</f>
        <v>2.231603089024262</v>
      </c>
      <c r="F133" s="18">
        <f ca="1">Rules!R133</f>
        <v>13.498841577958798</v>
      </c>
      <c r="G133" s="19">
        <f ca="1">C133*Inputs!$B$35+D133*Inputs!$B$36+E133*Inputs!$B$37+F133*Inputs!$B$38</f>
        <v>6.5534273885754679</v>
      </c>
      <c r="H133" s="19">
        <f ca="1">G133*Inputs!$B$40</f>
        <v>8.5849898790338628</v>
      </c>
      <c r="I133" s="19">
        <f ca="1">MAX(-Inputs!$B$8,MIN(Inputs!$B$8,H133))</f>
        <v>8.5849898790338628</v>
      </c>
    </row>
    <row r="134" spans="1:9" x14ac:dyDescent="0.25">
      <c r="A134" s="16">
        <f>Rules!A134</f>
        <v>131</v>
      </c>
      <c r="B134" s="17">
        <f>Rules!B134</f>
        <v>46052</v>
      </c>
      <c r="C134" s="18">
        <f ca="1">Rules!I134</f>
        <v>7.537991952028432</v>
      </c>
      <c r="D134" s="18">
        <f ca="1">Rules!M134</f>
        <v>7.7588591519042849</v>
      </c>
      <c r="E134" s="18">
        <f ca="1">Rules!Q134</f>
        <v>2.2135687136044333</v>
      </c>
      <c r="F134" s="18">
        <f ca="1">Rules!R134</f>
        <v>9.581158408932362</v>
      </c>
      <c r="G134" s="19">
        <f ca="1">C134*Inputs!$B$35+D134*Inputs!$B$36+E134*Inputs!$B$37+F134*Inputs!$B$38</f>
        <v>6.0361355870845852</v>
      </c>
      <c r="H134" s="19">
        <f ca="1">G134*Inputs!$B$40</f>
        <v>7.9073376190808071</v>
      </c>
      <c r="I134" s="19">
        <f ca="1">MAX(-Inputs!$B$8,MIN(Inputs!$B$8,H134))</f>
        <v>7.9073376190808071</v>
      </c>
    </row>
    <row r="135" spans="1:9" x14ac:dyDescent="0.25">
      <c r="A135" s="16">
        <f>Rules!A135</f>
        <v>132</v>
      </c>
      <c r="B135" s="17">
        <f>Rules!B135</f>
        <v>46055</v>
      </c>
      <c r="C135" s="18">
        <f ca="1">Rules!I135</f>
        <v>7.6364666035910904</v>
      </c>
      <c r="D135" s="18">
        <f ca="1">Rules!M135</f>
        <v>7.9657686778172483</v>
      </c>
      <c r="E135" s="18">
        <f ca="1">Rules!Q135</f>
        <v>2.238036412626939</v>
      </c>
      <c r="F135" s="18">
        <f ca="1">Rules!R135</f>
        <v>8.7441730635032133</v>
      </c>
      <c r="G135" s="19">
        <f ca="1">C135*Inputs!$B$35+D135*Inputs!$B$36+E135*Inputs!$B$37+F135*Inputs!$B$38</f>
        <v>5.9954975242969955</v>
      </c>
      <c r="H135" s="19">
        <f ca="1">G135*Inputs!$B$40</f>
        <v>7.8541017568290643</v>
      </c>
      <c r="I135" s="19">
        <f ca="1">MAX(-Inputs!$B$8,MIN(Inputs!$B$8,H135))</f>
        <v>7.8541017568290643</v>
      </c>
    </row>
    <row r="136" spans="1:9" x14ac:dyDescent="0.25">
      <c r="A136" s="16">
        <f>Rules!A136</f>
        <v>133</v>
      </c>
      <c r="B136" s="17">
        <f>Rules!B136</f>
        <v>46056</v>
      </c>
      <c r="C136" s="18">
        <f ca="1">Rules!I136</f>
        <v>7.785472840245653</v>
      </c>
      <c r="D136" s="18">
        <f ca="1">Rules!M136</f>
        <v>8.2780397478901317</v>
      </c>
      <c r="E136" s="18">
        <f ca="1">Rules!Q136</f>
        <v>2.2856971350475455</v>
      </c>
      <c r="F136" s="18">
        <f ca="1">Rules!R136</f>
        <v>9.6273900907188494</v>
      </c>
      <c r="G136" s="19">
        <f ca="1">C136*Inputs!$B$35+D136*Inputs!$B$36+E136*Inputs!$B$37+F136*Inputs!$B$38</f>
        <v>6.2599806579084145</v>
      </c>
      <c r="H136" s="19">
        <f ca="1">G136*Inputs!$B$40</f>
        <v>8.2005746618600242</v>
      </c>
      <c r="I136" s="19">
        <f ca="1">MAX(-Inputs!$B$8,MIN(Inputs!$B$8,H136))</f>
        <v>8.2005746618600242</v>
      </c>
    </row>
    <row r="137" spans="1:9" x14ac:dyDescent="0.25">
      <c r="A137" s="16">
        <f>Rules!A137</f>
        <v>134</v>
      </c>
      <c r="B137" s="17">
        <f>Rules!B137</f>
        <v>46057</v>
      </c>
      <c r="C137" s="18">
        <f ca="1">Rules!I137</f>
        <v>7.6045406481958162</v>
      </c>
      <c r="D137" s="18">
        <f ca="1">Rules!M137</f>
        <v>8.6531461931261369</v>
      </c>
      <c r="E137" s="18">
        <f ca="1">Rules!Q137</f>
        <v>2.2493494963366643</v>
      </c>
      <c r="F137" s="18">
        <f ca="1">Rules!R137</f>
        <v>14.167096774193647</v>
      </c>
      <c r="G137" s="19">
        <f ca="1">C137*Inputs!$B$35+D137*Inputs!$B$36+E137*Inputs!$B$37+F137*Inputs!$B$38</f>
        <v>6.9767585501773679</v>
      </c>
      <c r="H137" s="19">
        <f ca="1">G137*Inputs!$B$40</f>
        <v>9.1395537007323515</v>
      </c>
      <c r="I137" s="19">
        <f ca="1">MAX(-Inputs!$B$8,MIN(Inputs!$B$8,H137))</f>
        <v>9.1395537007323515</v>
      </c>
    </row>
    <row r="138" spans="1:9" x14ac:dyDescent="0.25">
      <c r="A138" s="16">
        <f>Rules!A138</f>
        <v>135</v>
      </c>
      <c r="B138" s="17">
        <f>Rules!B138</f>
        <v>46058</v>
      </c>
      <c r="C138" s="18">
        <f ca="1">Rules!I138</f>
        <v>7.7922604400004856</v>
      </c>
      <c r="D138" s="18">
        <f ca="1">Rules!M138</f>
        <v>8.8553424317588671</v>
      </c>
      <c r="E138" s="18">
        <f ca="1">Rules!Q138</f>
        <v>2.2682090247512305</v>
      </c>
      <c r="F138" s="18">
        <f ca="1">Rules!R138</f>
        <v>8.7681022547468981</v>
      </c>
      <c r="G138" s="19">
        <f ca="1">C138*Inputs!$B$35+D138*Inputs!$B$36+E138*Inputs!$B$37+F138*Inputs!$B$38</f>
        <v>6.2709892148148034</v>
      </c>
      <c r="H138" s="19">
        <f ca="1">G138*Inputs!$B$40</f>
        <v>8.2149958714073925</v>
      </c>
      <c r="I138" s="19">
        <f ca="1">MAX(-Inputs!$B$8,MIN(Inputs!$B$8,H138))</f>
        <v>8.2149958714073925</v>
      </c>
    </row>
    <row r="139" spans="1:9" x14ac:dyDescent="0.25">
      <c r="A139" s="16">
        <f>Rules!A139</f>
        <v>136</v>
      </c>
      <c r="B139" s="17">
        <f>Rules!B139</f>
        <v>46059</v>
      </c>
      <c r="C139" s="18">
        <f ca="1">Rules!I139</f>
        <v>7.7950863762138312</v>
      </c>
      <c r="D139" s="18">
        <f ca="1">Rules!M139</f>
        <v>9.0829304028359825</v>
      </c>
      <c r="E139" s="18">
        <f ca="1">Rules!Q139</f>
        <v>2.2837811984008241</v>
      </c>
      <c r="F139" s="18">
        <f ca="1">Rules!R139</f>
        <v>12.52817191034352</v>
      </c>
      <c r="G139" s="19">
        <f ca="1">C139*Inputs!$B$35+D139*Inputs!$B$36+E139*Inputs!$B$37+F139*Inputs!$B$38</f>
        <v>6.8980534007542698</v>
      </c>
      <c r="H139" s="19">
        <f ca="1">G139*Inputs!$B$40</f>
        <v>9.0364499549880932</v>
      </c>
      <c r="I139" s="19">
        <f ca="1">MAX(-Inputs!$B$8,MIN(Inputs!$B$8,H139))</f>
        <v>9.0364499549880932</v>
      </c>
    </row>
    <row r="140" spans="1:9" x14ac:dyDescent="0.25">
      <c r="A140" s="16">
        <f>Rules!A140</f>
        <v>137</v>
      </c>
      <c r="B140" s="17">
        <f>Rules!B140</f>
        <v>46062</v>
      </c>
      <c r="C140" s="18">
        <f ca="1">Rules!I140</f>
        <v>8.0171203939934532</v>
      </c>
      <c r="D140" s="18">
        <f ca="1">Rules!M140</f>
        <v>9.6572709730578108</v>
      </c>
      <c r="E140" s="18">
        <f ca="1">Rules!Q140</f>
        <v>2.3502769496245346</v>
      </c>
      <c r="F140" s="18">
        <f ca="1">Rules!R140</f>
        <v>16.564481327800866</v>
      </c>
      <c r="G140" s="19">
        <f ca="1">C140*Inputs!$B$35+D140*Inputs!$B$36+E140*Inputs!$B$37+F140*Inputs!$B$38</f>
        <v>7.7258669733015326</v>
      </c>
      <c r="H140" s="19">
        <f ca="1">G140*Inputs!$B$40</f>
        <v>10.120885735025007</v>
      </c>
      <c r="I140" s="19">
        <f ca="1">MAX(-Inputs!$B$8,MIN(Inputs!$B$8,H140))</f>
        <v>10.120885735025007</v>
      </c>
    </row>
    <row r="141" spans="1:9" x14ac:dyDescent="0.25">
      <c r="A141" s="16">
        <f>Rules!A141</f>
        <v>138</v>
      </c>
      <c r="B141" s="17">
        <f>Rules!B141</f>
        <v>46063</v>
      </c>
      <c r="C141" s="18">
        <f ca="1">Rules!I141</f>
        <v>7.9247843218900105</v>
      </c>
      <c r="D141" s="18">
        <f ca="1">Rules!M141</f>
        <v>10.160082633839133</v>
      </c>
      <c r="E141" s="18">
        <f ca="1">Rules!Q141</f>
        <v>2.3310361790574867</v>
      </c>
      <c r="F141" s="18">
        <f ca="1">Rules!R141</f>
        <v>18.232671497129999</v>
      </c>
      <c r="G141" s="19">
        <f ca="1">C141*Inputs!$B$35+D141*Inputs!$B$36+E141*Inputs!$B$37+F141*Inputs!$B$38</f>
        <v>8.0719801261719066</v>
      </c>
      <c r="H141" s="19">
        <f ca="1">G141*Inputs!$B$40</f>
        <v>10.574293965285198</v>
      </c>
      <c r="I141" s="19">
        <f ca="1">MAX(-Inputs!$B$8,MIN(Inputs!$B$8,H141))</f>
        <v>10.574293965285198</v>
      </c>
    </row>
    <row r="142" spans="1:9" x14ac:dyDescent="0.25">
      <c r="A142" s="16">
        <f>Rules!A142</f>
        <v>139</v>
      </c>
      <c r="B142" s="17">
        <f>Rules!B142</f>
        <v>46064</v>
      </c>
      <c r="C142" s="18">
        <f ca="1">Rules!I142</f>
        <v>8.1022318942223865</v>
      </c>
      <c r="D142" s="18">
        <f ca="1">Rules!M142</f>
        <v>11.032401029218999</v>
      </c>
      <c r="E142" s="18">
        <f ca="1">Rules!Q142</f>
        <v>2.3676312057333506</v>
      </c>
      <c r="F142" s="18">
        <f ca="1">Rules!R142</f>
        <v>19.309386055259548</v>
      </c>
      <c r="G142" s="19">
        <f ca="1">C142*Inputs!$B$35+D142*Inputs!$B$36+E142*Inputs!$B$37+F142*Inputs!$B$38</f>
        <v>8.5087370611559514</v>
      </c>
      <c r="H142" s="19">
        <f ca="1">G142*Inputs!$B$40</f>
        <v>11.146445550114297</v>
      </c>
      <c r="I142" s="19">
        <f ca="1">MAX(-Inputs!$B$8,MIN(Inputs!$B$8,H142))</f>
        <v>11.146445550114297</v>
      </c>
    </row>
    <row r="143" spans="1:9" x14ac:dyDescent="0.25">
      <c r="A143" s="16">
        <f>Rules!A143</f>
        <v>140</v>
      </c>
      <c r="B143" s="17">
        <f>Rules!B143</f>
        <v>46065</v>
      </c>
      <c r="C143" s="18">
        <f ca="1">Rules!I143</f>
        <v>8.467135456828716</v>
      </c>
      <c r="D143" s="18">
        <f ca="1">Rules!M143</f>
        <v>12.032329765571072</v>
      </c>
      <c r="E143" s="18">
        <f ca="1">Rules!Q143</f>
        <v>2.4460126237942954</v>
      </c>
      <c r="F143" s="18">
        <f ca="1">Rules!R143</f>
        <v>18.838107869142416</v>
      </c>
      <c r="G143" s="19">
        <f ca="1">C143*Inputs!$B$35+D143*Inputs!$B$36+E143*Inputs!$B$37+F143*Inputs!$B$38</f>
        <v>8.8066869042993119</v>
      </c>
      <c r="H143" s="19">
        <f ca="1">G143*Inputs!$B$40</f>
        <v>11.536759844632099</v>
      </c>
      <c r="I143" s="19">
        <f ca="1">MAX(-Inputs!$B$8,MIN(Inputs!$B$8,H143))</f>
        <v>11.536759844632099</v>
      </c>
    </row>
    <row r="144" spans="1:9" x14ac:dyDescent="0.25">
      <c r="A144" s="16">
        <f>Rules!A144</f>
        <v>141</v>
      </c>
      <c r="B144" s="17">
        <f>Rules!B144</f>
        <v>46066</v>
      </c>
      <c r="C144" s="18">
        <f ca="1">Rules!I144</f>
        <v>8.675905685201295</v>
      </c>
      <c r="D144" s="18">
        <f ca="1">Rules!M144</f>
        <v>12.553766013570595</v>
      </c>
      <c r="E144" s="18">
        <f ca="1">Rules!Q144</f>
        <v>2.4740807435383028</v>
      </c>
      <c r="F144" s="18">
        <f ca="1">Rules!R144</f>
        <v>16.604977895667606</v>
      </c>
      <c r="G144" s="19">
        <f ca="1">C144*Inputs!$B$35+D144*Inputs!$B$36+E144*Inputs!$B$37+F144*Inputs!$B$38</f>
        <v>8.664092869281518</v>
      </c>
      <c r="H144" s="19">
        <f ca="1">G144*Inputs!$B$40</f>
        <v>11.349961658758788</v>
      </c>
      <c r="I144" s="19">
        <f ca="1">MAX(-Inputs!$B$8,MIN(Inputs!$B$8,H144))</f>
        <v>11.349961658758788</v>
      </c>
    </row>
    <row r="145" spans="1:9" x14ac:dyDescent="0.25">
      <c r="A145" s="16">
        <f>Rules!A145</f>
        <v>142</v>
      </c>
      <c r="B145" s="17">
        <f>Rules!B145</f>
        <v>46069</v>
      </c>
      <c r="C145" s="18">
        <f ca="1">Rules!I145</f>
        <v>8.8555376976379048</v>
      </c>
      <c r="D145" s="18">
        <f ca="1">Rules!M145</f>
        <v>12.621873495263387</v>
      </c>
      <c r="E145" s="18">
        <f ca="1">Rules!Q145</f>
        <v>2.4927651408885918</v>
      </c>
      <c r="F145" s="18">
        <f ca="1">Rules!R145</f>
        <v>12.06865605658715</v>
      </c>
      <c r="G145" s="19">
        <f ca="1">C145*Inputs!$B$35+D145*Inputs!$B$36+E145*Inputs!$B$37+F145*Inputs!$B$38</f>
        <v>8.0521190060244034</v>
      </c>
      <c r="H145" s="19">
        <f ca="1">G145*Inputs!$B$40</f>
        <v>10.548275897891969</v>
      </c>
      <c r="I145" s="19">
        <f ca="1">MAX(-Inputs!$B$8,MIN(Inputs!$B$8,H145))</f>
        <v>10.548275897891969</v>
      </c>
    </row>
    <row r="146" spans="1:9" x14ac:dyDescent="0.25">
      <c r="A146" s="16">
        <f>Rules!A146</f>
        <v>143</v>
      </c>
      <c r="B146" s="17">
        <f>Rules!B146</f>
        <v>46070</v>
      </c>
      <c r="C146" s="18">
        <f ca="1">Rules!I146</f>
        <v>9.0015309672431858</v>
      </c>
      <c r="D146" s="18">
        <f ca="1">Rules!M146</f>
        <v>12.668851070528635</v>
      </c>
      <c r="E146" s="18">
        <f ca="1">Rules!Q146</f>
        <v>2.5375703219378489</v>
      </c>
      <c r="F146" s="18">
        <f ca="1">Rules!R146</f>
        <v>12.548381962864736</v>
      </c>
      <c r="G146" s="19">
        <f ca="1">C146*Inputs!$B$35+D146*Inputs!$B$36+E146*Inputs!$B$37+F146*Inputs!$B$38</f>
        <v>8.1880024165509138</v>
      </c>
      <c r="H146" s="19">
        <f ca="1">G146*Inputs!$B$40</f>
        <v>10.726283165681698</v>
      </c>
      <c r="I146" s="19">
        <f ca="1">MAX(-Inputs!$B$8,MIN(Inputs!$B$8,H146))</f>
        <v>10.726283165681698</v>
      </c>
    </row>
    <row r="147" spans="1:9" x14ac:dyDescent="0.25">
      <c r="A147" s="16">
        <f>Rules!A147</f>
        <v>144</v>
      </c>
      <c r="B147" s="17">
        <f>Rules!B147</f>
        <v>46071</v>
      </c>
      <c r="C147" s="18">
        <f ca="1">Rules!I147</f>
        <v>9.1549007607532307</v>
      </c>
      <c r="D147" s="18">
        <f ca="1">Rules!M147</f>
        <v>12.649075568854871</v>
      </c>
      <c r="E147" s="18">
        <f ca="1">Rules!Q147</f>
        <v>2.5789563595963716</v>
      </c>
      <c r="F147" s="18">
        <f ca="1">Rules!R147</f>
        <v>11.654071618037168</v>
      </c>
      <c r="G147" s="19">
        <f ca="1">C147*Inputs!$B$35+D147*Inputs!$B$36+E147*Inputs!$B$37+F147*Inputs!$B$38</f>
        <v>8.1017395509663306</v>
      </c>
      <c r="H147" s="19">
        <f ca="1">G147*Inputs!$B$40</f>
        <v>10.613278811765893</v>
      </c>
      <c r="I147" s="19">
        <f ca="1">MAX(-Inputs!$B$8,MIN(Inputs!$B$8,H147))</f>
        <v>10.613278811765893</v>
      </c>
    </row>
    <row r="148" spans="1:9" x14ac:dyDescent="0.25">
      <c r="A148" s="16">
        <f>Rules!A148</f>
        <v>145</v>
      </c>
      <c r="B148" s="17">
        <f>Rules!B148</f>
        <v>46072</v>
      </c>
      <c r="C148" s="18">
        <f ca="1">Rules!I148</f>
        <v>9.4319631743139105</v>
      </c>
      <c r="D148" s="18">
        <f ca="1">Rules!M148</f>
        <v>13.31300873129889</v>
      </c>
      <c r="E148" s="18">
        <f ca="1">Rules!Q148</f>
        <v>2.691135406010845</v>
      </c>
      <c r="F148" s="18">
        <f ca="1">Rules!R148</f>
        <v>17.108339939087973</v>
      </c>
      <c r="G148" s="19">
        <f ca="1">C148*Inputs!$B$35+D148*Inputs!$B$36+E148*Inputs!$B$37+F148*Inputs!$B$38</f>
        <v>9.1943913593701918</v>
      </c>
      <c r="H148" s="19">
        <f ca="1">G148*Inputs!$B$40</f>
        <v>12.044652680774952</v>
      </c>
      <c r="I148" s="19">
        <f ca="1">MAX(-Inputs!$B$8,MIN(Inputs!$B$8,H148))</f>
        <v>12.044652680774952</v>
      </c>
    </row>
    <row r="149" spans="1:9" x14ac:dyDescent="0.25">
      <c r="A149" s="16">
        <f>Rules!A149</f>
        <v>146</v>
      </c>
      <c r="B149" s="17">
        <f>Rules!B149</f>
        <v>46073</v>
      </c>
      <c r="C149" s="18">
        <f ca="1">Rules!I149</f>
        <v>9.6134233906876965</v>
      </c>
      <c r="D149" s="18">
        <f ca="1">Rules!M149</f>
        <v>13.580210580994201</v>
      </c>
      <c r="E149" s="18">
        <f ca="1">Rules!Q149</f>
        <v>2.7172759777299689</v>
      </c>
      <c r="F149" s="18">
        <f ca="1">Rules!R149</f>
        <v>14.625178355375724</v>
      </c>
      <c r="G149" s="19">
        <f ca="1">C149*Inputs!$B$35+D149*Inputs!$B$36+E149*Inputs!$B$37+F149*Inputs!$B$38</f>
        <v>8.9432318384323217</v>
      </c>
      <c r="H149" s="19">
        <f ca="1">G149*Inputs!$B$40</f>
        <v>11.715633708346342</v>
      </c>
      <c r="I149" s="19">
        <f ca="1">MAX(-Inputs!$B$8,MIN(Inputs!$B$8,H149))</f>
        <v>11.715633708346342</v>
      </c>
    </row>
    <row r="150" spans="1:9" x14ac:dyDescent="0.25">
      <c r="A150" s="16">
        <f>Rules!A150</f>
        <v>147</v>
      </c>
      <c r="B150" s="17">
        <f>Rules!B150</f>
        <v>46076</v>
      </c>
      <c r="C150" s="18">
        <f ca="1">Rules!I150</f>
        <v>9.7725280841096609</v>
      </c>
      <c r="D150" s="18">
        <f ca="1">Rules!M150</f>
        <v>13.841530124928374</v>
      </c>
      <c r="E150" s="18">
        <f ca="1">Rules!Q150</f>
        <v>2.7606433209459609</v>
      </c>
      <c r="F150" s="18">
        <f ca="1">Rules!R150</f>
        <v>15.308794693145277</v>
      </c>
      <c r="G150" s="19">
        <f ca="1">C150*Inputs!$B$35+D150*Inputs!$B$36+E150*Inputs!$B$37+F150*Inputs!$B$38</f>
        <v>9.1660589185623866</v>
      </c>
      <c r="H150" s="19">
        <f ca="1">G150*Inputs!$B$40</f>
        <v>12.007537183316726</v>
      </c>
      <c r="I150" s="19">
        <f ca="1">MAX(-Inputs!$B$8,MIN(Inputs!$B$8,H150))</f>
        <v>12.007537183316726</v>
      </c>
    </row>
    <row r="151" spans="1:9" x14ac:dyDescent="0.25">
      <c r="A151" s="16">
        <f>Rules!A151</f>
        <v>148</v>
      </c>
      <c r="B151" s="17">
        <f>Rules!B151</f>
        <v>46077</v>
      </c>
      <c r="C151" s="18">
        <f ca="1">Rules!I151</f>
        <v>9.7693560307119736</v>
      </c>
      <c r="D151" s="18">
        <f ca="1">Rules!M151</f>
        <v>13.396265467135716</v>
      </c>
      <c r="E151" s="18">
        <f ca="1">Rules!Q151</f>
        <v>2.7271977927426141</v>
      </c>
      <c r="F151" s="18">
        <f ca="1">Rules!R151</f>
        <v>9.9003754850014403</v>
      </c>
      <c r="G151" s="19">
        <f ca="1">C151*Inputs!$B$35+D151*Inputs!$B$36+E151*Inputs!$B$37+F151*Inputs!$B$38</f>
        <v>8.2309809246720533</v>
      </c>
      <c r="H151" s="19">
        <f ca="1">G151*Inputs!$B$40</f>
        <v>10.782585011320391</v>
      </c>
      <c r="I151" s="19">
        <f ca="1">MAX(-Inputs!$B$8,MIN(Inputs!$B$8,H151))</f>
        <v>10.782585011320391</v>
      </c>
    </row>
    <row r="152" spans="1:9" x14ac:dyDescent="0.25">
      <c r="A152" s="16">
        <f>Rules!A152</f>
        <v>149</v>
      </c>
      <c r="B152" s="17">
        <f>Rules!B152</f>
        <v>46078</v>
      </c>
      <c r="C152" s="18">
        <f ca="1">Rules!I152</f>
        <v>9.9150800009533473</v>
      </c>
      <c r="D152" s="18">
        <f ca="1">Rules!M152</f>
        <v>13.069698507124659</v>
      </c>
      <c r="E152" s="18">
        <f ca="1">Rules!Q152</f>
        <v>2.7735150955332464</v>
      </c>
      <c r="F152" s="18">
        <f ca="1">Rules!R152</f>
        <v>8.4859193124451409</v>
      </c>
      <c r="G152" s="19">
        <f ca="1">C152*Inputs!$B$35+D152*Inputs!$B$36+E152*Inputs!$B$37+F152*Inputs!$B$38</f>
        <v>7.9898128073229095</v>
      </c>
      <c r="H152" s="19">
        <f ca="1">G152*Inputs!$B$40</f>
        <v>10.466654777593012</v>
      </c>
      <c r="I152" s="19">
        <f ca="1">MAX(-Inputs!$B$8,MIN(Inputs!$B$8,H152))</f>
        <v>10.466654777593012</v>
      </c>
    </row>
    <row r="153" spans="1:9" x14ac:dyDescent="0.25">
      <c r="A153" s="16">
        <f>Rules!A153</f>
        <v>150</v>
      </c>
      <c r="B153" s="17">
        <f>Rules!B153</f>
        <v>46079</v>
      </c>
      <c r="C153" s="18">
        <f ca="1">Rules!I153</f>
        <v>9.9779688698542284</v>
      </c>
      <c r="D153" s="18">
        <f ca="1">Rules!M153</f>
        <v>12.733914703240524</v>
      </c>
      <c r="E153" s="18">
        <f ca="1">Rules!Q153</f>
        <v>2.8127437454259185</v>
      </c>
      <c r="F153" s="18">
        <f ca="1">Rules!R153</f>
        <v>8.9987191789393943</v>
      </c>
      <c r="G153" s="19">
        <f ca="1">C153*Inputs!$B$35+D153*Inputs!$B$36+E153*Inputs!$B$37+F153*Inputs!$B$38</f>
        <v>8.0122390810136679</v>
      </c>
      <c r="H153" s="19">
        <f ca="1">G153*Inputs!$B$40</f>
        <v>10.496033196127906</v>
      </c>
      <c r="I153" s="19">
        <f ca="1">MAX(-Inputs!$B$8,MIN(Inputs!$B$8,H153))</f>
        <v>10.496033196127906</v>
      </c>
    </row>
    <row r="154" spans="1:9" x14ac:dyDescent="0.25">
      <c r="A154" s="16">
        <f>Rules!A154</f>
        <v>151</v>
      </c>
      <c r="B154" s="17">
        <f>Rules!B154</f>
        <v>46080</v>
      </c>
      <c r="C154" s="18">
        <f ca="1">Rules!I154</f>
        <v>10.216266097108877</v>
      </c>
      <c r="D154" s="18">
        <f ca="1">Rules!M154</f>
        <v>12.858553467690429</v>
      </c>
      <c r="E154" s="18">
        <f ca="1">Rules!Q154</f>
        <v>2.9091539413818435</v>
      </c>
      <c r="F154" s="18">
        <f ca="1">Rules!R154</f>
        <v>11.333025991906103</v>
      </c>
      <c r="G154" s="19">
        <f ca="1">C154*Inputs!$B$35+D154*Inputs!$B$36+E154*Inputs!$B$37+F154*Inputs!$B$38</f>
        <v>8.4868626694693869</v>
      </c>
      <c r="H154" s="19">
        <f ca="1">G154*Inputs!$B$40</f>
        <v>11.117790097004898</v>
      </c>
      <c r="I154" s="19">
        <f ca="1">MAX(-Inputs!$B$8,MIN(Inputs!$B$8,H154))</f>
        <v>11.117790097004898</v>
      </c>
    </row>
    <row r="155" spans="1:9" x14ac:dyDescent="0.25">
      <c r="A155" s="16">
        <f>Rules!A155</f>
        <v>152</v>
      </c>
      <c r="B155" s="17">
        <f>Rules!B155</f>
        <v>46083</v>
      </c>
      <c r="C155" s="18">
        <f ca="1">Rules!I155</f>
        <v>10.198300522859348</v>
      </c>
      <c r="D155" s="18">
        <f ca="1">Rules!M155</f>
        <v>13.028964247684966</v>
      </c>
      <c r="E155" s="18">
        <f ca="1">Rules!Q155</f>
        <v>2.9350707666893081</v>
      </c>
      <c r="F155" s="18">
        <f ca="1">Rules!R155</f>
        <v>14.63128115264789</v>
      </c>
      <c r="G155" s="19">
        <f ca="1">C155*Inputs!$B$35+D155*Inputs!$B$36+E155*Inputs!$B$37+F155*Inputs!$B$38</f>
        <v>9.0287831338745193</v>
      </c>
      <c r="H155" s="19">
        <f ca="1">G155*Inputs!$B$40</f>
        <v>11.827705905375621</v>
      </c>
      <c r="I155" s="19">
        <f ca="1">MAX(-Inputs!$B$8,MIN(Inputs!$B$8,H155))</f>
        <v>11.827705905375621</v>
      </c>
    </row>
    <row r="156" spans="1:9" x14ac:dyDescent="0.25">
      <c r="A156" s="16">
        <f>Rules!A156</f>
        <v>153</v>
      </c>
      <c r="B156" s="17">
        <f>Rules!B156</f>
        <v>46084</v>
      </c>
      <c r="C156" s="18">
        <f ca="1">Rules!I156</f>
        <v>10.403640171097683</v>
      </c>
      <c r="D156" s="18">
        <f ca="1">Rules!M156</f>
        <v>13.388065052429004</v>
      </c>
      <c r="E156" s="18">
        <f ca="1">Rules!Q156</f>
        <v>2.9843044745559908</v>
      </c>
      <c r="F156" s="18">
        <f ca="1">Rules!R156</f>
        <v>14.04118929016186</v>
      </c>
      <c r="G156" s="19">
        <f ca="1">C156*Inputs!$B$35+D156*Inputs!$B$36+E156*Inputs!$B$37+F156*Inputs!$B$38</f>
        <v>9.0986112655005478</v>
      </c>
      <c r="H156" s="19">
        <f ca="1">G156*Inputs!$B$40</f>
        <v>11.919180757805718</v>
      </c>
      <c r="I156" s="19">
        <f ca="1">MAX(-Inputs!$B$8,MIN(Inputs!$B$8,H156))</f>
        <v>11.919180757805718</v>
      </c>
    </row>
    <row r="157" spans="1:9" x14ac:dyDescent="0.25">
      <c r="A157" s="16">
        <f>Rules!A157</f>
        <v>154</v>
      </c>
      <c r="B157" s="17">
        <f>Rules!B157</f>
        <v>46085</v>
      </c>
      <c r="C157" s="18">
        <f ca="1">Rules!I157</f>
        <v>10.60431815375118</v>
      </c>
      <c r="D157" s="18">
        <f ca="1">Rules!M157</f>
        <v>13.36849300358274</v>
      </c>
      <c r="E157" s="18">
        <f ca="1">Rules!Q157</f>
        <v>3.0148726869310107</v>
      </c>
      <c r="F157" s="18">
        <f ca="1">Rules!R157</f>
        <v>10.149046544209183</v>
      </c>
      <c r="G157" s="19">
        <f ca="1">C157*Inputs!$B$35+D157*Inputs!$B$36+E157*Inputs!$B$37+F157*Inputs!$B$38</f>
        <v>8.5707652113907109</v>
      </c>
      <c r="H157" s="19">
        <f ca="1">G157*Inputs!$B$40</f>
        <v>11.227702426921832</v>
      </c>
      <c r="I157" s="19">
        <f ca="1">MAX(-Inputs!$B$8,MIN(Inputs!$B$8,H157))</f>
        <v>11.227702426921832</v>
      </c>
    </row>
    <row r="158" spans="1:9" x14ac:dyDescent="0.25">
      <c r="A158" s="16">
        <f>Rules!A158</f>
        <v>155</v>
      </c>
      <c r="B158" s="17">
        <f>Rules!B158</f>
        <v>46086</v>
      </c>
      <c r="C158" s="18">
        <f ca="1">Rules!I158</f>
        <v>10.707343163556331</v>
      </c>
      <c r="D158" s="18">
        <f ca="1">Rules!M158</f>
        <v>13.341503365883671</v>
      </c>
      <c r="E158" s="18">
        <f ca="1">Rules!Q158</f>
        <v>3.0603134261611062</v>
      </c>
      <c r="F158" s="18">
        <f ca="1">Rules!R158</f>
        <v>11.126747353673725</v>
      </c>
      <c r="G158" s="19">
        <f ca="1">C158*Inputs!$B$35+D158*Inputs!$B$36+E158*Inputs!$B$37+F158*Inputs!$B$38</f>
        <v>8.7523334345674471</v>
      </c>
      <c r="H158" s="19">
        <f ca="1">G158*Inputs!$B$40</f>
        <v>11.465556799283355</v>
      </c>
      <c r="I158" s="19">
        <f ca="1">MAX(-Inputs!$B$8,MIN(Inputs!$B$8,H158))</f>
        <v>11.465556799283355</v>
      </c>
    </row>
    <row r="159" spans="1:9" x14ac:dyDescent="0.25">
      <c r="A159" s="16">
        <f>Rules!A159</f>
        <v>156</v>
      </c>
      <c r="B159" s="17">
        <f>Rules!B159</f>
        <v>46087</v>
      </c>
      <c r="C159" s="18">
        <f ca="1">Rules!I159</f>
        <v>10.81078617677241</v>
      </c>
      <c r="D159" s="18">
        <f ca="1">Rules!M159</f>
        <v>13.431055754130455</v>
      </c>
      <c r="E159" s="18">
        <f ca="1">Rules!Q159</f>
        <v>3.102650700377088</v>
      </c>
      <c r="F159" s="18">
        <f ca="1">Rules!R159</f>
        <v>12.379533779576622</v>
      </c>
      <c r="G159" s="19">
        <f ca="1">C159*Inputs!$B$35+D159*Inputs!$B$36+E159*Inputs!$B$37+F159*Inputs!$B$38</f>
        <v>9.003318294794191</v>
      </c>
      <c r="H159" s="19">
        <f ca="1">G159*Inputs!$B$40</f>
        <v>11.79434696618039</v>
      </c>
      <c r="I159" s="19">
        <f ca="1">MAX(-Inputs!$B$8,MIN(Inputs!$B$8,H159))</f>
        <v>11.79434696618039</v>
      </c>
    </row>
    <row r="160" spans="1:9" x14ac:dyDescent="0.25">
      <c r="A160" s="16">
        <f>Rules!A160</f>
        <v>157</v>
      </c>
      <c r="B160" s="17">
        <f>Rules!B160</f>
        <v>46090</v>
      </c>
      <c r="C160" s="18">
        <f ca="1">Rules!I160</f>
        <v>10.905788354463544</v>
      </c>
      <c r="D160" s="18">
        <f ca="1">Rules!M160</f>
        <v>13.599785664417636</v>
      </c>
      <c r="E160" s="18">
        <f ca="1">Rules!Q160</f>
        <v>3.1371451018186893</v>
      </c>
      <c r="F160" s="18">
        <f ca="1">Rules!R160</f>
        <v>12.682416412816064</v>
      </c>
      <c r="G160" s="19">
        <f ca="1">C160*Inputs!$B$35+D160*Inputs!$B$36+E160*Inputs!$B$37+F160*Inputs!$B$38</f>
        <v>9.1267567522792454</v>
      </c>
      <c r="H160" s="19">
        <f ca="1">G160*Inputs!$B$40</f>
        <v>11.956051345485813</v>
      </c>
      <c r="I160" s="19">
        <f ca="1">MAX(-Inputs!$B$8,MIN(Inputs!$B$8,H160))</f>
        <v>11.956051345485813</v>
      </c>
    </row>
    <row r="161" spans="1:9" x14ac:dyDescent="0.25">
      <c r="A161" s="16">
        <f>Rules!A161</f>
        <v>158</v>
      </c>
      <c r="B161" s="17">
        <f>Rules!B161</f>
        <v>46091</v>
      </c>
      <c r="C161" s="18">
        <f ca="1">Rules!I161</f>
        <v>11.243811555000701</v>
      </c>
      <c r="D161" s="18">
        <f ca="1">Rules!M161</f>
        <v>13.815576577270701</v>
      </c>
      <c r="E161" s="18">
        <f ca="1">Rules!Q161</f>
        <v>3.2135947887996852</v>
      </c>
      <c r="F161" s="18">
        <f ca="1">Rules!R161</f>
        <v>10.188651961683799</v>
      </c>
      <c r="G161" s="19">
        <f ca="1">C161*Inputs!$B$35+D161*Inputs!$B$36+E161*Inputs!$B$37+F161*Inputs!$B$38</f>
        <v>8.9179030034003102</v>
      </c>
      <c r="H161" s="19">
        <f ca="1">G161*Inputs!$B$40</f>
        <v>11.682452934454407</v>
      </c>
      <c r="I161" s="19">
        <f ca="1">MAX(-Inputs!$B$8,MIN(Inputs!$B$8,H161))</f>
        <v>11.682452934454407</v>
      </c>
    </row>
    <row r="162" spans="1:9" x14ac:dyDescent="0.25">
      <c r="A162" s="16">
        <f>Rules!A162</f>
        <v>159</v>
      </c>
      <c r="B162" s="17">
        <f>Rules!B162</f>
        <v>46092</v>
      </c>
      <c r="C162" s="18">
        <f ca="1">Rules!I162</f>
        <v>11.174128163400155</v>
      </c>
      <c r="D162" s="18">
        <f ca="1">Rules!M162</f>
        <v>13.820175686133002</v>
      </c>
      <c r="E162" s="18">
        <f ca="1">Rules!Q162</f>
        <v>3.2183224875583352</v>
      </c>
      <c r="F162" s="18">
        <f ca="1">Rules!R162</f>
        <v>12.42343022042972</v>
      </c>
      <c r="G162" s="19">
        <f ca="1">C162*Inputs!$B$35+D162*Inputs!$B$36+E162*Inputs!$B$37+F162*Inputs!$B$38</f>
        <v>9.2385033660931644</v>
      </c>
      <c r="H162" s="19">
        <f ca="1">G162*Inputs!$B$40</f>
        <v>12.102439409582045</v>
      </c>
      <c r="I162" s="19">
        <f ca="1">MAX(-Inputs!$B$8,MIN(Inputs!$B$8,H162))</f>
        <v>12.102439409582045</v>
      </c>
    </row>
    <row r="163" spans="1:9" x14ac:dyDescent="0.25">
      <c r="A163" s="16">
        <f>Rules!A163</f>
        <v>160</v>
      </c>
      <c r="B163" s="17">
        <f>Rules!B163</f>
        <v>46093</v>
      </c>
      <c r="C163" s="18">
        <f ca="1">Rules!I163</f>
        <v>11.577250757756907</v>
      </c>
      <c r="D163" s="18">
        <f ca="1">Rules!M163</f>
        <v>14.365589194688626</v>
      </c>
      <c r="E163" s="18">
        <f ca="1">Rules!Q163</f>
        <v>3.3257265324211152</v>
      </c>
      <c r="F163" s="18">
        <f ca="1">Rules!R163</f>
        <v>12.080484877580441</v>
      </c>
      <c r="G163" s="19">
        <f ca="1">C163*Inputs!$B$35+D163*Inputs!$B$36+E163*Inputs!$B$37+F163*Inputs!$B$38</f>
        <v>9.4617870060958396</v>
      </c>
      <c r="H163" s="19">
        <f ca="1">G163*Inputs!$B$40</f>
        <v>12.39494097798555</v>
      </c>
      <c r="I163" s="19">
        <f ca="1">MAX(-Inputs!$B$8,MIN(Inputs!$B$8,H163))</f>
        <v>12.39494097798555</v>
      </c>
    </row>
    <row r="164" spans="1:9" x14ac:dyDescent="0.25">
      <c r="A164" s="16">
        <f>Rules!A164</f>
        <v>161</v>
      </c>
      <c r="B164" s="17">
        <f>Rules!B164</f>
        <v>46094</v>
      </c>
      <c r="C164" s="18">
        <f ca="1">Rules!I164</f>
        <v>11.707960760983772</v>
      </c>
      <c r="D164" s="18">
        <f ca="1">Rules!M164</f>
        <v>14.707001367596771</v>
      </c>
      <c r="E164" s="18">
        <f ca="1">Rules!Q164</f>
        <v>3.3673611403264445</v>
      </c>
      <c r="F164" s="18">
        <f ca="1">Rules!R164</f>
        <v>12.600580764567004</v>
      </c>
      <c r="G164" s="19">
        <f ca="1">C164*Inputs!$B$35+D164*Inputs!$B$36+E164*Inputs!$B$37+F164*Inputs!$B$38</f>
        <v>9.6724040459444414</v>
      </c>
      <c r="H164" s="19">
        <f ca="1">G164*Inputs!$B$40</f>
        <v>12.67084930018722</v>
      </c>
      <c r="I164" s="19">
        <f ca="1">MAX(-Inputs!$B$8,MIN(Inputs!$B$8,H164))</f>
        <v>12.67084930018722</v>
      </c>
    </row>
    <row r="165" spans="1:9" x14ac:dyDescent="0.25">
      <c r="A165" s="16">
        <f>Rules!A165</f>
        <v>162</v>
      </c>
      <c r="B165" s="17">
        <f>Rules!B165</f>
        <v>46097</v>
      </c>
      <c r="C165" s="18">
        <f ca="1">Rules!I165</f>
        <v>11.663177182180107</v>
      </c>
      <c r="D165" s="18">
        <f ca="1">Rules!M165</f>
        <v>15.088649131504273</v>
      </c>
      <c r="E165" s="18">
        <f ca="1">Rules!Q165</f>
        <v>3.363322915870437</v>
      </c>
      <c r="F165" s="18">
        <f ca="1">Rules!R165</f>
        <v>13.703936381709799</v>
      </c>
      <c r="G165" s="19">
        <f ca="1">C165*Inputs!$B$35+D165*Inputs!$B$36+E165*Inputs!$B$37+F165*Inputs!$B$38</f>
        <v>9.9207100562322168</v>
      </c>
      <c r="H165" s="19">
        <f ca="1">G165*Inputs!$B$40</f>
        <v>12.996130173664204</v>
      </c>
      <c r="I165" s="19">
        <f ca="1">MAX(-Inputs!$B$8,MIN(Inputs!$B$8,H165))</f>
        <v>12.996130173664204</v>
      </c>
    </row>
    <row r="166" spans="1:9" x14ac:dyDescent="0.25">
      <c r="A166" s="16">
        <f>Rules!A166</f>
        <v>163</v>
      </c>
      <c r="B166" s="17">
        <f>Rules!B166</f>
        <v>46098</v>
      </c>
      <c r="C166" s="18">
        <f ca="1">Rules!I166</f>
        <v>12.372257342622545</v>
      </c>
      <c r="D166" s="18">
        <f ca="1">Rules!M166</f>
        <v>16.490891569704651</v>
      </c>
      <c r="E166" s="18">
        <f ca="1">Rules!Q166</f>
        <v>3.5484129568429283</v>
      </c>
      <c r="F166" s="18">
        <f ca="1">Rules!R166</f>
        <v>13.799892368959261</v>
      </c>
      <c r="G166" s="19">
        <f ca="1">C166*Inputs!$B$35+D166*Inputs!$B$36+E166*Inputs!$B$37+F166*Inputs!$B$38</f>
        <v>10.527715618320713</v>
      </c>
      <c r="H166" s="19">
        <f ca="1">G166*Inputs!$B$40</f>
        <v>13.791307460000134</v>
      </c>
      <c r="I166" s="19">
        <f ca="1">MAX(-Inputs!$B$8,MIN(Inputs!$B$8,H166))</f>
        <v>13.791307460000134</v>
      </c>
    </row>
    <row r="167" spans="1:9" x14ac:dyDescent="0.25">
      <c r="A167" s="16">
        <f>Rules!A167</f>
        <v>164</v>
      </c>
      <c r="B167" s="17">
        <f>Rules!B167</f>
        <v>46099</v>
      </c>
      <c r="C167" s="18">
        <f ca="1">Rules!I167</f>
        <v>12.600392332357043</v>
      </c>
      <c r="D167" s="18">
        <f ca="1">Rules!M167</f>
        <v>17.204464177111305</v>
      </c>
      <c r="E167" s="18">
        <f ca="1">Rules!Q167</f>
        <v>3.5818810440337718</v>
      </c>
      <c r="F167" s="18">
        <f ca="1">Rules!R167</f>
        <v>13.529237299237582</v>
      </c>
      <c r="G167" s="19">
        <f ca="1">C167*Inputs!$B$35+D167*Inputs!$B$36+E167*Inputs!$B$37+F167*Inputs!$B$38</f>
        <v>10.734258087664545</v>
      </c>
      <c r="H167" s="19">
        <f ca="1">G167*Inputs!$B$40</f>
        <v>14.061878094840553</v>
      </c>
      <c r="I167" s="19">
        <f ca="1">MAX(-Inputs!$B$8,MIN(Inputs!$B$8,H167))</f>
        <v>14.061878094840553</v>
      </c>
    </row>
    <row r="168" spans="1:9" x14ac:dyDescent="0.25">
      <c r="A168" s="16">
        <f>Rules!A168</f>
        <v>165</v>
      </c>
      <c r="B168" s="17">
        <f>Rules!B168</f>
        <v>46100</v>
      </c>
      <c r="C168" s="18">
        <f ca="1">Rules!I168</f>
        <v>12.288364278848343</v>
      </c>
      <c r="D168" s="18">
        <f ca="1">Rules!M168</f>
        <v>17.611235916807644</v>
      </c>
      <c r="E168" s="18">
        <f ca="1">Rules!Q168</f>
        <v>3.5024987624285551</v>
      </c>
      <c r="F168" s="18">
        <f ca="1">Rules!R168</f>
        <v>15.824055957275904</v>
      </c>
      <c r="G168" s="19">
        <f ca="1">C168*Inputs!$B$35+D168*Inputs!$B$36+E168*Inputs!$B$37+F168*Inputs!$B$38</f>
        <v>11.074383009355376</v>
      </c>
      <c r="H168" s="19">
        <f ca="1">G168*Inputs!$B$40</f>
        <v>14.507441742255544</v>
      </c>
      <c r="I168" s="19">
        <f ca="1">MAX(-Inputs!$B$8,MIN(Inputs!$B$8,H168))</f>
        <v>14.507441742255544</v>
      </c>
    </row>
    <row r="169" spans="1:9" x14ac:dyDescent="0.25">
      <c r="A169" s="16">
        <f>Rules!A169</f>
        <v>166</v>
      </c>
      <c r="B169" s="17">
        <f>Rules!B169</f>
        <v>46101</v>
      </c>
      <c r="C169" s="18">
        <f ca="1">Rules!I169</f>
        <v>12.955658660665669</v>
      </c>
      <c r="D169" s="18">
        <f ca="1">Rules!M169</f>
        <v>19.24933338923622</v>
      </c>
      <c r="E169" s="18">
        <f ca="1">Rules!Q169</f>
        <v>3.6350268785312059</v>
      </c>
      <c r="F169" s="18">
        <f ca="1">Rules!R169</f>
        <v>15.427040579441027</v>
      </c>
      <c r="G169" s="19">
        <f ca="1">C169*Inputs!$B$35+D169*Inputs!$B$36+E169*Inputs!$B$37+F169*Inputs!$B$38</f>
        <v>11.637563506877548</v>
      </c>
      <c r="H169" s="19">
        <f ca="1">G169*Inputs!$B$40</f>
        <v>15.245208194009589</v>
      </c>
      <c r="I169" s="19">
        <f ca="1">MAX(-Inputs!$B$8,MIN(Inputs!$B$8,H169))</f>
        <v>15.245208194009589</v>
      </c>
    </row>
    <row r="170" spans="1:9" x14ac:dyDescent="0.25">
      <c r="A170" s="16">
        <f>Rules!A170</f>
        <v>167</v>
      </c>
      <c r="B170" s="17">
        <f>Rules!B170</f>
        <v>46104</v>
      </c>
      <c r="C170" s="18">
        <f ca="1">Rules!I170</f>
        <v>13.279032448283697</v>
      </c>
      <c r="D170" s="18">
        <f ca="1">Rules!M170</f>
        <v>20</v>
      </c>
      <c r="E170" s="18">
        <f ca="1">Rules!Q170</f>
        <v>3.6560992540419579</v>
      </c>
      <c r="F170" s="18">
        <f ca="1">Rules!R170</f>
        <v>16.623725049427243</v>
      </c>
      <c r="G170" s="19">
        <f ca="1">C170*Inputs!$B$35+D170*Inputs!$B$36+E170*Inputs!$B$37+F170*Inputs!$B$38</f>
        <v>12.092951608399698</v>
      </c>
      <c r="H170" s="19">
        <f ca="1">G170*Inputs!$B$40</f>
        <v>15.841766607003605</v>
      </c>
      <c r="I170" s="19">
        <f ca="1">MAX(-Inputs!$B$8,MIN(Inputs!$B$8,H170))</f>
        <v>15.841766607003605</v>
      </c>
    </row>
    <row r="171" spans="1:9" x14ac:dyDescent="0.25">
      <c r="A171" s="16">
        <f>Rules!A171</f>
        <v>168</v>
      </c>
      <c r="B171" s="17">
        <f>Rules!B171</f>
        <v>46105</v>
      </c>
      <c r="C171" s="18">
        <f ca="1">Rules!I171</f>
        <v>13.565242809770442</v>
      </c>
      <c r="D171" s="18">
        <f ca="1">Rules!M171</f>
        <v>20</v>
      </c>
      <c r="E171" s="18">
        <f ca="1">Rules!Q171</f>
        <v>3.6823404236228314</v>
      </c>
      <c r="F171" s="18">
        <f ca="1">Rules!R171</f>
        <v>16.708104357479971</v>
      </c>
      <c r="G171" s="19">
        <f ca="1">C171*Inputs!$B$35+D171*Inputs!$B$36+E171*Inputs!$B$37+F171*Inputs!$B$38</f>
        <v>12.186345504332596</v>
      </c>
      <c r="H171" s="19">
        <f ca="1">G171*Inputs!$B$40</f>
        <v>15.964112610675702</v>
      </c>
      <c r="I171" s="19">
        <f ca="1">MAX(-Inputs!$B$8,MIN(Inputs!$B$8,H171))</f>
        <v>15.964112610675702</v>
      </c>
    </row>
    <row r="172" spans="1:9" x14ac:dyDescent="0.25">
      <c r="A172" s="16">
        <f>Rules!A172</f>
        <v>169</v>
      </c>
      <c r="B172" s="17">
        <f>Rules!B172</f>
        <v>46106</v>
      </c>
      <c r="C172" s="18">
        <f ca="1">Rules!I172</f>
        <v>13.809979218333133</v>
      </c>
      <c r="D172" s="18">
        <f ca="1">Rules!M172</f>
        <v>20</v>
      </c>
      <c r="E172" s="18">
        <f ca="1">Rules!Q172</f>
        <v>3.7316602263566891</v>
      </c>
      <c r="F172" s="18">
        <f ca="1">Rules!R172</f>
        <v>17.510706925235343</v>
      </c>
      <c r="G172" s="19">
        <f ca="1">C172*Inputs!$B$35+D172*Inputs!$B$36+E172*Inputs!$B$37+F172*Inputs!$B$38</f>
        <v>12.385181922593425</v>
      </c>
      <c r="H172" s="19">
        <f ca="1">G172*Inputs!$B$40</f>
        <v>16.224588318597387</v>
      </c>
      <c r="I172" s="19">
        <f ca="1">MAX(-Inputs!$B$8,MIN(Inputs!$B$8,H172))</f>
        <v>16.224588318597387</v>
      </c>
    </row>
    <row r="173" spans="1:9" x14ac:dyDescent="0.25">
      <c r="A173" s="16">
        <f>Rules!A173</f>
        <v>170</v>
      </c>
      <c r="B173" s="17">
        <f>Rules!B173</f>
        <v>46107</v>
      </c>
      <c r="C173" s="18">
        <f ca="1">Rules!I173</f>
        <v>14.869825762200803</v>
      </c>
      <c r="D173" s="18">
        <f ca="1">Rules!M173</f>
        <v>20</v>
      </c>
      <c r="E173" s="18">
        <f ca="1">Rules!Q173</f>
        <v>3.9491456389313035</v>
      </c>
      <c r="F173" s="18">
        <f ca="1">Rules!R173</f>
        <v>17.008071474091935</v>
      </c>
      <c r="G173" s="19">
        <f ca="1">C173*Inputs!$B$35+D173*Inputs!$B$36+E173*Inputs!$B$37+F173*Inputs!$B$38</f>
        <v>12.650868135289947</v>
      </c>
      <c r="H173" s="19">
        <f ca="1">G173*Inputs!$B$40</f>
        <v>16.572637257229832</v>
      </c>
      <c r="I173" s="19">
        <f ca="1">MAX(-Inputs!$B$8,MIN(Inputs!$B$8,H173))</f>
        <v>16.572637257229832</v>
      </c>
    </row>
    <row r="174" spans="1:9" x14ac:dyDescent="0.25">
      <c r="A174" s="16">
        <f>Rules!A174</f>
        <v>171</v>
      </c>
      <c r="B174" s="17">
        <f>Rules!B174</f>
        <v>46108</v>
      </c>
      <c r="C174" s="18">
        <f ca="1">Rules!I174</f>
        <v>15.249630029178808</v>
      </c>
      <c r="D174" s="18">
        <f ca="1">Rules!M174</f>
        <v>20</v>
      </c>
      <c r="E174" s="18">
        <f ca="1">Rules!Q174</f>
        <v>3.9941716581921938</v>
      </c>
      <c r="F174" s="18">
        <f ca="1">Rules!R174</f>
        <v>16.7695652173913</v>
      </c>
      <c r="G174" s="19">
        <f ca="1">C174*Inputs!$B$35+D174*Inputs!$B$36+E174*Inputs!$B$37+F174*Inputs!$B$38</f>
        <v>12.725802370270666</v>
      </c>
      <c r="H174" s="19">
        <f ca="1">G174*Inputs!$B$40</f>
        <v>16.670801105054572</v>
      </c>
      <c r="I174" s="19">
        <f ca="1">MAX(-Inputs!$B$8,MIN(Inputs!$B$8,H174))</f>
        <v>16.670801105054572</v>
      </c>
    </row>
    <row r="175" spans="1:9" x14ac:dyDescent="0.25">
      <c r="A175" s="16">
        <f>Rules!A175</f>
        <v>172</v>
      </c>
      <c r="B175" s="17">
        <f>Rules!B175</f>
        <v>46111</v>
      </c>
      <c r="C175" s="18">
        <f ca="1">Rules!I175</f>
        <v>15.326890211897881</v>
      </c>
      <c r="D175" s="18">
        <f ca="1">Rules!M175</f>
        <v>20</v>
      </c>
      <c r="E175" s="18">
        <f ca="1">Rules!Q175</f>
        <v>3.9750873419809762</v>
      </c>
      <c r="F175" s="18">
        <f ca="1">Rules!R175</f>
        <v>17.39164687252574</v>
      </c>
      <c r="G175" s="19">
        <f ca="1">C175*Inputs!$B$35+D175*Inputs!$B$36+E175*Inputs!$B$37+F175*Inputs!$B$38</f>
        <v>12.831750153546674</v>
      </c>
      <c r="H175" s="19">
        <f ca="1">G175*Inputs!$B$40</f>
        <v>16.809592701146144</v>
      </c>
      <c r="I175" s="19">
        <f ca="1">MAX(-Inputs!$B$8,MIN(Inputs!$B$8,H175))</f>
        <v>16.809592701146144</v>
      </c>
    </row>
    <row r="176" spans="1:9" x14ac:dyDescent="0.25">
      <c r="A176" s="16">
        <f>Rules!A176</f>
        <v>173</v>
      </c>
      <c r="B176" s="17">
        <f>Rules!B176</f>
        <v>46112</v>
      </c>
      <c r="C176" s="18">
        <f ca="1">Rules!I176</f>
        <v>15.944424958459097</v>
      </c>
      <c r="D176" s="18">
        <f ca="1">Rules!M176</f>
        <v>20</v>
      </c>
      <c r="E176" s="18">
        <f ca="1">Rules!Q176</f>
        <v>4.0371251077419137</v>
      </c>
      <c r="F176" s="18">
        <f ca="1">Rules!R176</f>
        <v>15.938022172949022</v>
      </c>
      <c r="G176" s="19">
        <f ca="1">C176*Inputs!$B$35+D176*Inputs!$B$36+E176*Inputs!$B$37+F176*Inputs!$B$38</f>
        <v>12.789803353266798</v>
      </c>
      <c r="H176" s="19">
        <f ca="1">G176*Inputs!$B$40</f>
        <v>16.754642392779505</v>
      </c>
      <c r="I176" s="19">
        <f ca="1">MAX(-Inputs!$B$8,MIN(Inputs!$B$8,H176))</f>
        <v>16.754642392779505</v>
      </c>
    </row>
    <row r="177" spans="1:9" x14ac:dyDescent="0.25">
      <c r="A177" s="16">
        <f>Rules!A177</f>
        <v>174</v>
      </c>
      <c r="B177" s="17">
        <f>Rules!B177</f>
        <v>46113</v>
      </c>
      <c r="C177" s="18">
        <f ca="1">Rules!I177</f>
        <v>15.679652481260966</v>
      </c>
      <c r="D177" s="18">
        <f ca="1">Rules!M177</f>
        <v>20</v>
      </c>
      <c r="E177" s="18">
        <f ca="1">Rules!Q177</f>
        <v>3.8524458914557629</v>
      </c>
      <c r="F177" s="18">
        <f ca="1">Rules!R177</f>
        <v>12.12513303769404</v>
      </c>
      <c r="G177" s="19">
        <f ca="1">C177*Inputs!$B$35+D177*Inputs!$B$36+E177*Inputs!$B$37+F177*Inputs!$B$38</f>
        <v>12.087039137978865</v>
      </c>
      <c r="H177" s="19">
        <f ca="1">G177*Inputs!$B$40</f>
        <v>15.834021270752313</v>
      </c>
      <c r="I177" s="19">
        <f ca="1">MAX(-Inputs!$B$8,MIN(Inputs!$B$8,H177))</f>
        <v>15.834021270752313</v>
      </c>
    </row>
    <row r="178" spans="1:9" x14ac:dyDescent="0.25">
      <c r="A178" s="16">
        <f>Rules!A178</f>
        <v>175</v>
      </c>
      <c r="B178" s="17">
        <f>Rules!B178</f>
        <v>46114</v>
      </c>
      <c r="C178" s="18">
        <f ca="1">Rules!I178</f>
        <v>15.906038641697243</v>
      </c>
      <c r="D178" s="18">
        <f ca="1">Rules!M178</f>
        <v>20</v>
      </c>
      <c r="E178" s="18">
        <f ca="1">Rules!Q178</f>
        <v>3.8688564851560399</v>
      </c>
      <c r="F178" s="18">
        <f ca="1">Rules!R178</f>
        <v>13.004074196753921</v>
      </c>
      <c r="G178" s="19">
        <f ca="1">C178*Inputs!$B$35+D178*Inputs!$B$36+E178*Inputs!$B$37+F178*Inputs!$B$38</f>
        <v>12.281220559742014</v>
      </c>
      <c r="H178" s="19">
        <f ca="1">G178*Inputs!$B$40</f>
        <v>16.088398933262038</v>
      </c>
      <c r="I178" s="19">
        <f ca="1">MAX(-Inputs!$B$8,MIN(Inputs!$B$8,H178))</f>
        <v>16.088398933262038</v>
      </c>
    </row>
    <row r="179" spans="1:9" x14ac:dyDescent="0.25">
      <c r="A179" s="16">
        <f>Rules!A179</f>
        <v>176</v>
      </c>
      <c r="B179" s="17">
        <f>Rules!B179</f>
        <v>46115</v>
      </c>
      <c r="C179" s="18">
        <f ca="1">Rules!I179</f>
        <v>16.251605127431336</v>
      </c>
      <c r="D179" s="18">
        <f ca="1">Rules!M179</f>
        <v>20</v>
      </c>
      <c r="E179" s="18">
        <f ca="1">Rules!Q179</f>
        <v>3.9097756448975503</v>
      </c>
      <c r="F179" s="18">
        <f ca="1">Rules!R179</f>
        <v>13.526241327374647</v>
      </c>
      <c r="G179" s="19">
        <f ca="1">C179*Inputs!$B$35+D179*Inputs!$B$36+E179*Inputs!$B$37+F179*Inputs!$B$38</f>
        <v>12.460258956678175</v>
      </c>
      <c r="H179" s="19">
        <f ca="1">G179*Inputs!$B$40</f>
        <v>16.322939233248409</v>
      </c>
      <c r="I179" s="19">
        <f ca="1">MAX(-Inputs!$B$8,MIN(Inputs!$B$8,H179))</f>
        <v>16.322939233248409</v>
      </c>
    </row>
    <row r="180" spans="1:9" x14ac:dyDescent="0.25">
      <c r="A180" s="16">
        <f>Rules!A180</f>
        <v>177</v>
      </c>
      <c r="B180" s="17">
        <f>Rules!B180</f>
        <v>46118</v>
      </c>
      <c r="C180" s="18">
        <f ca="1">Rules!I180</f>
        <v>16.896353300235791</v>
      </c>
      <c r="D180" s="18">
        <f ca="1">Rules!M180</f>
        <v>20</v>
      </c>
      <c r="E180" s="18">
        <f ca="1">Rules!Q180</f>
        <v>3.995665644661023</v>
      </c>
      <c r="F180" s="18">
        <f ca="1">Rules!R180</f>
        <v>12.374510467659617</v>
      </c>
      <c r="G180" s="19">
        <f ca="1">C180*Inputs!$B$35+D180*Inputs!$B$36+E180*Inputs!$B$37+F180*Inputs!$B$38</f>
        <v>12.478747870839248</v>
      </c>
      <c r="H180" s="19">
        <f ca="1">G180*Inputs!$B$40</f>
        <v>16.347159710799417</v>
      </c>
      <c r="I180" s="19">
        <f ca="1">MAX(-Inputs!$B$8,MIN(Inputs!$B$8,H180))</f>
        <v>16.347159710799417</v>
      </c>
    </row>
    <row r="181" spans="1:9" x14ac:dyDescent="0.25">
      <c r="A181" s="16">
        <f>Rules!A181</f>
        <v>178</v>
      </c>
      <c r="B181" s="17">
        <f>Rules!B181</f>
        <v>46119</v>
      </c>
      <c r="C181" s="18">
        <f ca="1">Rules!I181</f>
        <v>16.927977737755075</v>
      </c>
      <c r="D181" s="18">
        <f ca="1">Rules!M181</f>
        <v>20</v>
      </c>
      <c r="E181" s="18">
        <f ca="1">Rules!Q181</f>
        <v>3.984826991740269</v>
      </c>
      <c r="F181" s="18">
        <f ca="1">Rules!R181</f>
        <v>13.870841579002199</v>
      </c>
      <c r="G181" s="19">
        <f ca="1">C181*Inputs!$B$35+D181*Inputs!$B$36+E181*Inputs!$B$37+F181*Inputs!$B$38</f>
        <v>12.707310118398192</v>
      </c>
      <c r="H181" s="19">
        <f ca="1">G181*Inputs!$B$40</f>
        <v>16.646576255101632</v>
      </c>
      <c r="I181" s="19">
        <f ca="1">MAX(-Inputs!$B$8,MIN(Inputs!$B$8,H181))</f>
        <v>16.646576255101632</v>
      </c>
    </row>
    <row r="182" spans="1:9" x14ac:dyDescent="0.25">
      <c r="A182" s="16">
        <f>Rules!A182</f>
        <v>179</v>
      </c>
      <c r="B182" s="17">
        <f>Rules!B182</f>
        <v>46120</v>
      </c>
      <c r="C182" s="18">
        <f ca="1">Rules!I182</f>
        <v>17.131548857236304</v>
      </c>
      <c r="D182" s="18">
        <f ca="1">Rules!M182</f>
        <v>20</v>
      </c>
      <c r="E182" s="18">
        <f ca="1">Rules!Q182</f>
        <v>3.9985553654811863</v>
      </c>
      <c r="F182" s="18">
        <f ca="1">Rules!R182</f>
        <v>14.785394750546816</v>
      </c>
      <c r="G182" s="19">
        <f ca="1">C182*Inputs!$B$35+D182*Inputs!$B$36+E182*Inputs!$B$37+F182*Inputs!$B$38</f>
        <v>12.900190804809514</v>
      </c>
      <c r="H182" s="19">
        <f ca="1">G182*Inputs!$B$40</f>
        <v>16.899249954300462</v>
      </c>
      <c r="I182" s="19">
        <f ca="1">MAX(-Inputs!$B$8,MIN(Inputs!$B$8,H182))</f>
        <v>16.899249954300462</v>
      </c>
    </row>
    <row r="183" spans="1:9" x14ac:dyDescent="0.25">
      <c r="A183" s="16">
        <f>Rules!A183</f>
        <v>180</v>
      </c>
      <c r="B183" s="17">
        <f>Rules!B183</f>
        <v>46121</v>
      </c>
      <c r="C183" s="18">
        <f ca="1">Rules!I183</f>
        <v>17.859287324500382</v>
      </c>
      <c r="D183" s="18">
        <f ca="1">Rules!M183</f>
        <v>20</v>
      </c>
      <c r="E183" s="18">
        <f ca="1">Rules!Q183</f>
        <v>4.0802013238578674</v>
      </c>
      <c r="F183" s="18">
        <f ca="1">Rules!R183</f>
        <v>12.079884907822088</v>
      </c>
      <c r="G183" s="19">
        <f ca="1">C183*Inputs!$B$35+D183*Inputs!$B$36+E183*Inputs!$B$37+F183*Inputs!$B$38</f>
        <v>12.704875030648664</v>
      </c>
      <c r="H183" s="19">
        <f ca="1">G183*Inputs!$B$40</f>
        <v>16.643386290149749</v>
      </c>
      <c r="I183" s="19">
        <f ca="1">MAX(-Inputs!$B$8,MIN(Inputs!$B$8,H183))</f>
        <v>16.643386290149749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83"/>
  <sheetViews>
    <sheetView zoomScaleNormal="100" workbookViewId="0">
      <pane xSplit="3" ySplit="3" topLeftCell="D179" activePane="bottomRight" state="frozen"/>
      <selection pane="topRight" activeCell="D1" sqref="D1"/>
      <selection pane="bottomLeft" activeCell="A4" sqref="A4"/>
      <selection pane="bottomRight" activeCell="E183" sqref="E183"/>
    </sheetView>
  </sheetViews>
  <sheetFormatPr defaultColWidth="8.7109375" defaultRowHeight="15" x14ac:dyDescent="0.25"/>
  <cols>
    <col min="1" max="3" width="12" customWidth="1"/>
    <col min="4" max="11" width="14" customWidth="1"/>
  </cols>
  <sheetData>
    <row r="1" spans="1:11" ht="19.5" customHeight="1" x14ac:dyDescent="0.25">
      <c r="A1" s="1" t="s">
        <v>118</v>
      </c>
      <c r="B1" s="4"/>
      <c r="C1" s="4"/>
      <c r="D1" s="4"/>
      <c r="E1" s="4"/>
      <c r="F1" s="4"/>
      <c r="G1" s="4"/>
      <c r="H1" s="4"/>
      <c r="I1" s="4"/>
      <c r="J1" s="4"/>
      <c r="K1" s="4"/>
    </row>
    <row r="3" spans="1:11" ht="25.5" x14ac:dyDescent="0.25">
      <c r="A3" s="13" t="s">
        <v>87</v>
      </c>
      <c r="B3" s="13" t="s">
        <v>88</v>
      </c>
      <c r="C3" s="13" t="s">
        <v>89</v>
      </c>
      <c r="D3" s="13" t="s">
        <v>119</v>
      </c>
      <c r="E3" s="13" t="s">
        <v>120</v>
      </c>
      <c r="F3" s="13" t="s">
        <v>121</v>
      </c>
      <c r="G3" s="13" t="s">
        <v>122</v>
      </c>
      <c r="H3" s="13" t="s">
        <v>123</v>
      </c>
      <c r="I3" s="13" t="s">
        <v>124</v>
      </c>
      <c r="J3" s="13" t="s">
        <v>125</v>
      </c>
      <c r="K3" s="13" t="s">
        <v>126</v>
      </c>
    </row>
    <row r="4" spans="1:11" x14ac:dyDescent="0.25">
      <c r="A4" s="16">
        <f>Prices!A4</f>
        <v>1</v>
      </c>
      <c r="B4" s="17">
        <f>Prices!B4</f>
        <v>45870</v>
      </c>
      <c r="C4" s="18">
        <f>Prices!C4</f>
        <v>2400</v>
      </c>
      <c r="D4" s="22">
        <f>Prices!G4</f>
        <v>0</v>
      </c>
      <c r="E4" s="18">
        <f>Combine!I4</f>
        <v>0</v>
      </c>
      <c r="F4" s="19"/>
      <c r="G4" s="19"/>
      <c r="H4" s="19"/>
      <c r="I4" s="19"/>
      <c r="J4" s="19"/>
      <c r="K4" s="19"/>
    </row>
    <row r="5" spans="1:11" x14ac:dyDescent="0.25">
      <c r="A5" s="16">
        <f>Prices!A5</f>
        <v>2</v>
      </c>
      <c r="B5" s="17">
        <f>Prices!B5</f>
        <v>45873</v>
      </c>
      <c r="C5" s="18">
        <f>Prices!C5</f>
        <v>2399.42</v>
      </c>
      <c r="D5" s="22">
        <f>Prices!G5</f>
        <v>0</v>
      </c>
      <c r="E5" s="18">
        <f>Combine!I5</f>
        <v>0</v>
      </c>
      <c r="F5" s="19"/>
      <c r="G5" s="19"/>
      <c r="H5" s="19"/>
      <c r="I5" s="19"/>
      <c r="J5" s="19"/>
      <c r="K5" s="19"/>
    </row>
    <row r="6" spans="1:11" x14ac:dyDescent="0.25">
      <c r="A6" s="16">
        <f>Prices!A6</f>
        <v>3</v>
      </c>
      <c r="B6" s="17">
        <f>Prices!B6</f>
        <v>45874</v>
      </c>
      <c r="C6" s="18">
        <f>Prices!C6</f>
        <v>2398.15</v>
      </c>
      <c r="D6" s="22">
        <f>Prices!G6</f>
        <v>0</v>
      </c>
      <c r="E6" s="18">
        <f>Combine!I6</f>
        <v>0</v>
      </c>
      <c r="F6" s="19"/>
      <c r="G6" s="19"/>
      <c r="H6" s="19"/>
      <c r="I6" s="19"/>
      <c r="J6" s="19"/>
      <c r="K6" s="19"/>
    </row>
    <row r="7" spans="1:11" x14ac:dyDescent="0.25">
      <c r="A7" s="16">
        <f>Prices!A7</f>
        <v>4</v>
      </c>
      <c r="B7" s="17">
        <f>Prices!B7</f>
        <v>45875</v>
      </c>
      <c r="C7" s="18">
        <f>Prices!C7</f>
        <v>2398.36</v>
      </c>
      <c r="D7" s="22">
        <f>Prices!G7</f>
        <v>0</v>
      </c>
      <c r="E7" s="18">
        <f>Combine!I7</f>
        <v>0</v>
      </c>
      <c r="F7" s="19"/>
      <c r="G7" s="19"/>
      <c r="H7" s="19"/>
      <c r="I7" s="19"/>
      <c r="J7" s="19"/>
      <c r="K7" s="19"/>
    </row>
    <row r="8" spans="1:11" x14ac:dyDescent="0.25">
      <c r="A8" s="16">
        <f>Prices!A8</f>
        <v>5</v>
      </c>
      <c r="B8" s="17">
        <f>Prices!B8</f>
        <v>45876</v>
      </c>
      <c r="C8" s="18">
        <f>Prices!C8</f>
        <v>2418.0700000000002</v>
      </c>
      <c r="D8" s="22">
        <f>Prices!G8</f>
        <v>0</v>
      </c>
      <c r="E8" s="18">
        <f>Combine!I8</f>
        <v>0</v>
      </c>
      <c r="F8" s="19"/>
      <c r="G8" s="19"/>
      <c r="H8" s="19"/>
      <c r="I8" s="19"/>
      <c r="J8" s="19"/>
      <c r="K8" s="19"/>
    </row>
    <row r="9" spans="1:11" x14ac:dyDescent="0.25">
      <c r="A9" s="16">
        <f>Prices!A9</f>
        <v>6</v>
      </c>
      <c r="B9" s="17">
        <f>Prices!B9</f>
        <v>45877</v>
      </c>
      <c r="C9" s="18">
        <f>Prices!C9</f>
        <v>2417.89</v>
      </c>
      <c r="D9" s="22">
        <f>Prices!G9</f>
        <v>0</v>
      </c>
      <c r="E9" s="18">
        <f>Combine!I9</f>
        <v>0</v>
      </c>
      <c r="F9" s="19"/>
      <c r="G9" s="19"/>
      <c r="H9" s="19"/>
      <c r="I9" s="19"/>
      <c r="J9" s="19"/>
      <c r="K9" s="19"/>
    </row>
    <row r="10" spans="1:11" x14ac:dyDescent="0.25">
      <c r="A10" s="16">
        <f>Prices!A10</f>
        <v>7</v>
      </c>
      <c r="B10" s="17">
        <f>Prices!B10</f>
        <v>45880</v>
      </c>
      <c r="C10" s="18">
        <f>Prices!C10</f>
        <v>2384.59</v>
      </c>
      <c r="D10" s="22">
        <f>Prices!G10</f>
        <v>0</v>
      </c>
      <c r="E10" s="18">
        <f>Combine!I10</f>
        <v>0</v>
      </c>
      <c r="F10" s="19"/>
      <c r="G10" s="19"/>
      <c r="H10" s="19"/>
      <c r="I10" s="19"/>
      <c r="J10" s="19"/>
      <c r="K10" s="19"/>
    </row>
    <row r="11" spans="1:11" x14ac:dyDescent="0.25">
      <c r="A11" s="16">
        <f>Prices!A11</f>
        <v>8</v>
      </c>
      <c r="B11" s="17">
        <f>Prices!B11</f>
        <v>45881</v>
      </c>
      <c r="C11" s="18">
        <f>Prices!C11</f>
        <v>2395.37</v>
      </c>
      <c r="D11" s="22">
        <f>Prices!G11</f>
        <v>0</v>
      </c>
      <c r="E11" s="18">
        <f>Combine!I11</f>
        <v>0</v>
      </c>
      <c r="F11" s="19"/>
      <c r="G11" s="19"/>
      <c r="H11" s="19"/>
      <c r="I11" s="19"/>
      <c r="J11" s="19"/>
      <c r="K11" s="19"/>
    </row>
    <row r="12" spans="1:11" x14ac:dyDescent="0.25">
      <c r="A12" s="16">
        <f>Prices!A12</f>
        <v>9</v>
      </c>
      <c r="B12" s="17">
        <f>Prices!B12</f>
        <v>45882</v>
      </c>
      <c r="C12" s="18">
        <f>Prices!C12</f>
        <v>2391.85</v>
      </c>
      <c r="D12" s="22">
        <f>Prices!G12</f>
        <v>0</v>
      </c>
      <c r="E12" s="18">
        <f>Combine!I12</f>
        <v>0</v>
      </c>
      <c r="F12" s="19"/>
      <c r="G12" s="19"/>
      <c r="H12" s="19"/>
      <c r="I12" s="19"/>
      <c r="J12" s="19"/>
      <c r="K12" s="19"/>
    </row>
    <row r="13" spans="1:11" x14ac:dyDescent="0.25">
      <c r="A13" s="16">
        <f>Prices!A13</f>
        <v>10</v>
      </c>
      <c r="B13" s="17">
        <f>Prices!B13</f>
        <v>45883</v>
      </c>
      <c r="C13" s="18">
        <f>Prices!C13</f>
        <v>2389.5300000000002</v>
      </c>
      <c r="D13" s="22">
        <f>Prices!G13</f>
        <v>0</v>
      </c>
      <c r="E13" s="18">
        <f>Combine!I13</f>
        <v>0</v>
      </c>
      <c r="F13" s="19"/>
      <c r="G13" s="19"/>
      <c r="H13" s="19"/>
      <c r="I13" s="19"/>
      <c r="J13" s="19"/>
      <c r="K13" s="19"/>
    </row>
    <row r="14" spans="1:11" x14ac:dyDescent="0.25">
      <c r="A14" s="16">
        <f>Prices!A14</f>
        <v>11</v>
      </c>
      <c r="B14" s="17">
        <f>Prices!B14</f>
        <v>45884</v>
      </c>
      <c r="C14" s="18">
        <f>Prices!C14</f>
        <v>2395.16</v>
      </c>
      <c r="D14" s="22">
        <f ca="1">Prices!G14</f>
        <v>5.518588412420338E-3</v>
      </c>
      <c r="E14" s="18">
        <f>Combine!I14</f>
        <v>0</v>
      </c>
      <c r="F14" s="19"/>
      <c r="G14" s="19"/>
      <c r="H14" s="19"/>
      <c r="I14" s="19"/>
      <c r="J14" s="19"/>
      <c r="K14" s="19"/>
    </row>
    <row r="15" spans="1:11" x14ac:dyDescent="0.25">
      <c r="A15" s="16">
        <f>Prices!A15</f>
        <v>12</v>
      </c>
      <c r="B15" s="17">
        <f>Prices!B15</f>
        <v>45887</v>
      </c>
      <c r="C15" s="18">
        <f>Prices!C15</f>
        <v>2403.6</v>
      </c>
      <c r="D15" s="22">
        <f ca="1">Prices!G15</f>
        <v>6.0988385845960049E-3</v>
      </c>
      <c r="E15" s="18">
        <f>Combine!I15</f>
        <v>0</v>
      </c>
      <c r="F15" s="19"/>
      <c r="G15" s="19"/>
      <c r="H15" s="19"/>
      <c r="I15" s="19"/>
      <c r="J15" s="19"/>
      <c r="K15" s="19"/>
    </row>
    <row r="16" spans="1:11" x14ac:dyDescent="0.25">
      <c r="A16" s="16">
        <f>Prices!A16</f>
        <v>13</v>
      </c>
      <c r="B16" s="17">
        <f>Prices!B16</f>
        <v>45888</v>
      </c>
      <c r="C16" s="18">
        <f>Prices!C16</f>
        <v>2434.4499999999998</v>
      </c>
      <c r="D16" s="22">
        <f ca="1">Prices!G16</f>
        <v>6.3659837526373548E-3</v>
      </c>
      <c r="E16" s="18">
        <f>Combine!I16</f>
        <v>0</v>
      </c>
      <c r="F16" s="19"/>
      <c r="G16" s="19"/>
      <c r="H16" s="19"/>
      <c r="I16" s="19"/>
      <c r="J16" s="19"/>
      <c r="K16" s="19"/>
    </row>
    <row r="17" spans="1:11" x14ac:dyDescent="0.25">
      <c r="A17" s="16">
        <f>Prices!A17</f>
        <v>14</v>
      </c>
      <c r="B17" s="17">
        <f>Prices!B17</f>
        <v>45889</v>
      </c>
      <c r="C17" s="18">
        <f>Prices!C17</f>
        <v>2453.36</v>
      </c>
      <c r="D17" s="22">
        <f ca="1">Prices!G17</f>
        <v>6.1909813961074645E-3</v>
      </c>
      <c r="E17" s="18">
        <f>Combine!I17</f>
        <v>0</v>
      </c>
      <c r="F17" s="19"/>
      <c r="G17" s="19"/>
      <c r="H17" s="19"/>
      <c r="I17" s="19"/>
      <c r="J17" s="19"/>
      <c r="K17" s="19"/>
    </row>
    <row r="18" spans="1:11" x14ac:dyDescent="0.25">
      <c r="A18" s="16">
        <f>Prices!A18</f>
        <v>15</v>
      </c>
      <c r="B18" s="17">
        <f>Prices!B18</f>
        <v>45890</v>
      </c>
      <c r="C18" s="18">
        <f>Prices!C18</f>
        <v>2459.0100000000002</v>
      </c>
      <c r="D18" s="22">
        <f ca="1">Prices!G18</f>
        <v>6.2031055204156416E-3</v>
      </c>
      <c r="E18" s="18">
        <f>Combine!I18</f>
        <v>0</v>
      </c>
      <c r="F18" s="19"/>
      <c r="G18" s="19"/>
      <c r="H18" s="19"/>
      <c r="I18" s="19"/>
      <c r="J18" s="19"/>
      <c r="K18" s="19"/>
    </row>
    <row r="19" spans="1:11" x14ac:dyDescent="0.25">
      <c r="A19" s="16">
        <f>Prices!A19</f>
        <v>16</v>
      </c>
      <c r="B19" s="17">
        <f>Prices!B19</f>
        <v>45891</v>
      </c>
      <c r="C19" s="18">
        <f>Prices!C19</f>
        <v>2443.81</v>
      </c>
      <c r="D19" s="22">
        <f ca="1">Prices!G19</f>
        <v>6.451969457828409E-3</v>
      </c>
      <c r="E19" s="18">
        <f>Combine!I19</f>
        <v>0</v>
      </c>
      <c r="F19" s="19"/>
      <c r="G19" s="19"/>
      <c r="H19" s="19"/>
      <c r="I19" s="19"/>
      <c r="J19" s="19"/>
      <c r="K19" s="19"/>
    </row>
    <row r="20" spans="1:11" x14ac:dyDescent="0.25">
      <c r="A20" s="16">
        <f>Prices!A20</f>
        <v>17</v>
      </c>
      <c r="B20" s="17">
        <f>Prices!B20</f>
        <v>45894</v>
      </c>
      <c r="C20" s="18">
        <f>Prices!C20</f>
        <v>2421.9499999999998</v>
      </c>
      <c r="D20" s="22">
        <f ca="1">Prices!G20</f>
        <v>6.4279075576873399E-3</v>
      </c>
      <c r="E20" s="18">
        <f>Combine!I20</f>
        <v>0</v>
      </c>
      <c r="F20" s="19"/>
      <c r="G20" s="19"/>
      <c r="H20" s="19"/>
      <c r="I20" s="19"/>
      <c r="J20" s="19"/>
      <c r="K20" s="19"/>
    </row>
    <row r="21" spans="1:11" x14ac:dyDescent="0.25">
      <c r="A21" s="16">
        <f>Prices!A21</f>
        <v>18</v>
      </c>
      <c r="B21" s="17">
        <f>Prices!B21</f>
        <v>45895</v>
      </c>
      <c r="C21" s="18">
        <f>Prices!C21</f>
        <v>2430.8200000000002</v>
      </c>
      <c r="D21" s="22">
        <f ca="1">Prices!G21</f>
        <v>6.7876568262940458E-3</v>
      </c>
      <c r="E21" s="18">
        <f>Combine!I21</f>
        <v>0</v>
      </c>
      <c r="F21" s="19"/>
      <c r="G21" s="19"/>
      <c r="H21" s="19"/>
      <c r="I21" s="19"/>
      <c r="J21" s="19"/>
      <c r="K21" s="19"/>
    </row>
    <row r="22" spans="1:11" x14ac:dyDescent="0.25">
      <c r="A22" s="16">
        <f>Prices!A22</f>
        <v>19</v>
      </c>
      <c r="B22" s="17">
        <f>Prices!B22</f>
        <v>45896</v>
      </c>
      <c r="C22" s="18">
        <f>Prices!C22</f>
        <v>2465.61</v>
      </c>
      <c r="D22" s="22">
        <f ca="1">Prices!G22</f>
        <v>6.825627313258021E-3</v>
      </c>
      <c r="E22" s="18">
        <f>Combine!I22</f>
        <v>0</v>
      </c>
      <c r="F22" s="19"/>
      <c r="G22" s="19"/>
      <c r="H22" s="19"/>
      <c r="I22" s="19"/>
      <c r="J22" s="19"/>
      <c r="K22" s="19"/>
    </row>
    <row r="23" spans="1:11" x14ac:dyDescent="0.25">
      <c r="A23" s="16">
        <f>Prices!A23</f>
        <v>20</v>
      </c>
      <c r="B23" s="17">
        <f>Prices!B23</f>
        <v>45897</v>
      </c>
      <c r="C23" s="18">
        <f>Prices!C23</f>
        <v>2469.59</v>
      </c>
      <c r="D23" s="22">
        <f ca="1">Prices!G23</f>
        <v>6.6455748789833197E-3</v>
      </c>
      <c r="E23" s="18">
        <f>Combine!I23</f>
        <v>0</v>
      </c>
      <c r="F23" s="19"/>
      <c r="G23" s="19"/>
      <c r="H23" s="19"/>
      <c r="I23" s="19"/>
      <c r="J23" s="19"/>
      <c r="K23" s="19"/>
    </row>
    <row r="24" spans="1:11" x14ac:dyDescent="0.25">
      <c r="A24" s="16">
        <f>Prices!A24</f>
        <v>21</v>
      </c>
      <c r="B24" s="17">
        <f>Prices!B24</f>
        <v>45898</v>
      </c>
      <c r="C24" s="18">
        <f>Prices!C24</f>
        <v>2469.9299999999998</v>
      </c>
      <c r="D24" s="22">
        <f ca="1">Prices!G24</f>
        <v>6.5426941573961984E-3</v>
      </c>
      <c r="E24" s="18">
        <f>Combine!I24</f>
        <v>0</v>
      </c>
      <c r="F24" s="19"/>
      <c r="G24" s="19"/>
      <c r="H24" s="19"/>
      <c r="I24" s="19"/>
      <c r="J24" s="19"/>
      <c r="K24" s="19"/>
    </row>
    <row r="25" spans="1:11" x14ac:dyDescent="0.25">
      <c r="A25" s="16">
        <f>Prices!A25</f>
        <v>22</v>
      </c>
      <c r="B25" s="17">
        <f>Prices!B25</f>
        <v>45901</v>
      </c>
      <c r="C25" s="18">
        <f>Prices!C25</f>
        <v>2486.0300000000002</v>
      </c>
      <c r="D25" s="22">
        <f ca="1">Prices!G25</f>
        <v>6.943948277898496E-3</v>
      </c>
      <c r="E25" s="18">
        <f>Combine!I25</f>
        <v>0</v>
      </c>
      <c r="F25" s="19"/>
      <c r="G25" s="19"/>
      <c r="H25" s="19"/>
      <c r="I25" s="19"/>
      <c r="J25" s="19"/>
      <c r="K25" s="19"/>
    </row>
    <row r="26" spans="1:11" x14ac:dyDescent="0.25">
      <c r="A26" s="16">
        <f>Prices!A26</f>
        <v>23</v>
      </c>
      <c r="B26" s="17">
        <f>Prices!B26</f>
        <v>45902</v>
      </c>
      <c r="C26" s="18">
        <f>Prices!C26</f>
        <v>2452.88</v>
      </c>
      <c r="D26" s="22">
        <f ca="1">Prices!G26</f>
        <v>7.0294482390968922E-3</v>
      </c>
      <c r="E26" s="18">
        <f>Combine!I26</f>
        <v>0</v>
      </c>
      <c r="F26" s="19"/>
      <c r="G26" s="19"/>
      <c r="H26" s="19"/>
      <c r="I26" s="19"/>
      <c r="J26" s="19"/>
      <c r="K26" s="19"/>
    </row>
    <row r="27" spans="1:11" x14ac:dyDescent="0.25">
      <c r="A27" s="16">
        <f>Prices!A27</f>
        <v>24</v>
      </c>
      <c r="B27" s="17">
        <f>Prices!B27</f>
        <v>45903</v>
      </c>
      <c r="C27" s="18">
        <f>Prices!C27</f>
        <v>2448.16</v>
      </c>
      <c r="D27" s="22">
        <f ca="1">Prices!G27</f>
        <v>6.9385354631726192E-3</v>
      </c>
      <c r="E27" s="18">
        <f>Combine!I27</f>
        <v>0</v>
      </c>
      <c r="F27" s="19"/>
      <c r="G27" s="19"/>
      <c r="H27" s="19"/>
      <c r="I27" s="19"/>
      <c r="J27" s="19"/>
      <c r="K27" s="19"/>
    </row>
    <row r="28" spans="1:11" x14ac:dyDescent="0.25">
      <c r="A28" s="16">
        <f>Prices!A28</f>
        <v>25</v>
      </c>
      <c r="B28" s="17">
        <f>Prices!B28</f>
        <v>45904</v>
      </c>
      <c r="C28" s="18">
        <f>Prices!C28</f>
        <v>2463.1</v>
      </c>
      <c r="D28" s="22">
        <f ca="1">Prices!G28</f>
        <v>6.9737635459393805E-3</v>
      </c>
      <c r="E28" s="18">
        <f>Combine!I28</f>
        <v>0</v>
      </c>
      <c r="F28" s="19"/>
      <c r="G28" s="19"/>
      <c r="H28" s="19"/>
      <c r="I28" s="19"/>
      <c r="J28" s="19"/>
      <c r="K28" s="19"/>
    </row>
    <row r="29" spans="1:11" x14ac:dyDescent="0.25">
      <c r="A29" s="16">
        <f>Prices!A29</f>
        <v>26</v>
      </c>
      <c r="B29" s="17">
        <f>Prices!B29</f>
        <v>45905</v>
      </c>
      <c r="C29" s="18">
        <f>Prices!C29</f>
        <v>2487.5700000000002</v>
      </c>
      <c r="D29" s="22">
        <f ca="1">Prices!G29</f>
        <v>6.9129582953983363E-3</v>
      </c>
      <c r="E29" s="18">
        <f>Combine!I29</f>
        <v>0</v>
      </c>
      <c r="F29" s="19"/>
      <c r="G29" s="19"/>
      <c r="H29" s="19"/>
      <c r="I29" s="19"/>
      <c r="J29" s="19"/>
      <c r="K29" s="19"/>
    </row>
    <row r="30" spans="1:11" x14ac:dyDescent="0.25">
      <c r="A30" s="16">
        <f>Prices!A30</f>
        <v>27</v>
      </c>
      <c r="B30" s="17">
        <f>Prices!B30</f>
        <v>45908</v>
      </c>
      <c r="C30" s="18">
        <f>Prices!C30</f>
        <v>2484.5700000000002</v>
      </c>
      <c r="D30" s="22">
        <f ca="1">Prices!G30</f>
        <v>6.8080307565408487E-3</v>
      </c>
      <c r="E30" s="18">
        <f>Combine!I30</f>
        <v>0</v>
      </c>
      <c r="F30" s="19"/>
      <c r="G30" s="19"/>
      <c r="H30" s="19"/>
      <c r="I30" s="19"/>
      <c r="J30" s="19"/>
      <c r="K30" s="19"/>
    </row>
    <row r="31" spans="1:11" x14ac:dyDescent="0.25">
      <c r="A31" s="16">
        <f>Prices!A31</f>
        <v>28</v>
      </c>
      <c r="B31" s="17">
        <f>Prices!B31</f>
        <v>45909</v>
      </c>
      <c r="C31" s="18">
        <f>Prices!C31</f>
        <v>2496.91</v>
      </c>
      <c r="D31" s="22">
        <f ca="1">Prices!G31</f>
        <v>6.6989977682848974E-3</v>
      </c>
      <c r="E31" s="18">
        <f>Combine!I31</f>
        <v>0</v>
      </c>
      <c r="F31" s="19"/>
      <c r="G31" s="19"/>
      <c r="H31" s="19"/>
      <c r="I31" s="19"/>
      <c r="J31" s="19"/>
      <c r="K31" s="19"/>
    </row>
    <row r="32" spans="1:11" x14ac:dyDescent="0.25">
      <c r="A32" s="16">
        <f>Prices!A32</f>
        <v>29</v>
      </c>
      <c r="B32" s="17">
        <f>Prices!B32</f>
        <v>45910</v>
      </c>
      <c r="C32" s="18">
        <f>Prices!C32</f>
        <v>2506.1</v>
      </c>
      <c r="D32" s="22">
        <f ca="1">Prices!G32</f>
        <v>6.682128405431904E-3</v>
      </c>
      <c r="E32" s="18">
        <f>Combine!I32</f>
        <v>0</v>
      </c>
      <c r="F32" s="19"/>
      <c r="G32" s="19"/>
      <c r="H32" s="19"/>
      <c r="I32" s="19"/>
      <c r="J32" s="19"/>
      <c r="K32" s="19"/>
    </row>
    <row r="33" spans="1:11" x14ac:dyDescent="0.25">
      <c r="A33" s="16">
        <f>Prices!A33</f>
        <v>30</v>
      </c>
      <c r="B33" s="17">
        <f>Prices!B33</f>
        <v>45911</v>
      </c>
      <c r="C33" s="18">
        <f>Prices!C33</f>
        <v>2528.71</v>
      </c>
      <c r="D33" s="22">
        <f ca="1">Prices!G33</f>
        <v>6.8471197543847565E-3</v>
      </c>
      <c r="E33" s="18">
        <f>Combine!I33</f>
        <v>0</v>
      </c>
      <c r="F33" s="19"/>
      <c r="G33" s="19"/>
      <c r="H33" s="19"/>
      <c r="I33" s="19"/>
      <c r="J33" s="19"/>
      <c r="K33" s="19"/>
    </row>
    <row r="34" spans="1:11" x14ac:dyDescent="0.25">
      <c r="A34" s="16">
        <f>Prices!A34</f>
        <v>31</v>
      </c>
      <c r="B34" s="17">
        <f>Prices!B34</f>
        <v>45912</v>
      </c>
      <c r="C34" s="18">
        <f>Prices!C34</f>
        <v>2503.6</v>
      </c>
      <c r="D34" s="22">
        <f ca="1">Prices!G34</f>
        <v>6.8823629518016422E-3</v>
      </c>
      <c r="E34" s="18">
        <f>Combine!I34</f>
        <v>0</v>
      </c>
      <c r="F34" s="19"/>
      <c r="G34" s="19"/>
      <c r="H34" s="19"/>
      <c r="I34" s="19"/>
      <c r="J34" s="19"/>
      <c r="K34" s="19"/>
    </row>
    <row r="35" spans="1:11" x14ac:dyDescent="0.25">
      <c r="A35" s="16">
        <f>Prices!A35</f>
        <v>32</v>
      </c>
      <c r="B35" s="17">
        <f>Prices!B35</f>
        <v>45915</v>
      </c>
      <c r="C35" s="18">
        <f>Prices!C35</f>
        <v>2520.83</v>
      </c>
      <c r="D35" s="22">
        <f ca="1">Prices!G35</f>
        <v>7.1668860042558812E-3</v>
      </c>
      <c r="E35" s="18">
        <f>Combine!I35</f>
        <v>0</v>
      </c>
      <c r="F35" s="19"/>
      <c r="G35" s="19"/>
      <c r="H35" s="19"/>
      <c r="I35" s="19"/>
      <c r="J35" s="19"/>
      <c r="K35" s="19"/>
    </row>
    <row r="36" spans="1:11" x14ac:dyDescent="0.25">
      <c r="A36" s="16">
        <f>Prices!A36</f>
        <v>33</v>
      </c>
      <c r="B36" s="17">
        <f>Prices!B36</f>
        <v>45916</v>
      </c>
      <c r="C36" s="18">
        <f>Prices!C36</f>
        <v>2485.6799999999998</v>
      </c>
      <c r="D36" s="22">
        <f ca="1">Prices!G36</f>
        <v>8.1375100369855749E-3</v>
      </c>
      <c r="E36" s="18">
        <f>Combine!I36</f>
        <v>0</v>
      </c>
      <c r="F36" s="19"/>
      <c r="G36" s="19"/>
      <c r="H36" s="19"/>
      <c r="I36" s="19"/>
      <c r="J36" s="19"/>
      <c r="K36" s="19"/>
    </row>
    <row r="37" spans="1:11" x14ac:dyDescent="0.25">
      <c r="A37" s="16">
        <f>Prices!A37</f>
        <v>34</v>
      </c>
      <c r="B37" s="17">
        <f>Prices!B37</f>
        <v>45917</v>
      </c>
      <c r="C37" s="18">
        <f>Prices!C37</f>
        <v>2423.54</v>
      </c>
      <c r="D37" s="22">
        <f ca="1">Prices!G37</f>
        <v>8.4410248450996327E-3</v>
      </c>
      <c r="E37" s="18">
        <f>Combine!I37</f>
        <v>0</v>
      </c>
      <c r="F37" s="19"/>
      <c r="G37" s="19"/>
      <c r="H37" s="19"/>
      <c r="I37" s="19"/>
      <c r="J37" s="19"/>
      <c r="K37" s="19"/>
    </row>
    <row r="38" spans="1:11" x14ac:dyDescent="0.25">
      <c r="A38" s="16">
        <f>Prices!A38</f>
        <v>35</v>
      </c>
      <c r="B38" s="17">
        <f>Prices!B38</f>
        <v>45918</v>
      </c>
      <c r="C38" s="18">
        <f>Prices!C38</f>
        <v>2411.7399999999998</v>
      </c>
      <c r="D38" s="22">
        <f ca="1">Prices!G38</f>
        <v>8.408378076550236E-3</v>
      </c>
      <c r="E38" s="18">
        <f>Combine!I38</f>
        <v>0</v>
      </c>
      <c r="F38" s="19"/>
      <c r="G38" s="19"/>
      <c r="H38" s="19"/>
      <c r="I38" s="19"/>
      <c r="J38" s="19"/>
      <c r="K38" s="19"/>
    </row>
    <row r="39" spans="1:11" x14ac:dyDescent="0.25">
      <c r="A39" s="16">
        <f>Prices!A39</f>
        <v>36</v>
      </c>
      <c r="B39" s="17">
        <f>Prices!B39</f>
        <v>45919</v>
      </c>
      <c r="C39" s="18">
        <f>Prices!C39</f>
        <v>2392.54</v>
      </c>
      <c r="D39" s="22">
        <f ca="1">Prices!G39</f>
        <v>8.404978238144168E-3</v>
      </c>
      <c r="E39" s="18">
        <f>Combine!I39</f>
        <v>0</v>
      </c>
      <c r="F39" s="19"/>
      <c r="G39" s="19"/>
      <c r="H39" s="19"/>
      <c r="I39" s="19"/>
      <c r="J39" s="19"/>
      <c r="K39" s="19"/>
    </row>
    <row r="40" spans="1:11" x14ac:dyDescent="0.25">
      <c r="A40" s="16">
        <f>Prices!A40</f>
        <v>37</v>
      </c>
      <c r="B40" s="17">
        <f>Prices!B40</f>
        <v>45922</v>
      </c>
      <c r="C40" s="18">
        <f>Prices!C40</f>
        <v>2416.37</v>
      </c>
      <c r="D40" s="22">
        <f ca="1">Prices!G40</f>
        <v>8.5366051519621001E-3</v>
      </c>
      <c r="E40" s="18">
        <f>Combine!I40</f>
        <v>0</v>
      </c>
      <c r="F40" s="19"/>
      <c r="G40" s="19"/>
      <c r="H40" s="19"/>
      <c r="I40" s="19"/>
      <c r="J40" s="19"/>
      <c r="K40" s="19"/>
    </row>
    <row r="41" spans="1:11" x14ac:dyDescent="0.25">
      <c r="A41" s="16">
        <f>Prices!A41</f>
        <v>38</v>
      </c>
      <c r="B41" s="17">
        <f>Prices!B41</f>
        <v>45923</v>
      </c>
      <c r="C41" s="18">
        <f>Prices!C41</f>
        <v>2435.3200000000002</v>
      </c>
      <c r="D41" s="22">
        <f ca="1">Prices!G41</f>
        <v>8.5952069363608025E-3</v>
      </c>
      <c r="E41" s="18">
        <f>Combine!I41</f>
        <v>0</v>
      </c>
      <c r="F41" s="19"/>
      <c r="G41" s="19"/>
      <c r="H41" s="19"/>
      <c r="I41" s="19"/>
      <c r="J41" s="19"/>
      <c r="K41" s="19"/>
    </row>
    <row r="42" spans="1:11" x14ac:dyDescent="0.25">
      <c r="A42" s="16">
        <f>Prices!A42</f>
        <v>39</v>
      </c>
      <c r="B42" s="17">
        <f>Prices!B42</f>
        <v>45924</v>
      </c>
      <c r="C42" s="18">
        <f>Prices!C42</f>
        <v>2408.56</v>
      </c>
      <c r="D42" s="22">
        <f ca="1">Prices!G42</f>
        <v>8.7718832624102371E-3</v>
      </c>
      <c r="E42" s="18">
        <f>Combine!I42</f>
        <v>0</v>
      </c>
      <c r="F42" s="19"/>
      <c r="G42" s="19"/>
      <c r="H42" s="19"/>
      <c r="I42" s="19"/>
      <c r="J42" s="19"/>
      <c r="K42" s="19"/>
    </row>
    <row r="43" spans="1:11" x14ac:dyDescent="0.25">
      <c r="A43" s="16">
        <f>Prices!A43</f>
        <v>40</v>
      </c>
      <c r="B43" s="17">
        <f>Prices!B43</f>
        <v>45925</v>
      </c>
      <c r="C43" s="18">
        <f>Prices!C43</f>
        <v>2431.86</v>
      </c>
      <c r="D43" s="22">
        <f ca="1">Prices!G43</f>
        <v>8.8089158521307068E-3</v>
      </c>
      <c r="E43" s="18">
        <f>Combine!I43</f>
        <v>0</v>
      </c>
      <c r="F43" s="19"/>
      <c r="G43" s="19"/>
      <c r="H43" s="19"/>
      <c r="I43" s="19"/>
      <c r="J43" s="19"/>
      <c r="K43" s="19"/>
    </row>
    <row r="44" spans="1:11" x14ac:dyDescent="0.25">
      <c r="A44" s="16">
        <f>Prices!A44</f>
        <v>41</v>
      </c>
      <c r="B44" s="17">
        <f>Prices!B44</f>
        <v>45926</v>
      </c>
      <c r="C44" s="18">
        <f>Prices!C44</f>
        <v>2410.4</v>
      </c>
      <c r="D44" s="22">
        <f ca="1">Prices!G44</f>
        <v>8.90392100662004E-3</v>
      </c>
      <c r="E44" s="18">
        <f>Combine!I44</f>
        <v>0</v>
      </c>
      <c r="F44" s="19"/>
      <c r="G44" s="19"/>
      <c r="H44" s="19"/>
      <c r="I44" s="19"/>
      <c r="J44" s="19"/>
      <c r="K44" s="19"/>
    </row>
    <row r="45" spans="1:11" x14ac:dyDescent="0.25">
      <c r="A45" s="16">
        <f>Prices!A45</f>
        <v>42</v>
      </c>
      <c r="B45" s="17">
        <f>Prices!B45</f>
        <v>45929</v>
      </c>
      <c r="C45" s="18">
        <f>Prices!C45</f>
        <v>2411.2199999999998</v>
      </c>
      <c r="D45" s="22">
        <f ca="1">Prices!G45</f>
        <v>8.6472387722317696E-3</v>
      </c>
      <c r="E45" s="18">
        <f>Combine!I45</f>
        <v>0</v>
      </c>
      <c r="F45" s="19"/>
      <c r="G45" s="19"/>
      <c r="H45" s="19"/>
      <c r="I45" s="19"/>
      <c r="J45" s="19"/>
      <c r="K45" s="19"/>
    </row>
    <row r="46" spans="1:11" x14ac:dyDescent="0.25">
      <c r="A46" s="16">
        <f>Prices!A46</f>
        <v>43</v>
      </c>
      <c r="B46" s="17">
        <f>Prices!B46</f>
        <v>45930</v>
      </c>
      <c r="C46" s="18">
        <f>Prices!C46</f>
        <v>2407.02</v>
      </c>
      <c r="D46" s="22">
        <f ca="1">Prices!G46</f>
        <v>8.6010514412090174E-3</v>
      </c>
      <c r="E46" s="18">
        <f>Combine!I46</f>
        <v>0</v>
      </c>
      <c r="F46" s="19"/>
      <c r="G46" s="19"/>
      <c r="H46" s="19"/>
      <c r="I46" s="19"/>
      <c r="J46" s="19"/>
      <c r="K46" s="19"/>
    </row>
    <row r="47" spans="1:11" x14ac:dyDescent="0.25">
      <c r="A47" s="16">
        <f>Prices!A47</f>
        <v>44</v>
      </c>
      <c r="B47" s="17">
        <f>Prices!B47</f>
        <v>45931</v>
      </c>
      <c r="C47" s="18">
        <f>Prices!C47</f>
        <v>2412.67</v>
      </c>
      <c r="D47" s="22">
        <f ca="1">Prices!G47</f>
        <v>8.5750668844909311E-3</v>
      </c>
      <c r="E47" s="18">
        <f>Combine!I47</f>
        <v>0</v>
      </c>
      <c r="F47" s="19"/>
      <c r="G47" s="19"/>
      <c r="H47" s="19"/>
      <c r="I47" s="19"/>
      <c r="J47" s="19"/>
      <c r="K47" s="19"/>
    </row>
    <row r="48" spans="1:11" x14ac:dyDescent="0.25">
      <c r="A48" s="16">
        <f>Prices!A48</f>
        <v>45</v>
      </c>
      <c r="B48" s="17">
        <f>Prices!B48</f>
        <v>45932</v>
      </c>
      <c r="C48" s="18">
        <f>Prices!C48</f>
        <v>2435.31</v>
      </c>
      <c r="D48" s="22">
        <f ca="1">Prices!G48</f>
        <v>8.6730858869335826E-3</v>
      </c>
      <c r="E48" s="18">
        <f>Combine!I48</f>
        <v>0</v>
      </c>
      <c r="F48" s="19"/>
      <c r="G48" s="19"/>
      <c r="H48" s="19"/>
      <c r="I48" s="19"/>
      <c r="J48" s="19"/>
      <c r="K48" s="19"/>
    </row>
    <row r="49" spans="1:11" x14ac:dyDescent="0.25">
      <c r="A49" s="16">
        <f>Prices!A49</f>
        <v>46</v>
      </c>
      <c r="B49" s="17">
        <f>Prices!B49</f>
        <v>45933</v>
      </c>
      <c r="C49" s="18">
        <f>Prices!C49</f>
        <v>2453.7800000000002</v>
      </c>
      <c r="D49" s="22">
        <f ca="1">Prices!G49</f>
        <v>8.7181471202525205E-3</v>
      </c>
      <c r="E49" s="18">
        <f ca="1">Combine!I49</f>
        <v>3.1184817583014497</v>
      </c>
      <c r="F49" s="23">
        <f>C49*Inputs!$B$11*Inputs!$B$12*0.01</f>
        <v>2453.7800000000002</v>
      </c>
      <c r="G49" s="23">
        <f ca="1">C49*Inputs!$B$11*Inputs!$B$12*D49</f>
        <v>2139.2415040733231</v>
      </c>
      <c r="H49" s="23">
        <f>Inputs!$B$4*Inputs!$B$5/SQRT(Inputs!$B$6)</f>
        <v>12500</v>
      </c>
      <c r="I49" s="19">
        <f t="shared" ref="I49:I80" ca="1" si="0">H49/G49</f>
        <v>5.8431925410005316</v>
      </c>
      <c r="J49" s="19">
        <f ca="1">I49*E49/Inputs!$B$7</f>
        <v>1.8221889349353255</v>
      </c>
      <c r="K49" s="24">
        <f t="shared" ref="K49:K80" ca="1" si="1">ROUND(J49,0)</f>
        <v>2</v>
      </c>
    </row>
    <row r="50" spans="1:11" x14ac:dyDescent="0.25">
      <c r="A50" s="16">
        <f>Prices!A50</f>
        <v>47</v>
      </c>
      <c r="B50" s="17">
        <f>Prices!B50</f>
        <v>45936</v>
      </c>
      <c r="C50" s="18">
        <f>Prices!C50</f>
        <v>2465.31</v>
      </c>
      <c r="D50" s="22">
        <f ca="1">Prices!G50</f>
        <v>8.7065534399990013E-3</v>
      </c>
      <c r="E50" s="18">
        <f ca="1">Combine!I50</f>
        <v>3.6809974334659512</v>
      </c>
      <c r="F50" s="23">
        <f>C50*Inputs!$B$11*Inputs!$B$12*0.01</f>
        <v>2465.31</v>
      </c>
      <c r="G50" s="23">
        <f ca="1">C50*Inputs!$B$11*Inputs!$B$12*D50</f>
        <v>2146.4353261163938</v>
      </c>
      <c r="H50" s="23">
        <f>Inputs!$B$4*Inputs!$B$5/SQRT(Inputs!$B$6)</f>
        <v>12500</v>
      </c>
      <c r="I50" s="19">
        <f t="shared" ca="1" si="0"/>
        <v>5.8236089612896018</v>
      </c>
      <c r="J50" s="19">
        <f ca="1">I50*E50/Inputs!$B$7</f>
        <v>2.143668964001634</v>
      </c>
      <c r="K50" s="24">
        <f t="shared" ca="1" si="1"/>
        <v>2</v>
      </c>
    </row>
    <row r="51" spans="1:11" x14ac:dyDescent="0.25">
      <c r="A51" s="16">
        <f>Prices!A51</f>
        <v>48</v>
      </c>
      <c r="B51" s="17">
        <f>Prices!B51</f>
        <v>45937</v>
      </c>
      <c r="C51" s="18">
        <f>Prices!C51</f>
        <v>2484.29</v>
      </c>
      <c r="D51" s="22">
        <f ca="1">Prices!G51</f>
        <v>8.5849767747639555E-3</v>
      </c>
      <c r="E51" s="18">
        <f ca="1">Combine!I51</f>
        <v>4.6331749502311554</v>
      </c>
      <c r="F51" s="23">
        <f>C51*Inputs!$B$11*Inputs!$B$12*0.01</f>
        <v>2484.29</v>
      </c>
      <c r="G51" s="23">
        <f ca="1">C51*Inputs!$B$11*Inputs!$B$12*D51</f>
        <v>2132.7571951778345</v>
      </c>
      <c r="H51" s="23">
        <f>Inputs!$B$4*Inputs!$B$5/SQRT(Inputs!$B$6)</f>
        <v>12500</v>
      </c>
      <c r="I51" s="19">
        <f t="shared" ca="1" si="0"/>
        <v>5.8609578381742224</v>
      </c>
      <c r="J51" s="19">
        <f ca="1">I51*E51/Inputs!$B$7</f>
        <v>2.7154843040189753</v>
      </c>
      <c r="K51" s="24">
        <f t="shared" ca="1" si="1"/>
        <v>3</v>
      </c>
    </row>
    <row r="52" spans="1:11" x14ac:dyDescent="0.25">
      <c r="A52" s="16">
        <f>Prices!A52</f>
        <v>49</v>
      </c>
      <c r="B52" s="17">
        <f>Prices!B52</f>
        <v>45938</v>
      </c>
      <c r="C52" s="18">
        <f>Prices!C52</f>
        <v>2499.16</v>
      </c>
      <c r="D52" s="22">
        <f ca="1">Prices!G52</f>
        <v>8.5429528694883905E-3</v>
      </c>
      <c r="E52" s="18">
        <f ca="1">Combine!I52</f>
        <v>5.4271943388865234</v>
      </c>
      <c r="F52" s="23">
        <f>C52*Inputs!$B$11*Inputs!$B$12*0.01</f>
        <v>2499.16</v>
      </c>
      <c r="G52" s="23">
        <f ca="1">C52*Inputs!$B$11*Inputs!$B$12*D52</f>
        <v>2135.0206093310608</v>
      </c>
      <c r="H52" s="23">
        <f>Inputs!$B$4*Inputs!$B$5/SQRT(Inputs!$B$6)</f>
        <v>12500</v>
      </c>
      <c r="I52" s="19">
        <f t="shared" ca="1" si="0"/>
        <v>5.854744420437453</v>
      </c>
      <c r="J52" s="19">
        <f ca="1">I52*E52/Inputs!$B$7</f>
        <v>3.1774835774225605</v>
      </c>
      <c r="K52" s="24">
        <f t="shared" ca="1" si="1"/>
        <v>3</v>
      </c>
    </row>
    <row r="53" spans="1:11" x14ac:dyDescent="0.25">
      <c r="A53" s="16">
        <f>Prices!A53</f>
        <v>50</v>
      </c>
      <c r="B53" s="17">
        <f>Prices!B53</f>
        <v>45939</v>
      </c>
      <c r="C53" s="18">
        <f>Prices!C53</f>
        <v>2486.4899999999998</v>
      </c>
      <c r="D53" s="22">
        <f ca="1">Prices!G53</f>
        <v>8.5629123563009148E-3</v>
      </c>
      <c r="E53" s="18">
        <f ca="1">Combine!I53</f>
        <v>5.0485918973691204</v>
      </c>
      <c r="F53" s="23">
        <f>C53*Inputs!$B$11*Inputs!$B$12*0.01</f>
        <v>2486.4899999999998</v>
      </c>
      <c r="G53" s="23">
        <f ca="1">C53*Inputs!$B$11*Inputs!$B$12*D53</f>
        <v>2129.159594481866</v>
      </c>
      <c r="H53" s="23">
        <f>Inputs!$B$4*Inputs!$B$5/SQRT(Inputs!$B$6)</f>
        <v>12500</v>
      </c>
      <c r="I53" s="19">
        <f t="shared" ca="1" si="0"/>
        <v>5.8708609877794968</v>
      </c>
      <c r="J53" s="19">
        <f ca="1">I53*E53/Inputs!$B$7</f>
        <v>2.9639581213484041</v>
      </c>
      <c r="K53" s="24">
        <f t="shared" ca="1" si="1"/>
        <v>3</v>
      </c>
    </row>
    <row r="54" spans="1:11" x14ac:dyDescent="0.25">
      <c r="A54" s="16">
        <f>Prices!A54</f>
        <v>51</v>
      </c>
      <c r="B54" s="17">
        <f>Prices!B54</f>
        <v>45940</v>
      </c>
      <c r="C54" s="18">
        <f>Prices!C54</f>
        <v>2471.64</v>
      </c>
      <c r="D54" s="22">
        <f ca="1">Prices!G54</f>
        <v>8.5518735329300159E-3</v>
      </c>
      <c r="E54" s="18">
        <f ca="1">Combine!I54</f>
        <v>4.4627487005020239</v>
      </c>
      <c r="F54" s="23">
        <f>C54*Inputs!$B$11*Inputs!$B$12*0.01</f>
        <v>2471.64</v>
      </c>
      <c r="G54" s="23">
        <f ca="1">C54*Inputs!$B$11*Inputs!$B$12*D54</f>
        <v>2113.7152698931145</v>
      </c>
      <c r="H54" s="23">
        <f>Inputs!$B$4*Inputs!$B$5/SQRT(Inputs!$B$6)</f>
        <v>12500</v>
      </c>
      <c r="I54" s="19">
        <f t="shared" ca="1" si="0"/>
        <v>5.9137577222650686</v>
      </c>
      <c r="J54" s="19">
        <f ca="1">I54*E54/Inputs!$B$7</f>
        <v>2.6391614590122243</v>
      </c>
      <c r="K54" s="24">
        <f t="shared" ca="1" si="1"/>
        <v>3</v>
      </c>
    </row>
    <row r="55" spans="1:11" x14ac:dyDescent="0.25">
      <c r="A55" s="16">
        <f>Prices!A55</f>
        <v>52</v>
      </c>
      <c r="B55" s="17">
        <f>Prices!B55</f>
        <v>45943</v>
      </c>
      <c r="C55" s="18">
        <f>Prices!C55</f>
        <v>2462.9899999999998</v>
      </c>
      <c r="D55" s="22">
        <f ca="1">Prices!G55</f>
        <v>8.448145599601652E-3</v>
      </c>
      <c r="E55" s="18">
        <f ca="1">Combine!I55</f>
        <v>4.1193335249001288</v>
      </c>
      <c r="F55" s="23">
        <f>C55*Inputs!$B$11*Inputs!$B$12*0.01</f>
        <v>2462.9899999999998</v>
      </c>
      <c r="G55" s="23">
        <f ca="1">C55*Inputs!$B$11*Inputs!$B$12*D55</f>
        <v>2080.7698130362869</v>
      </c>
      <c r="H55" s="23">
        <f>Inputs!$B$4*Inputs!$B$5/SQRT(Inputs!$B$6)</f>
        <v>12500</v>
      </c>
      <c r="I55" s="19">
        <f t="shared" ca="1" si="0"/>
        <v>6.0073920342778493</v>
      </c>
      <c r="J55" s="19">
        <f ca="1">I55*E55/Inputs!$B$7</f>
        <v>2.474645140401873</v>
      </c>
      <c r="K55" s="24">
        <f t="shared" ca="1" si="1"/>
        <v>2</v>
      </c>
    </row>
    <row r="56" spans="1:11" x14ac:dyDescent="0.25">
      <c r="A56" s="16">
        <f>Prices!A56</f>
        <v>53</v>
      </c>
      <c r="B56" s="17">
        <f>Prices!B56</f>
        <v>45944</v>
      </c>
      <c r="C56" s="18">
        <f>Prices!C56</f>
        <v>2478.2399999999998</v>
      </c>
      <c r="D56" s="22">
        <f ca="1">Prices!G56</f>
        <v>8.4624692655580862E-3</v>
      </c>
      <c r="E56" s="18">
        <f ca="1">Combine!I56</f>
        <v>4.769726494197946</v>
      </c>
      <c r="F56" s="23">
        <f>C56*Inputs!$B$11*Inputs!$B$12*0.01</f>
        <v>2478.2399999999998</v>
      </c>
      <c r="G56" s="23">
        <f ca="1">C56*Inputs!$B$11*Inputs!$B$12*D56</f>
        <v>2097.2029832676667</v>
      </c>
      <c r="H56" s="23">
        <f>Inputs!$B$4*Inputs!$B$5/SQRT(Inputs!$B$6)</f>
        <v>12500</v>
      </c>
      <c r="I56" s="19">
        <f t="shared" ca="1" si="0"/>
        <v>5.9603195778997327</v>
      </c>
      <c r="J56" s="19">
        <f ca="1">I56*E56/Inputs!$B$7</f>
        <v>2.8429094204595073</v>
      </c>
      <c r="K56" s="24">
        <f t="shared" ca="1" si="1"/>
        <v>3</v>
      </c>
    </row>
    <row r="57" spans="1:11" x14ac:dyDescent="0.25">
      <c r="A57" s="16">
        <f>Prices!A57</f>
        <v>54</v>
      </c>
      <c r="B57" s="17">
        <f>Prices!B57</f>
        <v>45945</v>
      </c>
      <c r="C57" s="18">
        <f>Prices!C57</f>
        <v>2475.02</v>
      </c>
      <c r="D57" s="22">
        <f ca="1">Prices!G57</f>
        <v>8.2091797866716519E-3</v>
      </c>
      <c r="E57" s="18">
        <f ca="1">Combine!I57</f>
        <v>4.8031388419291821</v>
      </c>
      <c r="F57" s="23">
        <f>C57*Inputs!$B$11*Inputs!$B$12*0.01</f>
        <v>2475.02</v>
      </c>
      <c r="G57" s="23">
        <f ca="1">C57*Inputs!$B$11*Inputs!$B$12*D57</f>
        <v>2031.7884155608072</v>
      </c>
      <c r="H57" s="23">
        <f>Inputs!$B$4*Inputs!$B$5/SQRT(Inputs!$B$6)</f>
        <v>12500</v>
      </c>
      <c r="I57" s="19">
        <f t="shared" ca="1" si="0"/>
        <v>6.1522154099642279</v>
      </c>
      <c r="J57" s="19">
        <f ca="1">I57*E57/Inputs!$B$7</f>
        <v>2.9549944799514449</v>
      </c>
      <c r="K57" s="24">
        <f t="shared" ca="1" si="1"/>
        <v>3</v>
      </c>
    </row>
    <row r="58" spans="1:11" x14ac:dyDescent="0.25">
      <c r="A58" s="16">
        <f>Prices!A58</f>
        <v>55</v>
      </c>
      <c r="B58" s="17">
        <f>Prices!B58</f>
        <v>45946</v>
      </c>
      <c r="C58" s="18">
        <f>Prices!C58</f>
        <v>2535.8000000000002</v>
      </c>
      <c r="D58" s="22">
        <f ca="1">Prices!G58</f>
        <v>9.0572677566433252E-3</v>
      </c>
      <c r="E58" s="18">
        <f ca="1">Combine!I58</f>
        <v>6.9656515754659392</v>
      </c>
      <c r="F58" s="23">
        <f>C58*Inputs!$B$11*Inputs!$B$12*0.01</f>
        <v>2535.8000000000002</v>
      </c>
      <c r="G58" s="23">
        <f ca="1">C58*Inputs!$B$11*Inputs!$B$12*D58</f>
        <v>2296.7419577296146</v>
      </c>
      <c r="H58" s="23">
        <f>Inputs!$B$4*Inputs!$B$5/SQRT(Inputs!$B$6)</f>
        <v>12500</v>
      </c>
      <c r="I58" s="19">
        <f t="shared" ca="1" si="0"/>
        <v>5.4424921171190492</v>
      </c>
      <c r="J58" s="19">
        <f ca="1">I58*E58/Inputs!$B$7</f>
        <v>3.7910503790071259</v>
      </c>
      <c r="K58" s="24">
        <f t="shared" ca="1" si="1"/>
        <v>4</v>
      </c>
    </row>
    <row r="59" spans="1:11" x14ac:dyDescent="0.25">
      <c r="A59" s="16">
        <f>Prices!A59</f>
        <v>56</v>
      </c>
      <c r="B59" s="17">
        <f>Prices!B59</f>
        <v>45947</v>
      </c>
      <c r="C59" s="18">
        <f>Prices!C59</f>
        <v>2518.0700000000002</v>
      </c>
      <c r="D59" s="22">
        <f ca="1">Prices!G59</f>
        <v>9.1193388804791282E-3</v>
      </c>
      <c r="E59" s="18">
        <f ca="1">Combine!I59</f>
        <v>6.4175962695169089</v>
      </c>
      <c r="F59" s="23">
        <f>C59*Inputs!$B$11*Inputs!$B$12*0.01</f>
        <v>2518.0700000000002</v>
      </c>
      <c r="G59" s="23">
        <f ca="1">C59*Inputs!$B$11*Inputs!$B$12*D59</f>
        <v>2296.313365476808</v>
      </c>
      <c r="H59" s="23">
        <f>Inputs!$B$4*Inputs!$B$5/SQRT(Inputs!$B$6)</f>
        <v>12500</v>
      </c>
      <c r="I59" s="19">
        <f t="shared" ca="1" si="0"/>
        <v>5.4435079235818895</v>
      </c>
      <c r="J59" s="19">
        <f ca="1">I59*E59/Inputs!$B$7</f>
        <v>3.4934236143464874</v>
      </c>
      <c r="K59" s="24">
        <f t="shared" ca="1" si="1"/>
        <v>3</v>
      </c>
    </row>
    <row r="60" spans="1:11" x14ac:dyDescent="0.25">
      <c r="A60" s="16">
        <f>Prices!A60</f>
        <v>57</v>
      </c>
      <c r="B60" s="17">
        <f>Prices!B60</f>
        <v>45950</v>
      </c>
      <c r="C60" s="18">
        <f>Prices!C60</f>
        <v>2493.42</v>
      </c>
      <c r="D60" s="22">
        <f ca="1">Prices!G60</f>
        <v>9.2034808514224187E-3</v>
      </c>
      <c r="E60" s="18">
        <f ca="1">Combine!I60</f>
        <v>5.4393422200111061</v>
      </c>
      <c r="F60" s="23">
        <f>C60*Inputs!$B$11*Inputs!$B$12*0.01</f>
        <v>2493.42</v>
      </c>
      <c r="G60" s="23">
        <f ca="1">C60*Inputs!$B$11*Inputs!$B$12*D60</f>
        <v>2294.8143224553687</v>
      </c>
      <c r="H60" s="23">
        <f>Inputs!$B$4*Inputs!$B$5/SQRT(Inputs!$B$6)</f>
        <v>12500</v>
      </c>
      <c r="I60" s="19">
        <f t="shared" ca="1" si="0"/>
        <v>5.4470637897298158</v>
      </c>
      <c r="J60" s="19">
        <f ca="1">I60*E60/Inputs!$B$7</f>
        <v>2.9628444046571087</v>
      </c>
      <c r="K60" s="24">
        <f t="shared" ca="1" si="1"/>
        <v>3</v>
      </c>
    </row>
    <row r="61" spans="1:11" x14ac:dyDescent="0.25">
      <c r="A61" s="16">
        <f>Prices!A61</f>
        <v>58</v>
      </c>
      <c r="B61" s="17">
        <f>Prices!B61</f>
        <v>45951</v>
      </c>
      <c r="C61" s="18">
        <f>Prices!C61</f>
        <v>2515.5700000000002</v>
      </c>
      <c r="D61" s="22">
        <f ca="1">Prices!G61</f>
        <v>9.0716866673696186E-3</v>
      </c>
      <c r="E61" s="18">
        <f ca="1">Combine!I61</f>
        <v>6.4069965820628987</v>
      </c>
      <c r="F61" s="23">
        <f>C61*Inputs!$B$11*Inputs!$B$12*0.01</f>
        <v>2515.5700000000002</v>
      </c>
      <c r="G61" s="23">
        <f ca="1">C61*Inputs!$B$11*Inputs!$B$12*D61</f>
        <v>2282.0462829834996</v>
      </c>
      <c r="H61" s="23">
        <f>Inputs!$B$4*Inputs!$B$5/SQRT(Inputs!$B$6)</f>
        <v>12500</v>
      </c>
      <c r="I61" s="19">
        <f t="shared" ca="1" si="0"/>
        <v>5.4775400890019466</v>
      </c>
      <c r="J61" s="19">
        <f ca="1">I61*E61/Inputs!$B$7</f>
        <v>3.5094580628347978</v>
      </c>
      <c r="K61" s="24">
        <f t="shared" ca="1" si="1"/>
        <v>4</v>
      </c>
    </row>
    <row r="62" spans="1:11" x14ac:dyDescent="0.25">
      <c r="A62" s="16">
        <f>Prices!A62</f>
        <v>59</v>
      </c>
      <c r="B62" s="17">
        <f>Prices!B62</f>
        <v>45952</v>
      </c>
      <c r="C62" s="18">
        <f>Prices!C62</f>
        <v>2554.36</v>
      </c>
      <c r="D62" s="22">
        <f ca="1">Prices!G62</f>
        <v>9.329758516869258E-3</v>
      </c>
      <c r="E62" s="18">
        <f ca="1">Combine!I62</f>
        <v>7.58822702052721</v>
      </c>
      <c r="F62" s="23">
        <f>C62*Inputs!$B$11*Inputs!$B$12*0.01</f>
        <v>2554.36</v>
      </c>
      <c r="G62" s="23">
        <f ca="1">C62*Inputs!$B$11*Inputs!$B$12*D62</f>
        <v>2383.1561965150158</v>
      </c>
      <c r="H62" s="23">
        <f>Inputs!$B$4*Inputs!$B$5/SQRT(Inputs!$B$6)</f>
        <v>12500</v>
      </c>
      <c r="I62" s="19">
        <f t="shared" ca="1" si="0"/>
        <v>5.2451450804102757</v>
      </c>
      <c r="J62" s="19">
        <f ca="1">I62*E62/Inputs!$B$7</f>
        <v>3.9801351625754622</v>
      </c>
      <c r="K62" s="24">
        <f t="shared" ca="1" si="1"/>
        <v>4</v>
      </c>
    </row>
    <row r="63" spans="1:11" x14ac:dyDescent="0.25">
      <c r="A63" s="16">
        <f>Prices!A63</f>
        <v>60</v>
      </c>
      <c r="B63" s="17">
        <f>Prices!B63</f>
        <v>45953</v>
      </c>
      <c r="C63" s="18">
        <f>Prices!C63</f>
        <v>2570.34</v>
      </c>
      <c r="D63" s="22">
        <f ca="1">Prices!G63</f>
        <v>9.3168509001933294E-3</v>
      </c>
      <c r="E63" s="18">
        <f ca="1">Combine!I63</f>
        <v>8.0792324299322633</v>
      </c>
      <c r="F63" s="23">
        <f>C63*Inputs!$B$11*Inputs!$B$12*0.01</f>
        <v>2570.34</v>
      </c>
      <c r="G63" s="23">
        <f ca="1">C63*Inputs!$B$11*Inputs!$B$12*D63</f>
        <v>2394.747454280292</v>
      </c>
      <c r="H63" s="23">
        <f>Inputs!$B$4*Inputs!$B$5/SQRT(Inputs!$B$6)</f>
        <v>12500</v>
      </c>
      <c r="I63" s="19">
        <f t="shared" ca="1" si="0"/>
        <v>5.2197570886474542</v>
      </c>
      <c r="J63" s="19">
        <f ca="1">I63*E63/Inputs!$B$7</f>
        <v>4.2171630746969324</v>
      </c>
      <c r="K63" s="24">
        <f t="shared" ca="1" si="1"/>
        <v>4</v>
      </c>
    </row>
    <row r="64" spans="1:11" x14ac:dyDescent="0.25">
      <c r="A64" s="16">
        <f>Prices!A64</f>
        <v>61</v>
      </c>
      <c r="B64" s="17">
        <f>Prices!B64</f>
        <v>45954</v>
      </c>
      <c r="C64" s="18">
        <f>Prices!C64</f>
        <v>2594.91</v>
      </c>
      <c r="D64" s="22">
        <f ca="1">Prices!G64</f>
        <v>9.3086413422998841E-3</v>
      </c>
      <c r="E64" s="18">
        <f ca="1">Combine!I64</f>
        <v>8.6767769987004364</v>
      </c>
      <c r="F64" s="23">
        <f>C64*Inputs!$B$11*Inputs!$B$12*0.01</f>
        <v>2594.91</v>
      </c>
      <c r="G64" s="23">
        <f ca="1">C64*Inputs!$B$11*Inputs!$B$12*D64</f>
        <v>2415.5086505547392</v>
      </c>
      <c r="H64" s="23">
        <f>Inputs!$B$4*Inputs!$B$5/SQRT(Inputs!$B$6)</f>
        <v>12500</v>
      </c>
      <c r="I64" s="19">
        <f t="shared" ca="1" si="0"/>
        <v>5.1748934938110382</v>
      </c>
      <c r="J64" s="19">
        <f ca="1">I64*E64/Inputs!$B$7</f>
        <v>4.4901396837824157</v>
      </c>
      <c r="K64" s="24">
        <f t="shared" ca="1" si="1"/>
        <v>4</v>
      </c>
    </row>
    <row r="65" spans="1:11" x14ac:dyDescent="0.25">
      <c r="A65" s="16">
        <f>Prices!A65</f>
        <v>62</v>
      </c>
      <c r="B65" s="17">
        <f>Prices!B65</f>
        <v>45957</v>
      </c>
      <c r="C65" s="18">
        <f>Prices!C65</f>
        <v>2629.84</v>
      </c>
      <c r="D65" s="22">
        <f ca="1">Prices!G65</f>
        <v>9.4741082572891416E-3</v>
      </c>
      <c r="E65" s="18">
        <f ca="1">Combine!I65</f>
        <v>9.287430712180166</v>
      </c>
      <c r="F65" s="23">
        <f>C65*Inputs!$B$11*Inputs!$B$12*0.01</f>
        <v>2629.84</v>
      </c>
      <c r="G65" s="23">
        <f ca="1">C65*Inputs!$B$11*Inputs!$B$12*D65</f>
        <v>2491.5388859349277</v>
      </c>
      <c r="H65" s="23">
        <f>Inputs!$B$4*Inputs!$B$5/SQRT(Inputs!$B$6)</f>
        <v>12500</v>
      </c>
      <c r="I65" s="19">
        <f t="shared" ca="1" si="0"/>
        <v>5.016979694984566</v>
      </c>
      <c r="J65" s="19">
        <f ca="1">I65*E65/Inputs!$B$7</f>
        <v>4.6594851301583935</v>
      </c>
      <c r="K65" s="24">
        <f t="shared" ca="1" si="1"/>
        <v>5</v>
      </c>
    </row>
    <row r="66" spans="1:11" x14ac:dyDescent="0.25">
      <c r="A66" s="16">
        <f>Prices!A66</f>
        <v>63</v>
      </c>
      <c r="B66" s="17">
        <f>Prices!B66</f>
        <v>45958</v>
      </c>
      <c r="C66" s="18">
        <f>Prices!C66</f>
        <v>2625.27</v>
      </c>
      <c r="D66" s="22">
        <f ca="1">Prices!G66</f>
        <v>9.4552810674592425E-3</v>
      </c>
      <c r="E66" s="18">
        <f ca="1">Combine!I66</f>
        <v>9.5135135289372368</v>
      </c>
      <c r="F66" s="23">
        <f>C66*Inputs!$B$11*Inputs!$B$12*0.01</f>
        <v>2625.27</v>
      </c>
      <c r="G66" s="23">
        <f ca="1">C66*Inputs!$B$11*Inputs!$B$12*D66</f>
        <v>2482.2665727968724</v>
      </c>
      <c r="H66" s="23">
        <f>Inputs!$B$4*Inputs!$B$5/SQRT(Inputs!$B$6)</f>
        <v>12500</v>
      </c>
      <c r="I66" s="19">
        <f t="shared" ca="1" si="0"/>
        <v>5.0357202312545075</v>
      </c>
      <c r="J66" s="19">
        <f ca="1">I66*E66/Inputs!$B$7</f>
        <v>4.7907392547982708</v>
      </c>
      <c r="K66" s="24">
        <f t="shared" ca="1" si="1"/>
        <v>5</v>
      </c>
    </row>
    <row r="67" spans="1:11" x14ac:dyDescent="0.25">
      <c r="A67" s="16">
        <f>Prices!A67</f>
        <v>64</v>
      </c>
      <c r="B67" s="17">
        <f>Prices!B67</f>
        <v>45959</v>
      </c>
      <c r="C67" s="18">
        <f>Prices!C67</f>
        <v>2585.81</v>
      </c>
      <c r="D67" s="22">
        <f ca="1">Prices!G67</f>
        <v>9.7744719705314693E-3</v>
      </c>
      <c r="E67" s="18">
        <f ca="1">Combine!I67</f>
        <v>8.5358261707886829</v>
      </c>
      <c r="F67" s="23">
        <f>C67*Inputs!$B$11*Inputs!$B$12*0.01</f>
        <v>2585.81</v>
      </c>
      <c r="G67" s="23">
        <f ca="1">C67*Inputs!$B$11*Inputs!$B$12*D67</f>
        <v>2527.4927366119978</v>
      </c>
      <c r="H67" s="23">
        <f>Inputs!$B$4*Inputs!$B$5/SQRT(Inputs!$B$6)</f>
        <v>12500</v>
      </c>
      <c r="I67" s="19">
        <f t="shared" ca="1" si="0"/>
        <v>4.9456126298332101</v>
      </c>
      <c r="J67" s="19">
        <f ca="1">I67*E67/Inputs!$B$7</f>
        <v>4.2214889716313362</v>
      </c>
      <c r="K67" s="24">
        <f t="shared" ca="1" si="1"/>
        <v>4</v>
      </c>
    </row>
    <row r="68" spans="1:11" x14ac:dyDescent="0.25">
      <c r="A68" s="16">
        <f>Prices!A68</f>
        <v>65</v>
      </c>
      <c r="B68" s="17">
        <f>Prices!B68</f>
        <v>45960</v>
      </c>
      <c r="C68" s="18">
        <f>Prices!C68</f>
        <v>2569.98</v>
      </c>
      <c r="D68" s="22">
        <f ca="1">Prices!G68</f>
        <v>9.7460239386213971E-3</v>
      </c>
      <c r="E68" s="18">
        <f ca="1">Combine!I68</f>
        <v>8.2003455364645284</v>
      </c>
      <c r="F68" s="23">
        <f>C68*Inputs!$B$11*Inputs!$B$12*0.01</f>
        <v>2569.98</v>
      </c>
      <c r="G68" s="23">
        <f ca="1">C68*Inputs!$B$11*Inputs!$B$12*D68</f>
        <v>2504.7086601778219</v>
      </c>
      <c r="H68" s="23">
        <f>Inputs!$B$4*Inputs!$B$5/SQRT(Inputs!$B$6)</f>
        <v>12500</v>
      </c>
      <c r="I68" s="19">
        <f t="shared" ca="1" si="0"/>
        <v>4.9906003834843462</v>
      </c>
      <c r="J68" s="19">
        <f ca="1">I68*E68/Inputs!$B$7</f>
        <v>4.0924647578984024</v>
      </c>
      <c r="K68" s="24">
        <f t="shared" ca="1" si="1"/>
        <v>4</v>
      </c>
    </row>
    <row r="69" spans="1:11" x14ac:dyDescent="0.25">
      <c r="A69" s="16">
        <f>Prices!A69</f>
        <v>66</v>
      </c>
      <c r="B69" s="17">
        <f>Prices!B69</f>
        <v>45961</v>
      </c>
      <c r="C69" s="18">
        <f>Prices!C69</f>
        <v>2592.42</v>
      </c>
      <c r="D69" s="22">
        <f ca="1">Prices!G69</f>
        <v>9.6886869541878487E-3</v>
      </c>
      <c r="E69" s="18">
        <f ca="1">Combine!I69</f>
        <v>8.7960935854158233</v>
      </c>
      <c r="F69" s="23">
        <f>C69*Inputs!$B$11*Inputs!$B$12*0.01</f>
        <v>2592.42</v>
      </c>
      <c r="G69" s="23">
        <f ca="1">C69*Inputs!$B$11*Inputs!$B$12*D69</f>
        <v>2511.7145833775662</v>
      </c>
      <c r="H69" s="23">
        <f>Inputs!$B$4*Inputs!$B$5/SQRT(Inputs!$B$6)</f>
        <v>12500</v>
      </c>
      <c r="I69" s="19">
        <f t="shared" ca="1" si="0"/>
        <v>4.976680106380134</v>
      </c>
      <c r="J69" s="19">
        <f ca="1">I69*E69/Inputs!$B$7</f>
        <v>4.3775343960396835</v>
      </c>
      <c r="K69" s="24">
        <f t="shared" ca="1" si="1"/>
        <v>4</v>
      </c>
    </row>
    <row r="70" spans="1:11" x14ac:dyDescent="0.25">
      <c r="A70" s="16">
        <f>Prices!A70</f>
        <v>67</v>
      </c>
      <c r="B70" s="17">
        <f>Prices!B70</f>
        <v>45964</v>
      </c>
      <c r="C70" s="18">
        <f>Prices!C70</f>
        <v>2552.92</v>
      </c>
      <c r="D70" s="22">
        <f ca="1">Prices!G70</f>
        <v>9.9565485429370625E-3</v>
      </c>
      <c r="E70" s="18">
        <f ca="1">Combine!I70</f>
        <v>7.6595672456820942</v>
      </c>
      <c r="F70" s="23">
        <f>C70*Inputs!$B$11*Inputs!$B$12*0.01</f>
        <v>2552.92</v>
      </c>
      <c r="G70" s="23">
        <f ca="1">C70*Inputs!$B$11*Inputs!$B$12*D70</f>
        <v>2541.8271906234886</v>
      </c>
      <c r="H70" s="23">
        <f>Inputs!$B$4*Inputs!$B$5/SQRT(Inputs!$B$6)</f>
        <v>12500</v>
      </c>
      <c r="I70" s="19">
        <f t="shared" ca="1" si="0"/>
        <v>4.9177221984685184</v>
      </c>
      <c r="J70" s="19">
        <f ca="1">I70*E70/Inputs!$B$7</f>
        <v>3.7667623874753202</v>
      </c>
      <c r="K70" s="24">
        <f t="shared" ca="1" si="1"/>
        <v>4</v>
      </c>
    </row>
    <row r="71" spans="1:11" x14ac:dyDescent="0.25">
      <c r="A71" s="16">
        <f>Prices!A71</f>
        <v>68</v>
      </c>
      <c r="B71" s="17">
        <f>Prices!B71</f>
        <v>45965</v>
      </c>
      <c r="C71" s="18">
        <f>Prices!C71</f>
        <v>2551.73</v>
      </c>
      <c r="D71" s="22">
        <f ca="1">Prices!G71</f>
        <v>9.7256693773123456E-3</v>
      </c>
      <c r="E71" s="18">
        <f ca="1">Combine!I71</f>
        <v>7.6634825153122277</v>
      </c>
      <c r="F71" s="23">
        <f>C71*Inputs!$B$11*Inputs!$B$12*0.01</f>
        <v>2551.73</v>
      </c>
      <c r="G71" s="23">
        <f ca="1">C71*Inputs!$B$11*Inputs!$B$12*D71</f>
        <v>2481.7282320169234</v>
      </c>
      <c r="H71" s="23">
        <f>Inputs!$B$4*Inputs!$B$5/SQRT(Inputs!$B$6)</f>
        <v>12500</v>
      </c>
      <c r="I71" s="19">
        <f t="shared" ca="1" si="0"/>
        <v>5.0368125883957626</v>
      </c>
      <c r="J71" s="19">
        <f ca="1">I71*E71/Inputs!$B$7</f>
        <v>3.8599525204075449</v>
      </c>
      <c r="K71" s="24">
        <f t="shared" ca="1" si="1"/>
        <v>4</v>
      </c>
    </row>
    <row r="72" spans="1:11" x14ac:dyDescent="0.25">
      <c r="A72" s="16">
        <f>Prices!A72</f>
        <v>69</v>
      </c>
      <c r="B72" s="17">
        <f>Prices!B72</f>
        <v>45966</v>
      </c>
      <c r="C72" s="18">
        <f>Prices!C72</f>
        <v>2556.15</v>
      </c>
      <c r="D72" s="22">
        <f ca="1">Prices!G72</f>
        <v>8.9706000407806259E-3</v>
      </c>
      <c r="E72" s="18">
        <f ca="1">Combine!I72</f>
        <v>8.1885590770702521</v>
      </c>
      <c r="F72" s="23">
        <f>C72*Inputs!$B$11*Inputs!$B$12*0.01</f>
        <v>2556.15</v>
      </c>
      <c r="G72" s="23">
        <f ca="1">C72*Inputs!$B$11*Inputs!$B$12*D72</f>
        <v>2293.0199294241397</v>
      </c>
      <c r="H72" s="23">
        <f>Inputs!$B$4*Inputs!$B$5/SQRT(Inputs!$B$6)</f>
        <v>12500</v>
      </c>
      <c r="I72" s="19">
        <f t="shared" ca="1" si="0"/>
        <v>5.4513263664215961</v>
      </c>
      <c r="J72" s="19">
        <f ca="1">I72*E72/Inputs!$B$7</f>
        <v>4.4638507999833958</v>
      </c>
      <c r="K72" s="24">
        <f t="shared" ca="1" si="1"/>
        <v>4</v>
      </c>
    </row>
    <row r="73" spans="1:11" x14ac:dyDescent="0.25">
      <c r="A73" s="16">
        <f>Prices!A73</f>
        <v>70</v>
      </c>
      <c r="B73" s="17">
        <f>Prices!B73</f>
        <v>45967</v>
      </c>
      <c r="C73" s="18">
        <f>Prices!C73</f>
        <v>2546.04</v>
      </c>
      <c r="D73" s="22">
        <f ca="1">Prices!G73</f>
        <v>8.9448371222736016E-3</v>
      </c>
      <c r="E73" s="18">
        <f ca="1">Combine!I73</f>
        <v>7.8574304763439109</v>
      </c>
      <c r="F73" s="23">
        <f>C73*Inputs!$B$11*Inputs!$B$12*0.01</f>
        <v>2546.04</v>
      </c>
      <c r="G73" s="23">
        <f ca="1">C73*Inputs!$B$11*Inputs!$B$12*D73</f>
        <v>2277.391310679348</v>
      </c>
      <c r="H73" s="23">
        <f>Inputs!$B$4*Inputs!$B$5/SQRT(Inputs!$B$6)</f>
        <v>12500</v>
      </c>
      <c r="I73" s="19">
        <f t="shared" ca="1" si="0"/>
        <v>5.488736143579664</v>
      </c>
      <c r="J73" s="19">
        <f ca="1">I73*E73/Inputs!$B$7</f>
        <v>4.3127362651173202</v>
      </c>
      <c r="K73" s="24">
        <f t="shared" ca="1" si="1"/>
        <v>4</v>
      </c>
    </row>
    <row r="74" spans="1:11" x14ac:dyDescent="0.25">
      <c r="A74" s="16">
        <f>Prices!A74</f>
        <v>71</v>
      </c>
      <c r="B74" s="17">
        <f>Prices!B74</f>
        <v>45968</v>
      </c>
      <c r="C74" s="18">
        <f>Prices!C74</f>
        <v>2562.4299999999998</v>
      </c>
      <c r="D74" s="22">
        <f ca="1">Prices!G74</f>
        <v>8.8491132532571674E-3</v>
      </c>
      <c r="E74" s="18">
        <f ca="1">Combine!I74</f>
        <v>8.2104637013779005</v>
      </c>
      <c r="F74" s="23">
        <f>C74*Inputs!$B$11*Inputs!$B$12*0.01</f>
        <v>2562.4299999999998</v>
      </c>
      <c r="G74" s="23">
        <f ca="1">C74*Inputs!$B$11*Inputs!$B$12*D74</f>
        <v>2267.5233273543763</v>
      </c>
      <c r="H74" s="23">
        <f>Inputs!$B$4*Inputs!$B$5/SQRT(Inputs!$B$6)</f>
        <v>12500</v>
      </c>
      <c r="I74" s="19">
        <f t="shared" ca="1" si="0"/>
        <v>5.5126224498798537</v>
      </c>
      <c r="J74" s="19">
        <f ca="1">I74*E74/Inputs!$B$7</f>
        <v>4.5261186524139454</v>
      </c>
      <c r="K74" s="24">
        <f t="shared" ca="1" si="1"/>
        <v>5</v>
      </c>
    </row>
    <row r="75" spans="1:11" x14ac:dyDescent="0.25">
      <c r="A75" s="16">
        <f>Prices!A75</f>
        <v>72</v>
      </c>
      <c r="B75" s="17">
        <f>Prices!B75</f>
        <v>45971</v>
      </c>
      <c r="C75" s="18">
        <f>Prices!C75</f>
        <v>2575.2600000000002</v>
      </c>
      <c r="D75" s="22">
        <f ca="1">Prices!G75</f>
        <v>8.7706903636133749E-3</v>
      </c>
      <c r="E75" s="18">
        <f ca="1">Combine!I75</f>
        <v>8.5396035590925283</v>
      </c>
      <c r="F75" s="23">
        <f>C75*Inputs!$B$11*Inputs!$B$12*0.01</f>
        <v>2575.2600000000002</v>
      </c>
      <c r="G75" s="23">
        <f ca="1">C75*Inputs!$B$11*Inputs!$B$12*D75</f>
        <v>2258.6808065798982</v>
      </c>
      <c r="H75" s="23">
        <f>Inputs!$B$4*Inputs!$B$5/SQRT(Inputs!$B$6)</f>
        <v>12500</v>
      </c>
      <c r="I75" s="19">
        <f t="shared" ca="1" si="0"/>
        <v>5.5342038430509977</v>
      </c>
      <c r="J75" s="19">
        <f ca="1">I75*E75/Inputs!$B$7</f>
        <v>4.7259906834861845</v>
      </c>
      <c r="K75" s="24">
        <f t="shared" ca="1" si="1"/>
        <v>5</v>
      </c>
    </row>
    <row r="76" spans="1:11" x14ac:dyDescent="0.25">
      <c r="A76" s="16">
        <f>Prices!A76</f>
        <v>73</v>
      </c>
      <c r="B76" s="17">
        <f>Prices!B76</f>
        <v>45972</v>
      </c>
      <c r="C76" s="18">
        <f>Prices!C76</f>
        <v>2632.98</v>
      </c>
      <c r="D76" s="22">
        <f ca="1">Prices!G76</f>
        <v>9.2900021136429721E-3</v>
      </c>
      <c r="E76" s="18">
        <f ca="1">Combine!I76</f>
        <v>9.5708763780269059</v>
      </c>
      <c r="F76" s="23">
        <f>C76*Inputs!$B$11*Inputs!$B$12*0.01</f>
        <v>2632.98</v>
      </c>
      <c r="G76" s="23">
        <f ca="1">C76*Inputs!$B$11*Inputs!$B$12*D76</f>
        <v>2446.0389765179671</v>
      </c>
      <c r="H76" s="23">
        <f>Inputs!$B$4*Inputs!$B$5/SQRT(Inputs!$B$6)</f>
        <v>12500</v>
      </c>
      <c r="I76" s="19">
        <f t="shared" ca="1" si="0"/>
        <v>5.1103028692511856</v>
      </c>
      <c r="J76" s="19">
        <f ca="1">I76*E76/Inputs!$B$7</f>
        <v>4.8910077015879292</v>
      </c>
      <c r="K76" s="24">
        <f t="shared" ca="1" si="1"/>
        <v>5</v>
      </c>
    </row>
    <row r="77" spans="1:11" x14ac:dyDescent="0.25">
      <c r="A77" s="16">
        <f>Prices!A77</f>
        <v>74</v>
      </c>
      <c r="B77" s="17">
        <f>Prices!B77</f>
        <v>45973</v>
      </c>
      <c r="C77" s="18">
        <f>Prices!C77</f>
        <v>2647.2</v>
      </c>
      <c r="D77" s="22">
        <f ca="1">Prices!G77</f>
        <v>9.0829981108381391E-3</v>
      </c>
      <c r="E77" s="18">
        <f ca="1">Combine!I77</f>
        <v>10.032314846716689</v>
      </c>
      <c r="F77" s="23">
        <f>C77*Inputs!$B$11*Inputs!$B$12*0.01</f>
        <v>2647.2000000000003</v>
      </c>
      <c r="G77" s="23">
        <f ca="1">C77*Inputs!$B$11*Inputs!$B$12*D77</f>
        <v>2404.4512599010723</v>
      </c>
      <c r="H77" s="23">
        <f>Inputs!$B$4*Inputs!$B$5/SQRT(Inputs!$B$6)</f>
        <v>12500</v>
      </c>
      <c r="I77" s="19">
        <f t="shared" ca="1" si="0"/>
        <v>5.198691363997245</v>
      </c>
      <c r="J77" s="19">
        <f ca="1">I77*E77/Inputs!$B$7</f>
        <v>5.2154908554527397</v>
      </c>
      <c r="K77" s="24">
        <f t="shared" ca="1" si="1"/>
        <v>5</v>
      </c>
    </row>
    <row r="78" spans="1:11" x14ac:dyDescent="0.25">
      <c r="A78" s="16">
        <f>Prices!A78</f>
        <v>75</v>
      </c>
      <c r="B78" s="17">
        <f>Prices!B78</f>
        <v>45974</v>
      </c>
      <c r="C78" s="18">
        <f>Prices!C78</f>
        <v>2628.95</v>
      </c>
      <c r="D78" s="22">
        <f ca="1">Prices!G78</f>
        <v>9.1218194123270577E-3</v>
      </c>
      <c r="E78" s="18">
        <f ca="1">Combine!I78</f>
        <v>9.7025046463986868</v>
      </c>
      <c r="F78" s="23">
        <f>C78*Inputs!$B$11*Inputs!$B$12*0.01</f>
        <v>2628.9500000000003</v>
      </c>
      <c r="G78" s="23">
        <f ca="1">C78*Inputs!$B$11*Inputs!$B$12*D78</f>
        <v>2398.0807144037217</v>
      </c>
      <c r="H78" s="23">
        <f>Inputs!$B$4*Inputs!$B$5/SQRT(Inputs!$B$6)</f>
        <v>12500</v>
      </c>
      <c r="I78" s="19">
        <f t="shared" ca="1" si="0"/>
        <v>5.2125017831637503</v>
      </c>
      <c r="J78" s="19">
        <f ca="1">I78*E78/Inputs!$B$7</f>
        <v>5.0574322770507729</v>
      </c>
      <c r="K78" s="24">
        <f t="shared" ca="1" si="1"/>
        <v>5</v>
      </c>
    </row>
    <row r="79" spans="1:11" x14ac:dyDescent="0.25">
      <c r="A79" s="16">
        <f>Prices!A79</f>
        <v>76</v>
      </c>
      <c r="B79" s="17">
        <f>Prices!B79</f>
        <v>45975</v>
      </c>
      <c r="C79" s="18">
        <f>Prices!C79</f>
        <v>2612.0700000000002</v>
      </c>
      <c r="D79" s="22">
        <f ca="1">Prices!G79</f>
        <v>9.0637613867260765E-3</v>
      </c>
      <c r="E79" s="18">
        <f ca="1">Combine!I79</f>
        <v>9.4790990806846036</v>
      </c>
      <c r="F79" s="23">
        <f>C79*Inputs!$B$11*Inputs!$B$12*0.01</f>
        <v>2612.0700000000002</v>
      </c>
      <c r="G79" s="23">
        <f ca="1">C79*Inputs!$B$11*Inputs!$B$12*D79</f>
        <v>2367.5179205425584</v>
      </c>
      <c r="H79" s="23">
        <f>Inputs!$B$4*Inputs!$B$5/SQRT(Inputs!$B$6)</f>
        <v>12500</v>
      </c>
      <c r="I79" s="19">
        <f t="shared" ca="1" si="0"/>
        <v>5.279791080582573</v>
      </c>
      <c r="J79" s="19">
        <f ca="1">I79*E79/Inputs!$B$7</f>
        <v>5.0047662778157038</v>
      </c>
      <c r="K79" s="24">
        <f t="shared" ca="1" si="1"/>
        <v>5</v>
      </c>
    </row>
    <row r="80" spans="1:11" x14ac:dyDescent="0.25">
      <c r="A80" s="16">
        <f>Prices!A80</f>
        <v>77</v>
      </c>
      <c r="B80" s="17">
        <f>Prices!B80</f>
        <v>45978</v>
      </c>
      <c r="C80" s="18">
        <f>Prices!C80</f>
        <v>2588.2600000000002</v>
      </c>
      <c r="D80" s="22">
        <f ca="1">Prices!G80</f>
        <v>9.2082928922107236E-3</v>
      </c>
      <c r="E80" s="18">
        <f ca="1">Combine!I80</f>
        <v>8.6855535325367157</v>
      </c>
      <c r="F80" s="23">
        <f>C80*Inputs!$B$11*Inputs!$B$12*0.01</f>
        <v>2588.2600000000002</v>
      </c>
      <c r="G80" s="23">
        <f ca="1">C80*Inputs!$B$11*Inputs!$B$12*D80</f>
        <v>2383.345616119333</v>
      </c>
      <c r="H80" s="23">
        <f>Inputs!$B$4*Inputs!$B$5/SQRT(Inputs!$B$6)</f>
        <v>12500</v>
      </c>
      <c r="I80" s="19">
        <f t="shared" ca="1" si="0"/>
        <v>5.244728215437358</v>
      </c>
      <c r="J80" s="19">
        <f ca="1">I80*E80/Inputs!$B$7</f>
        <v>4.5553367678786927</v>
      </c>
      <c r="K80" s="24">
        <f t="shared" ca="1" si="1"/>
        <v>5</v>
      </c>
    </row>
    <row r="81" spans="1:11" x14ac:dyDescent="0.25">
      <c r="A81" s="16">
        <f>Prices!A81</f>
        <v>78</v>
      </c>
      <c r="B81" s="17">
        <f>Prices!B81</f>
        <v>45979</v>
      </c>
      <c r="C81" s="18">
        <f>Prices!C81</f>
        <v>2610.84</v>
      </c>
      <c r="D81" s="22">
        <f ca="1">Prices!G81</f>
        <v>9.2330337176752542E-3</v>
      </c>
      <c r="E81" s="18">
        <f ca="1">Combine!I81</f>
        <v>9.0624430557025537</v>
      </c>
      <c r="F81" s="23">
        <f>C81*Inputs!$B$11*Inputs!$B$12*0.01</f>
        <v>2610.84</v>
      </c>
      <c r="G81" s="23">
        <f ca="1">C81*Inputs!$B$11*Inputs!$B$12*D81</f>
        <v>2410.5973751455263</v>
      </c>
      <c r="H81" s="23">
        <f>Inputs!$B$4*Inputs!$B$5/SQRT(Inputs!$B$6)</f>
        <v>12500</v>
      </c>
      <c r="I81" s="19">
        <f t="shared" ref="I81:I112" ca="1" si="2">H81/G81</f>
        <v>5.1854366593448162</v>
      </c>
      <c r="J81" s="19">
        <f ca="1">I81*E81/Inputs!$B$7</f>
        <v>4.6992724444264882</v>
      </c>
      <c r="K81" s="24">
        <f t="shared" ref="K81:K112" ca="1" si="3">ROUND(J81,0)</f>
        <v>5</v>
      </c>
    </row>
    <row r="82" spans="1:11" x14ac:dyDescent="0.25">
      <c r="A82" s="16">
        <f>Prices!A82</f>
        <v>79</v>
      </c>
      <c r="B82" s="17">
        <f>Prices!B82</f>
        <v>45980</v>
      </c>
      <c r="C82" s="18">
        <f>Prices!C82</f>
        <v>2593.9499999999998</v>
      </c>
      <c r="D82" s="22">
        <f ca="1">Prices!G82</f>
        <v>9.310941863769507E-3</v>
      </c>
      <c r="E82" s="18">
        <f ca="1">Combine!I82</f>
        <v>8.4719194290802626</v>
      </c>
      <c r="F82" s="23">
        <f>C82*Inputs!$B$11*Inputs!$B$12*0.01</f>
        <v>2593.9499999999998</v>
      </c>
      <c r="G82" s="23">
        <f ca="1">C82*Inputs!$B$11*Inputs!$B$12*D82</f>
        <v>2415.211764752491</v>
      </c>
      <c r="H82" s="23">
        <f>Inputs!$B$4*Inputs!$B$5/SQRT(Inputs!$B$6)</f>
        <v>12500</v>
      </c>
      <c r="I82" s="19">
        <f t="shared" ca="1" si="2"/>
        <v>5.1755296088005727</v>
      </c>
      <c r="J82" s="19">
        <f ca="1">I82*E82/Inputs!$B$7</f>
        <v>4.3846669848577742</v>
      </c>
      <c r="K82" s="24">
        <f t="shared" ca="1" si="3"/>
        <v>4</v>
      </c>
    </row>
    <row r="83" spans="1:11" x14ac:dyDescent="0.25">
      <c r="A83" s="16">
        <f>Prices!A83</f>
        <v>80</v>
      </c>
      <c r="B83" s="17">
        <f>Prices!B83</f>
        <v>45981</v>
      </c>
      <c r="C83" s="18">
        <f>Prices!C83</f>
        <v>2590.0500000000002</v>
      </c>
      <c r="D83" s="22">
        <f ca="1">Prices!G83</f>
        <v>9.2484752222678508E-3</v>
      </c>
      <c r="E83" s="18">
        <f ca="1">Combine!I83</f>
        <v>8.2515370518013622</v>
      </c>
      <c r="F83" s="23">
        <f>C83*Inputs!$B$11*Inputs!$B$12*0.01</f>
        <v>2590.0500000000002</v>
      </c>
      <c r="G83" s="23">
        <f ca="1">C83*Inputs!$B$11*Inputs!$B$12*D83</f>
        <v>2395.4013249434852</v>
      </c>
      <c r="H83" s="23">
        <f>Inputs!$B$4*Inputs!$B$5/SQRT(Inputs!$B$6)</f>
        <v>12500</v>
      </c>
      <c r="I83" s="19">
        <f t="shared" ca="1" si="2"/>
        <v>5.2183322559925998</v>
      </c>
      <c r="J83" s="19">
        <f ca="1">I83*E83/Inputs!$B$7</f>
        <v>4.3059261958933126</v>
      </c>
      <c r="K83" s="24">
        <f t="shared" ca="1" si="3"/>
        <v>4</v>
      </c>
    </row>
    <row r="84" spans="1:11" x14ac:dyDescent="0.25">
      <c r="A84" s="16">
        <f>Prices!A84</f>
        <v>81</v>
      </c>
      <c r="B84" s="17">
        <f>Prices!B84</f>
        <v>45982</v>
      </c>
      <c r="C84" s="18">
        <f>Prices!C84</f>
        <v>2607.39</v>
      </c>
      <c r="D84" s="22">
        <f ca="1">Prices!G84</f>
        <v>9.2283162294553266E-3</v>
      </c>
      <c r="E84" s="18">
        <f ca="1">Combine!I84</f>
        <v>8.5069989264355748</v>
      </c>
      <c r="F84" s="23">
        <f>C84*Inputs!$B$11*Inputs!$B$12*0.01</f>
        <v>2607.39</v>
      </c>
      <c r="G84" s="23">
        <f ca="1">C84*Inputs!$B$11*Inputs!$B$12*D84</f>
        <v>2406.1819453519524</v>
      </c>
      <c r="H84" s="23">
        <f>Inputs!$B$4*Inputs!$B$5/SQRT(Inputs!$B$6)</f>
        <v>12500</v>
      </c>
      <c r="I84" s="19">
        <f t="shared" ca="1" si="2"/>
        <v>5.1949521207847082</v>
      </c>
      <c r="J84" s="19">
        <f ca="1">I84*E84/Inputs!$B$7</f>
        <v>4.4193452114399729</v>
      </c>
      <c r="K84" s="24">
        <f t="shared" ca="1" si="3"/>
        <v>4</v>
      </c>
    </row>
    <row r="85" spans="1:11" x14ac:dyDescent="0.25">
      <c r="A85" s="16">
        <f>Prices!A85</f>
        <v>82</v>
      </c>
      <c r="B85" s="17">
        <f>Prices!B85</f>
        <v>45985</v>
      </c>
      <c r="C85" s="18">
        <f>Prices!C85</f>
        <v>2586.44</v>
      </c>
      <c r="D85" s="22">
        <f ca="1">Prices!G85</f>
        <v>9.3196089203967589E-3</v>
      </c>
      <c r="E85" s="18">
        <f ca="1">Combine!I85</f>
        <v>7.7779808304568689</v>
      </c>
      <c r="F85" s="23">
        <f>C85*Inputs!$B$11*Inputs!$B$12*0.01</f>
        <v>2586.44</v>
      </c>
      <c r="G85" s="23">
        <f ca="1">C85*Inputs!$B$11*Inputs!$B$12*D85</f>
        <v>2410.4609296070994</v>
      </c>
      <c r="H85" s="23">
        <f>Inputs!$B$4*Inputs!$B$5/SQRT(Inputs!$B$6)</f>
        <v>12500</v>
      </c>
      <c r="I85" s="19">
        <f t="shared" ca="1" si="2"/>
        <v>5.1857301839932646</v>
      </c>
      <c r="J85" s="19">
        <f ca="1">I85*E85/Inputs!$B$7</f>
        <v>4.0334509963021183</v>
      </c>
      <c r="K85" s="24">
        <f t="shared" ca="1" si="3"/>
        <v>4</v>
      </c>
    </row>
    <row r="86" spans="1:11" x14ac:dyDescent="0.25">
      <c r="A86" s="16">
        <f>Prices!A86</f>
        <v>83</v>
      </c>
      <c r="B86" s="17">
        <f>Prices!B86</f>
        <v>45986</v>
      </c>
      <c r="C86" s="18">
        <f>Prices!C86</f>
        <v>2576.7800000000002</v>
      </c>
      <c r="D86" s="22">
        <f ca="1">Prices!G86</f>
        <v>9.289984221165417E-3</v>
      </c>
      <c r="E86" s="18">
        <f ca="1">Combine!I86</f>
        <v>7.3481316091036213</v>
      </c>
      <c r="F86" s="23">
        <f>C86*Inputs!$B$11*Inputs!$B$12*0.01</f>
        <v>2576.7800000000002</v>
      </c>
      <c r="G86" s="23">
        <f ca="1">C86*Inputs!$B$11*Inputs!$B$12*D86</f>
        <v>2393.8245541414626</v>
      </c>
      <c r="H86" s="23">
        <f>Inputs!$B$4*Inputs!$B$5/SQRT(Inputs!$B$6)</f>
        <v>12500</v>
      </c>
      <c r="I86" s="19">
        <f t="shared" ca="1" si="2"/>
        <v>5.2217694811318722</v>
      </c>
      <c r="J86" s="19">
        <f ca="1">I86*E86/Inputs!$B$7</f>
        <v>3.8370249379757722</v>
      </c>
      <c r="K86" s="24">
        <f t="shared" ca="1" si="3"/>
        <v>4</v>
      </c>
    </row>
    <row r="87" spans="1:11" x14ac:dyDescent="0.25">
      <c r="A87" s="16">
        <f>Prices!A87</f>
        <v>84</v>
      </c>
      <c r="B87" s="17">
        <f>Prices!B87</f>
        <v>45987</v>
      </c>
      <c r="C87" s="18">
        <f>Prices!C87</f>
        <v>2527.27</v>
      </c>
      <c r="D87" s="22">
        <f ca="1">Prices!G87</f>
        <v>9.7453304390609334E-3</v>
      </c>
      <c r="E87" s="18">
        <f ca="1">Combine!I87</f>
        <v>5.4485490722272312</v>
      </c>
      <c r="F87" s="23">
        <f>C87*Inputs!$B$11*Inputs!$B$12*0.01</f>
        <v>2527.27</v>
      </c>
      <c r="G87" s="23">
        <f ca="1">C87*Inputs!$B$11*Inputs!$B$12*D87</f>
        <v>2462.9081258725523</v>
      </c>
      <c r="H87" s="23">
        <f>Inputs!$B$4*Inputs!$B$5/SQRT(Inputs!$B$6)</f>
        <v>12500</v>
      </c>
      <c r="I87" s="19">
        <f t="shared" ca="1" si="2"/>
        <v>5.075300969893684</v>
      </c>
      <c r="J87" s="19">
        <f ca="1">I87*E87/Inputs!$B$7</f>
        <v>2.7653026390788198</v>
      </c>
      <c r="K87" s="24">
        <f t="shared" ca="1" si="3"/>
        <v>3</v>
      </c>
    </row>
    <row r="88" spans="1:11" x14ac:dyDescent="0.25">
      <c r="A88" s="16">
        <f>Prices!A88</f>
        <v>85</v>
      </c>
      <c r="B88" s="17">
        <f>Prices!B88</f>
        <v>45988</v>
      </c>
      <c r="C88" s="18">
        <f>Prices!C88</f>
        <v>2497.89</v>
      </c>
      <c r="D88" s="22">
        <f ca="1">Prices!G88</f>
        <v>9.8737018503113252E-3</v>
      </c>
      <c r="E88" s="18">
        <f ca="1">Combine!I88</f>
        <v>3.9880161240969438</v>
      </c>
      <c r="F88" s="23">
        <f>C88*Inputs!$B$11*Inputs!$B$12*0.01</f>
        <v>2497.89</v>
      </c>
      <c r="G88" s="23">
        <f ca="1">C88*Inputs!$B$11*Inputs!$B$12*D88</f>
        <v>2466.3421114874154</v>
      </c>
      <c r="H88" s="23">
        <f>Inputs!$B$4*Inputs!$B$5/SQRT(Inputs!$B$6)</f>
        <v>12500</v>
      </c>
      <c r="I88" s="19">
        <f t="shared" ca="1" si="2"/>
        <v>5.0682344277296671</v>
      </c>
      <c r="J88" s="19">
        <f ca="1">I88*E88/Inputs!$B$7</f>
        <v>2.0212200618489158</v>
      </c>
      <c r="K88" s="24">
        <f t="shared" ca="1" si="3"/>
        <v>2</v>
      </c>
    </row>
    <row r="89" spans="1:11" x14ac:dyDescent="0.25">
      <c r="A89" s="16">
        <f>Prices!A89</f>
        <v>86</v>
      </c>
      <c r="B89" s="17">
        <f>Prices!B89</f>
        <v>45989</v>
      </c>
      <c r="C89" s="18">
        <f>Prices!C89</f>
        <v>2481.71</v>
      </c>
      <c r="D89" s="22">
        <f ca="1">Prices!G89</f>
        <v>9.8737351050447817E-3</v>
      </c>
      <c r="E89" s="18">
        <f ca="1">Combine!I89</f>
        <v>2.9114075550021949</v>
      </c>
      <c r="F89" s="23">
        <f>C89*Inputs!$B$11*Inputs!$B$12*0.01</f>
        <v>2481.71</v>
      </c>
      <c r="G89" s="23">
        <f ca="1">C89*Inputs!$B$11*Inputs!$B$12*D89</f>
        <v>2450.3747147540685</v>
      </c>
      <c r="H89" s="23">
        <f>Inputs!$B$4*Inputs!$B$5/SQRT(Inputs!$B$6)</f>
        <v>12500</v>
      </c>
      <c r="I89" s="19">
        <f t="shared" ca="1" si="2"/>
        <v>5.1012606050558924</v>
      </c>
      <c r="J89" s="19">
        <f ca="1">I89*E89/Inputs!$B$7</f>
        <v>1.4851848665594793</v>
      </c>
      <c r="K89" s="24">
        <f t="shared" ca="1" si="3"/>
        <v>1</v>
      </c>
    </row>
    <row r="90" spans="1:11" x14ac:dyDescent="0.25">
      <c r="A90" s="16">
        <f>Prices!A90</f>
        <v>87</v>
      </c>
      <c r="B90" s="17">
        <f>Prices!B90</f>
        <v>45992</v>
      </c>
      <c r="C90" s="18">
        <f>Prices!C90</f>
        <v>2490.04</v>
      </c>
      <c r="D90" s="22">
        <f ca="1">Prices!G90</f>
        <v>9.8549033334111146E-3</v>
      </c>
      <c r="E90" s="18">
        <f ca="1">Combine!I90</f>
        <v>2.7203746884402746</v>
      </c>
      <c r="F90" s="23">
        <f>C90*Inputs!$B$11*Inputs!$B$12*0.01</f>
        <v>2490.04</v>
      </c>
      <c r="G90" s="23">
        <f ca="1">C90*Inputs!$B$11*Inputs!$B$12*D90</f>
        <v>2453.9103496327011</v>
      </c>
      <c r="H90" s="23">
        <f>Inputs!$B$4*Inputs!$B$5/SQRT(Inputs!$B$6)</f>
        <v>12500</v>
      </c>
      <c r="I90" s="19">
        <f t="shared" ca="1" si="2"/>
        <v>5.0939106238624356</v>
      </c>
      <c r="J90" s="19">
        <f ca="1">I90*E90/Inputs!$B$7</f>
        <v>1.3857345526332379</v>
      </c>
      <c r="K90" s="24">
        <f t="shared" ca="1" si="3"/>
        <v>1</v>
      </c>
    </row>
    <row r="91" spans="1:11" x14ac:dyDescent="0.25">
      <c r="A91" s="16">
        <f>Prices!A91</f>
        <v>88</v>
      </c>
      <c r="B91" s="17">
        <f>Prices!B91</f>
        <v>45993</v>
      </c>
      <c r="C91" s="18">
        <f>Prices!C91</f>
        <v>2517.77</v>
      </c>
      <c r="D91" s="22">
        <f ca="1">Prices!G91</f>
        <v>9.9425774508434019E-3</v>
      </c>
      <c r="E91" s="18">
        <f ca="1">Combine!I91</f>
        <v>3.2176975110445407</v>
      </c>
      <c r="F91" s="23">
        <f>C91*Inputs!$B$11*Inputs!$B$12*0.01</f>
        <v>2517.77</v>
      </c>
      <c r="G91" s="23">
        <f ca="1">C91*Inputs!$B$11*Inputs!$B$12*D91</f>
        <v>2503.3123228409991</v>
      </c>
      <c r="H91" s="23">
        <f>Inputs!$B$4*Inputs!$B$5/SQRT(Inputs!$B$6)</f>
        <v>12500</v>
      </c>
      <c r="I91" s="19">
        <f t="shared" ca="1" si="2"/>
        <v>4.9933841198903224</v>
      </c>
      <c r="J91" s="19">
        <f ca="1">I91*E91/Inputs!$B$7</f>
        <v>1.6067199654260425</v>
      </c>
      <c r="K91" s="24">
        <f t="shared" ca="1" si="3"/>
        <v>2</v>
      </c>
    </row>
    <row r="92" spans="1:11" x14ac:dyDescent="0.25">
      <c r="A92" s="16">
        <f>Prices!A92</f>
        <v>89</v>
      </c>
      <c r="B92" s="17">
        <f>Prices!B92</f>
        <v>45994</v>
      </c>
      <c r="C92" s="18">
        <f>Prices!C92</f>
        <v>2515.29</v>
      </c>
      <c r="D92" s="22">
        <f ca="1">Prices!G92</f>
        <v>9.9265635985334322E-3</v>
      </c>
      <c r="E92" s="18">
        <f ca="1">Combine!I92</f>
        <v>2.9236387766843706</v>
      </c>
      <c r="F92" s="23">
        <f>C92*Inputs!$B$11*Inputs!$B$12*0.01</f>
        <v>2515.29</v>
      </c>
      <c r="G92" s="23">
        <f ca="1">C92*Inputs!$B$11*Inputs!$B$12*D92</f>
        <v>2496.8186153755155</v>
      </c>
      <c r="H92" s="23">
        <f>Inputs!$B$4*Inputs!$B$5/SQRT(Inputs!$B$6)</f>
        <v>12500</v>
      </c>
      <c r="I92" s="19">
        <f t="shared" ca="1" si="2"/>
        <v>5.0063708765324266</v>
      </c>
      <c r="J92" s="19">
        <f ca="1">I92*E92/Inputs!$B$7</f>
        <v>1.4636820025093524</v>
      </c>
      <c r="K92" s="24">
        <f t="shared" ca="1" si="3"/>
        <v>1</v>
      </c>
    </row>
    <row r="93" spans="1:11" x14ac:dyDescent="0.25">
      <c r="A93" s="16">
        <f>Prices!A93</f>
        <v>90</v>
      </c>
      <c r="B93" s="17">
        <f>Prices!B93</f>
        <v>45995</v>
      </c>
      <c r="C93" s="18">
        <f>Prices!C93</f>
        <v>2519.85</v>
      </c>
      <c r="D93" s="22">
        <f ca="1">Prices!G93</f>
        <v>9.2989481420455294E-3</v>
      </c>
      <c r="E93" s="18">
        <f ca="1">Combine!I93</f>
        <v>3.1228927777240947</v>
      </c>
      <c r="F93" s="23">
        <f>C93*Inputs!$B$11*Inputs!$B$12*0.01</f>
        <v>2519.85</v>
      </c>
      <c r="G93" s="23">
        <f ca="1">C93*Inputs!$B$11*Inputs!$B$12*D93</f>
        <v>2343.1954475733428</v>
      </c>
      <c r="H93" s="23">
        <f>Inputs!$B$4*Inputs!$B$5/SQRT(Inputs!$B$6)</f>
        <v>12500</v>
      </c>
      <c r="I93" s="19">
        <f t="shared" ca="1" si="2"/>
        <v>5.3345955468397799</v>
      </c>
      <c r="J93" s="19">
        <f ca="1">I93*E93/Inputs!$B$7</f>
        <v>1.6659369905305066</v>
      </c>
      <c r="K93" s="24">
        <f t="shared" ca="1" si="3"/>
        <v>2</v>
      </c>
    </row>
    <row r="94" spans="1:11" x14ac:dyDescent="0.25">
      <c r="A94" s="16">
        <f>Prices!A94</f>
        <v>91</v>
      </c>
      <c r="B94" s="17">
        <f>Prices!B94</f>
        <v>45996</v>
      </c>
      <c r="C94" s="18">
        <f>Prices!C94</f>
        <v>2522.0700000000002</v>
      </c>
      <c r="D94" s="22">
        <f ca="1">Prices!G94</f>
        <v>9.2320709213873278E-3</v>
      </c>
      <c r="E94" s="18">
        <f ca="1">Combine!I94</f>
        <v>3.0237568324532287</v>
      </c>
      <c r="F94" s="23">
        <f>C94*Inputs!$B$11*Inputs!$B$12*0.01</f>
        <v>2522.0700000000002</v>
      </c>
      <c r="G94" s="23">
        <f ca="1">C94*Inputs!$B$11*Inputs!$B$12*D94</f>
        <v>2328.3929108703342</v>
      </c>
      <c r="H94" s="23">
        <f>Inputs!$B$4*Inputs!$B$5/SQRT(Inputs!$B$6)</f>
        <v>12500</v>
      </c>
      <c r="I94" s="19">
        <f t="shared" ca="1" si="2"/>
        <v>5.3685097311723053</v>
      </c>
      <c r="J94" s="19">
        <f ca="1">I94*E94/Inputs!$B$7</f>
        <v>1.6233067979723905</v>
      </c>
      <c r="K94" s="24">
        <f t="shared" ca="1" si="3"/>
        <v>2</v>
      </c>
    </row>
    <row r="95" spans="1:11" x14ac:dyDescent="0.25">
      <c r="A95" s="16">
        <f>Prices!A95</f>
        <v>92</v>
      </c>
      <c r="B95" s="17">
        <f>Prices!B95</f>
        <v>45999</v>
      </c>
      <c r="C95" s="18">
        <f>Prices!C95</f>
        <v>2547.41</v>
      </c>
      <c r="D95" s="22">
        <f ca="1">Prices!G95</f>
        <v>9.2236560374942145E-3</v>
      </c>
      <c r="E95" s="18">
        <f ca="1">Combine!I95</f>
        <v>3.659441029937446</v>
      </c>
      <c r="F95" s="23">
        <f>C95*Inputs!$B$11*Inputs!$B$12*0.01</f>
        <v>2547.41</v>
      </c>
      <c r="G95" s="23">
        <f ca="1">C95*Inputs!$B$11*Inputs!$B$12*D95</f>
        <v>2349.6433626473136</v>
      </c>
      <c r="H95" s="23">
        <f>Inputs!$B$4*Inputs!$B$5/SQRT(Inputs!$B$6)</f>
        <v>12500</v>
      </c>
      <c r="I95" s="19">
        <f t="shared" ca="1" si="2"/>
        <v>5.3199562957998898</v>
      </c>
      <c r="J95" s="19">
        <f ca="1">I95*E95/Inputs!$B$7</f>
        <v>1.9468066346324151</v>
      </c>
      <c r="K95" s="24">
        <f t="shared" ca="1" si="3"/>
        <v>2</v>
      </c>
    </row>
    <row r="96" spans="1:11" x14ac:dyDescent="0.25">
      <c r="A96" s="16">
        <f>Prices!A96</f>
        <v>93</v>
      </c>
      <c r="B96" s="17">
        <f>Prices!B96</f>
        <v>46000</v>
      </c>
      <c r="C96" s="18">
        <f>Prices!C96</f>
        <v>2568.13</v>
      </c>
      <c r="D96" s="22">
        <f ca="1">Prices!G96</f>
        <v>9.2064917056505421E-3</v>
      </c>
      <c r="E96" s="18">
        <f ca="1">Combine!I96</f>
        <v>4.3268388745704023</v>
      </c>
      <c r="F96" s="23">
        <f>C96*Inputs!$B$11*Inputs!$B$12*0.01</f>
        <v>2568.13</v>
      </c>
      <c r="G96" s="23">
        <f ca="1">C96*Inputs!$B$11*Inputs!$B$12*D96</f>
        <v>2364.3467544032328</v>
      </c>
      <c r="H96" s="23">
        <f>Inputs!$B$4*Inputs!$B$5/SQRT(Inputs!$B$6)</f>
        <v>12500</v>
      </c>
      <c r="I96" s="19">
        <f t="shared" ca="1" si="2"/>
        <v>5.2868725692289713</v>
      </c>
      <c r="J96" s="19">
        <f ca="1">I96*E96/Inputs!$B$7</f>
        <v>2.2875445757439814</v>
      </c>
      <c r="K96" s="24">
        <f t="shared" ca="1" si="3"/>
        <v>2</v>
      </c>
    </row>
    <row r="97" spans="1:11" x14ac:dyDescent="0.25">
      <c r="A97" s="16">
        <f>Prices!A97</f>
        <v>94</v>
      </c>
      <c r="B97" s="17">
        <f>Prices!B97</f>
        <v>46001</v>
      </c>
      <c r="C97" s="18">
        <f>Prices!C97</f>
        <v>2573.1</v>
      </c>
      <c r="D97" s="22">
        <f ca="1">Prices!G97</f>
        <v>8.9441024697981819E-3</v>
      </c>
      <c r="E97" s="18">
        <f ca="1">Combine!I97</f>
        <v>4.6353659895603885</v>
      </c>
      <c r="F97" s="23">
        <f>C97*Inputs!$B$11*Inputs!$B$12*0.01</f>
        <v>2573.1</v>
      </c>
      <c r="G97" s="23">
        <f ca="1">C97*Inputs!$B$11*Inputs!$B$12*D97</f>
        <v>2301.4070065037704</v>
      </c>
      <c r="H97" s="23">
        <f>Inputs!$B$4*Inputs!$B$5/SQRT(Inputs!$B$6)</f>
        <v>12500</v>
      </c>
      <c r="I97" s="19">
        <f t="shared" ca="1" si="2"/>
        <v>5.4314599567460391</v>
      </c>
      <c r="J97" s="19">
        <f ca="1">I97*E97/Inputs!$B$7</f>
        <v>2.5176804757159728</v>
      </c>
      <c r="K97" s="24">
        <f t="shared" ca="1" si="3"/>
        <v>3</v>
      </c>
    </row>
    <row r="98" spans="1:11" x14ac:dyDescent="0.25">
      <c r="A98" s="16">
        <f>Prices!A98</f>
        <v>95</v>
      </c>
      <c r="B98" s="17">
        <f>Prices!B98</f>
        <v>46002</v>
      </c>
      <c r="C98" s="18">
        <f>Prices!C98</f>
        <v>2545.0300000000002</v>
      </c>
      <c r="D98" s="22">
        <f ca="1">Prices!G98</f>
        <v>9.0454749489851747E-3</v>
      </c>
      <c r="E98" s="18">
        <f ca="1">Combine!I98</f>
        <v>3.6126710233991619</v>
      </c>
      <c r="F98" s="23">
        <f>C98*Inputs!$B$11*Inputs!$B$12*0.01</f>
        <v>2545.0300000000002</v>
      </c>
      <c r="G98" s="23">
        <f ca="1">C98*Inputs!$B$11*Inputs!$B$12*D98</f>
        <v>2302.1005109415742</v>
      </c>
      <c r="H98" s="23">
        <f>Inputs!$B$4*Inputs!$B$5/SQRT(Inputs!$B$6)</f>
        <v>12500</v>
      </c>
      <c r="I98" s="19">
        <f t="shared" ca="1" si="2"/>
        <v>5.4298237373169336</v>
      </c>
      <c r="J98" s="19">
        <f ca="1">I98*E98/Inputs!$B$7</f>
        <v>1.9616166877969827</v>
      </c>
      <c r="K98" s="24">
        <f t="shared" ca="1" si="3"/>
        <v>2</v>
      </c>
    </row>
    <row r="99" spans="1:11" x14ac:dyDescent="0.25">
      <c r="A99" s="16">
        <f>Prices!A99</f>
        <v>96</v>
      </c>
      <c r="B99" s="17">
        <f>Prices!B99</f>
        <v>46003</v>
      </c>
      <c r="C99" s="18">
        <f>Prices!C99</f>
        <v>2565.9899999999998</v>
      </c>
      <c r="D99" s="22">
        <f ca="1">Prices!G99</f>
        <v>9.0145014031123988E-3</v>
      </c>
      <c r="E99" s="18">
        <f ca="1">Combine!I99</f>
        <v>4.3064853101089842</v>
      </c>
      <c r="F99" s="23">
        <f>C99*Inputs!$B$11*Inputs!$B$12*0.01</f>
        <v>2565.9899999999998</v>
      </c>
      <c r="G99" s="23">
        <f ca="1">C99*Inputs!$B$11*Inputs!$B$12*D99</f>
        <v>2313.1120455372384</v>
      </c>
      <c r="H99" s="23">
        <f>Inputs!$B$4*Inputs!$B$5/SQRT(Inputs!$B$6)</f>
        <v>12500</v>
      </c>
      <c r="I99" s="19">
        <f t="shared" ca="1" si="2"/>
        <v>5.4039751442722599</v>
      </c>
      <c r="J99" s="19">
        <f ca="1">I99*E99/Inputs!$B$7</f>
        <v>2.3272139575002564</v>
      </c>
      <c r="K99" s="24">
        <f t="shared" ca="1" si="3"/>
        <v>2</v>
      </c>
    </row>
    <row r="100" spans="1:11" x14ac:dyDescent="0.25">
      <c r="A100" s="16">
        <f>Prices!A100</f>
        <v>97</v>
      </c>
      <c r="B100" s="17">
        <f>Prices!B100</f>
        <v>46006</v>
      </c>
      <c r="C100" s="18">
        <f>Prices!C100</f>
        <v>2573.71</v>
      </c>
      <c r="D100" s="22">
        <f ca="1">Prices!G100</f>
        <v>8.7938100928474754E-3</v>
      </c>
      <c r="E100" s="18">
        <f ca="1">Combine!I100</f>
        <v>4.670738853141744</v>
      </c>
      <c r="F100" s="23">
        <f>C100*Inputs!$B$11*Inputs!$B$12*0.01</f>
        <v>2573.71</v>
      </c>
      <c r="G100" s="23">
        <f ca="1">C100*Inputs!$B$11*Inputs!$B$12*D100</f>
        <v>2263.2716974062478</v>
      </c>
      <c r="H100" s="23">
        <f>Inputs!$B$4*Inputs!$B$5/SQRT(Inputs!$B$6)</f>
        <v>12500</v>
      </c>
      <c r="I100" s="19">
        <f t="shared" ca="1" si="2"/>
        <v>5.5229780915500495</v>
      </c>
      <c r="J100" s="19">
        <f ca="1">I100*E100/Inputs!$B$7</f>
        <v>2.5796388357253455</v>
      </c>
      <c r="K100" s="24">
        <f t="shared" ca="1" si="3"/>
        <v>3</v>
      </c>
    </row>
    <row r="101" spans="1:11" x14ac:dyDescent="0.25">
      <c r="A101" s="16">
        <f>Prices!A101</f>
        <v>98</v>
      </c>
      <c r="B101" s="17">
        <f>Prices!B101</f>
        <v>46007</v>
      </c>
      <c r="C101" s="18">
        <f>Prices!C101</f>
        <v>2603.23</v>
      </c>
      <c r="D101" s="22">
        <f ca="1">Prices!G101</f>
        <v>8.9603538157604738E-3</v>
      </c>
      <c r="E101" s="18">
        <f ca="1">Combine!I101</f>
        <v>5.6712778032735027</v>
      </c>
      <c r="F101" s="23">
        <f>C101*Inputs!$B$11*Inputs!$B$12*0.01</f>
        <v>2603.23</v>
      </c>
      <c r="G101" s="23">
        <f ca="1">C101*Inputs!$B$11*Inputs!$B$12*D101</f>
        <v>2332.5861863802138</v>
      </c>
      <c r="H101" s="23">
        <f>Inputs!$B$4*Inputs!$B$5/SQRT(Inputs!$B$6)</f>
        <v>12500</v>
      </c>
      <c r="I101" s="19">
        <f t="shared" ca="1" si="2"/>
        <v>5.3588587950089526</v>
      </c>
      <c r="J101" s="19">
        <f ca="1">I101*E101/Inputs!$B$7</f>
        <v>3.0391576935011262</v>
      </c>
      <c r="K101" s="24">
        <f t="shared" ca="1" si="3"/>
        <v>3</v>
      </c>
    </row>
    <row r="102" spans="1:11" x14ac:dyDescent="0.25">
      <c r="A102" s="16">
        <f>Prices!A102</f>
        <v>99</v>
      </c>
      <c r="B102" s="17">
        <f>Prices!B102</f>
        <v>46008</v>
      </c>
      <c r="C102" s="18">
        <f>Prices!C102</f>
        <v>2600.37</v>
      </c>
      <c r="D102" s="22">
        <f ca="1">Prices!G102</f>
        <v>8.6867080654773176E-3</v>
      </c>
      <c r="E102" s="18">
        <f ca="1">Combine!I102</f>
        <v>5.8512039816043906</v>
      </c>
      <c r="F102" s="23">
        <f>C102*Inputs!$B$11*Inputs!$B$12*0.01</f>
        <v>2600.37</v>
      </c>
      <c r="G102" s="23">
        <f ca="1">C102*Inputs!$B$11*Inputs!$B$12*D102</f>
        <v>2258.8655052225254</v>
      </c>
      <c r="H102" s="23">
        <f>Inputs!$B$4*Inputs!$B$5/SQRT(Inputs!$B$6)</f>
        <v>12500</v>
      </c>
      <c r="I102" s="19">
        <f t="shared" ca="1" si="2"/>
        <v>5.5337513327375376</v>
      </c>
      <c r="J102" s="19">
        <f ca="1">I102*E102/Inputs!$B$7</f>
        <v>3.2379107831322487</v>
      </c>
      <c r="K102" s="24">
        <f t="shared" ca="1" si="3"/>
        <v>3</v>
      </c>
    </row>
    <row r="103" spans="1:11" x14ac:dyDescent="0.25">
      <c r="A103" s="16">
        <f>Prices!A103</f>
        <v>100</v>
      </c>
      <c r="B103" s="17">
        <f>Prices!B103</f>
        <v>46009</v>
      </c>
      <c r="C103" s="18">
        <f>Prices!C103</f>
        <v>2649.08</v>
      </c>
      <c r="D103" s="22">
        <f ca="1">Prices!G103</f>
        <v>9.0588205215947071E-3</v>
      </c>
      <c r="E103" s="18">
        <f ca="1">Combine!I103</f>
        <v>7.486933896588325</v>
      </c>
      <c r="F103" s="23">
        <f>C103*Inputs!$B$11*Inputs!$B$12*0.01</f>
        <v>2649.08</v>
      </c>
      <c r="G103" s="23">
        <f ca="1">C103*Inputs!$B$11*Inputs!$B$12*D103</f>
        <v>2399.7540267346108</v>
      </c>
      <c r="H103" s="23">
        <f>Inputs!$B$4*Inputs!$B$5/SQRT(Inputs!$B$6)</f>
        <v>12500</v>
      </c>
      <c r="I103" s="19">
        <f t="shared" ca="1" si="2"/>
        <v>5.208867184195948</v>
      </c>
      <c r="J103" s="19">
        <f ca="1">I103*E103/Inputs!$B$7</f>
        <v>3.899844428418322</v>
      </c>
      <c r="K103" s="24">
        <f t="shared" ca="1" si="3"/>
        <v>4</v>
      </c>
    </row>
    <row r="104" spans="1:11" x14ac:dyDescent="0.25">
      <c r="A104" s="16">
        <f>Prices!A104</f>
        <v>101</v>
      </c>
      <c r="B104" s="17">
        <f>Prices!B104</f>
        <v>46010</v>
      </c>
      <c r="C104" s="18">
        <f>Prices!C104</f>
        <v>2637.45</v>
      </c>
      <c r="D104" s="22">
        <f ca="1">Prices!G104</f>
        <v>9.0074482158550868E-3</v>
      </c>
      <c r="E104" s="18">
        <f ca="1">Combine!I104</f>
        <v>7.3751767529483621</v>
      </c>
      <c r="F104" s="23">
        <f>C104*Inputs!$B$11*Inputs!$B$12*0.01</f>
        <v>2637.4500000000003</v>
      </c>
      <c r="G104" s="23">
        <f ca="1">C104*Inputs!$B$11*Inputs!$B$12*D104</f>
        <v>2375.6694296906999</v>
      </c>
      <c r="H104" s="23">
        <f>Inputs!$B$4*Inputs!$B$5/SQRT(Inputs!$B$6)</f>
        <v>12500</v>
      </c>
      <c r="I104" s="19">
        <f t="shared" ca="1" si="2"/>
        <v>5.2616748120665244</v>
      </c>
      <c r="J104" s="19">
        <f ca="1">I104*E104/Inputs!$B$7</f>
        <v>3.8805781755526971</v>
      </c>
      <c r="K104" s="24">
        <f t="shared" ca="1" si="3"/>
        <v>4</v>
      </c>
    </row>
    <row r="105" spans="1:11" x14ac:dyDescent="0.25">
      <c r="A105" s="16">
        <f>Prices!A105</f>
        <v>102</v>
      </c>
      <c r="B105" s="17">
        <f>Prices!B105</f>
        <v>46013</v>
      </c>
      <c r="C105" s="18">
        <f>Prices!C105</f>
        <v>2677.36</v>
      </c>
      <c r="D105" s="22">
        <f ca="1">Prices!G105</f>
        <v>8.9574859804979253E-3</v>
      </c>
      <c r="E105" s="18">
        <f ca="1">Combine!I105</f>
        <v>8.5472915260750071</v>
      </c>
      <c r="F105" s="23">
        <f>C105*Inputs!$B$11*Inputs!$B$12*0.01</f>
        <v>2677.36</v>
      </c>
      <c r="G105" s="23">
        <f ca="1">C105*Inputs!$B$11*Inputs!$B$12*D105</f>
        <v>2398.2414664745925</v>
      </c>
      <c r="H105" s="23">
        <f>Inputs!$B$4*Inputs!$B$5/SQRT(Inputs!$B$6)</f>
        <v>12500</v>
      </c>
      <c r="I105" s="19">
        <f t="shared" ca="1" si="2"/>
        <v>5.2121523936348915</v>
      </c>
      <c r="J105" s="19">
        <f ca="1">I105*E105/Inputs!$B$7</f>
        <v>4.4549785986727075</v>
      </c>
      <c r="K105" s="24">
        <f t="shared" ca="1" si="3"/>
        <v>4</v>
      </c>
    </row>
    <row r="106" spans="1:11" x14ac:dyDescent="0.25">
      <c r="A106" s="16">
        <f>Prices!A106</f>
        <v>103</v>
      </c>
      <c r="B106" s="17">
        <f>Prices!B106</f>
        <v>46014</v>
      </c>
      <c r="C106" s="18">
        <f>Prices!C106</f>
        <v>2678.3</v>
      </c>
      <c r="D106" s="22">
        <f ca="1">Prices!G106</f>
        <v>8.9416180164360488E-3</v>
      </c>
      <c r="E106" s="18">
        <f ca="1">Combine!I106</f>
        <v>8.8888639685763646</v>
      </c>
      <c r="F106" s="23">
        <f>C106*Inputs!$B$11*Inputs!$B$12*0.01</f>
        <v>2678.3</v>
      </c>
      <c r="G106" s="23">
        <f ca="1">C106*Inputs!$B$11*Inputs!$B$12*D106</f>
        <v>2394.8335533420668</v>
      </c>
      <c r="H106" s="23">
        <f>Inputs!$B$4*Inputs!$B$5/SQRT(Inputs!$B$6)</f>
        <v>12500</v>
      </c>
      <c r="I106" s="19">
        <f t="shared" ca="1" si="2"/>
        <v>5.2195694279278202</v>
      </c>
      <c r="J106" s="19">
        <f ca="1">I106*E106/Inputs!$B$7</f>
        <v>4.6396042619390352</v>
      </c>
      <c r="K106" s="24">
        <f t="shared" ca="1" si="3"/>
        <v>5</v>
      </c>
    </row>
    <row r="107" spans="1:11" x14ac:dyDescent="0.25">
      <c r="A107" s="16">
        <f>Prices!A107</f>
        <v>104</v>
      </c>
      <c r="B107" s="17">
        <f>Prices!B107</f>
        <v>46015</v>
      </c>
      <c r="C107" s="18">
        <f>Prices!C107</f>
        <v>2662.33</v>
      </c>
      <c r="D107" s="22">
        <f ca="1">Prices!G107</f>
        <v>8.997028404878326E-3</v>
      </c>
      <c r="E107" s="18">
        <f ca="1">Combine!I107</f>
        <v>8.600326058506651</v>
      </c>
      <c r="F107" s="23">
        <f>C107*Inputs!$B$11*Inputs!$B$12*0.01</f>
        <v>2662.33</v>
      </c>
      <c r="G107" s="23">
        <f ca="1">C107*Inputs!$B$11*Inputs!$B$12*D107</f>
        <v>2395.3058633159712</v>
      </c>
      <c r="H107" s="23">
        <f>Inputs!$B$4*Inputs!$B$5/SQRT(Inputs!$B$6)</f>
        <v>12500</v>
      </c>
      <c r="I107" s="19">
        <f t="shared" ca="1" si="2"/>
        <v>5.2185402254622595</v>
      </c>
      <c r="J107" s="19">
        <f ca="1">I107*E107/Inputs!$B$7</f>
        <v>4.4881147488408244</v>
      </c>
      <c r="K107" s="24">
        <f t="shared" ca="1" si="3"/>
        <v>4</v>
      </c>
    </row>
    <row r="108" spans="1:11" x14ac:dyDescent="0.25">
      <c r="A108" s="16">
        <f>Prices!A108</f>
        <v>105</v>
      </c>
      <c r="B108" s="17">
        <f>Prices!B108</f>
        <v>46016</v>
      </c>
      <c r="C108" s="18">
        <f>Prices!C108</f>
        <v>2630.15</v>
      </c>
      <c r="D108" s="22">
        <f ca="1">Prices!G108</f>
        <v>9.1782508210210625E-3</v>
      </c>
      <c r="E108" s="18">
        <f ca="1">Combine!I108</f>
        <v>7.6142938523307295</v>
      </c>
      <c r="F108" s="23">
        <f>C108*Inputs!$B$11*Inputs!$B$12*0.01</f>
        <v>2630.15</v>
      </c>
      <c r="G108" s="23">
        <f ca="1">C108*Inputs!$B$11*Inputs!$B$12*D108</f>
        <v>2414.0176396908546</v>
      </c>
      <c r="H108" s="23">
        <f>Inputs!$B$4*Inputs!$B$5/SQRT(Inputs!$B$6)</f>
        <v>12500</v>
      </c>
      <c r="I108" s="19">
        <f t="shared" ca="1" si="2"/>
        <v>5.178089751490293</v>
      </c>
      <c r="J108" s="19">
        <f ca="1">I108*E108/Inputs!$B$7</f>
        <v>3.9427496961589292</v>
      </c>
      <c r="K108" s="24">
        <f t="shared" ca="1" si="3"/>
        <v>4</v>
      </c>
    </row>
    <row r="109" spans="1:11" x14ac:dyDescent="0.25">
      <c r="A109" s="16">
        <f>Prices!A109</f>
        <v>106</v>
      </c>
      <c r="B109" s="17">
        <f>Prices!B109</f>
        <v>46017</v>
      </c>
      <c r="C109" s="18">
        <f>Prices!C109</f>
        <v>2624.08</v>
      </c>
      <c r="D109" s="22">
        <f ca="1">Prices!G109</f>
        <v>9.1435043091102983E-3</v>
      </c>
      <c r="E109" s="18">
        <f ca="1">Combine!I109</f>
        <v>7.4345500213842648</v>
      </c>
      <c r="F109" s="23">
        <f>C109*Inputs!$B$11*Inputs!$B$12*0.01</f>
        <v>2624.08</v>
      </c>
      <c r="G109" s="23">
        <f ca="1">C109*Inputs!$B$11*Inputs!$B$12*D109</f>
        <v>2399.3286787450152</v>
      </c>
      <c r="H109" s="23">
        <f>Inputs!$B$4*Inputs!$B$5/SQRT(Inputs!$B$6)</f>
        <v>12500</v>
      </c>
      <c r="I109" s="19">
        <f t="shared" ca="1" si="2"/>
        <v>5.2097906013186188</v>
      </c>
      <c r="J109" s="19">
        <f ca="1">I109*E109/Inputs!$B$7</f>
        <v>3.8732448826440882</v>
      </c>
      <c r="K109" s="24">
        <f t="shared" ca="1" si="3"/>
        <v>4</v>
      </c>
    </row>
    <row r="110" spans="1:11" x14ac:dyDescent="0.25">
      <c r="A110" s="16">
        <f>Prices!A110</f>
        <v>107</v>
      </c>
      <c r="B110" s="17">
        <f>Prices!B110</f>
        <v>46020</v>
      </c>
      <c r="C110" s="18">
        <f>Prices!C110</f>
        <v>2659.33</v>
      </c>
      <c r="D110" s="22">
        <f ca="1">Prices!G110</f>
        <v>9.3109051939704417E-3</v>
      </c>
      <c r="E110" s="18">
        <f ca="1">Combine!I110</f>
        <v>8.3121360258475718</v>
      </c>
      <c r="F110" s="23">
        <f>C110*Inputs!$B$11*Inputs!$B$12*0.01</f>
        <v>2659.33</v>
      </c>
      <c r="G110" s="23">
        <f ca="1">C110*Inputs!$B$11*Inputs!$B$12*D110</f>
        <v>2476.0769509481415</v>
      </c>
      <c r="H110" s="23">
        <f>Inputs!$B$4*Inputs!$B$5/SQRT(Inputs!$B$6)</f>
        <v>12500</v>
      </c>
      <c r="I110" s="19">
        <f t="shared" ca="1" si="2"/>
        <v>5.0483083715203154</v>
      </c>
      <c r="J110" s="19">
        <f ca="1">I110*E110/Inputs!$B$7</f>
        <v>4.1962225884501905</v>
      </c>
      <c r="K110" s="24">
        <f t="shared" ca="1" si="3"/>
        <v>4</v>
      </c>
    </row>
    <row r="111" spans="1:11" x14ac:dyDescent="0.25">
      <c r="A111" s="16">
        <f>Prices!A111</f>
        <v>108</v>
      </c>
      <c r="B111" s="17">
        <f>Prices!B111</f>
        <v>46021</v>
      </c>
      <c r="C111" s="18">
        <f>Prices!C111</f>
        <v>2678.91</v>
      </c>
      <c r="D111" s="22">
        <f ca="1">Prices!G111</f>
        <v>8.826167895653823E-3</v>
      </c>
      <c r="E111" s="18">
        <f ca="1">Combine!I111</f>
        <v>9.2844505977967113</v>
      </c>
      <c r="F111" s="23">
        <f>C111*Inputs!$B$11*Inputs!$B$12*0.01</f>
        <v>2678.91</v>
      </c>
      <c r="G111" s="23">
        <f ca="1">C111*Inputs!$B$11*Inputs!$B$12*D111</f>
        <v>2364.4509437345982</v>
      </c>
      <c r="H111" s="23">
        <f>Inputs!$B$4*Inputs!$B$5/SQRT(Inputs!$B$6)</f>
        <v>12500</v>
      </c>
      <c r="I111" s="19">
        <f t="shared" ca="1" si="2"/>
        <v>5.286639603635221</v>
      </c>
      <c r="J111" s="19">
        <f ca="1">I111*E111/Inputs!$B$7</f>
        <v>4.9083544228306799</v>
      </c>
      <c r="K111" s="24">
        <f t="shared" ca="1" si="3"/>
        <v>5</v>
      </c>
    </row>
    <row r="112" spans="1:11" x14ac:dyDescent="0.25">
      <c r="A112" s="16">
        <f>Prices!A112</f>
        <v>109</v>
      </c>
      <c r="B112" s="17">
        <f>Prices!B112</f>
        <v>46022</v>
      </c>
      <c r="C112" s="18">
        <f>Prices!C112</f>
        <v>2695.22</v>
      </c>
      <c r="D112" s="22">
        <f ca="1">Prices!G112</f>
        <v>8.8260486659325933E-3</v>
      </c>
      <c r="E112" s="18">
        <f ca="1">Combine!I112</f>
        <v>9.6479834246434724</v>
      </c>
      <c r="F112" s="23">
        <f>C112*Inputs!$B$11*Inputs!$B$12*0.01</f>
        <v>2695.2200000000003</v>
      </c>
      <c r="G112" s="23">
        <f ca="1">C112*Inputs!$B$11*Inputs!$B$12*D112</f>
        <v>2378.8142885394846</v>
      </c>
      <c r="H112" s="23">
        <f>Inputs!$B$4*Inputs!$B$5/SQRT(Inputs!$B$6)</f>
        <v>12500</v>
      </c>
      <c r="I112" s="19">
        <f t="shared" ca="1" si="2"/>
        <v>5.2547187311854415</v>
      </c>
      <c r="J112" s="19">
        <f ca="1">I112*E112/Inputs!$B$7</f>
        <v>5.0697439219640721</v>
      </c>
      <c r="K112" s="24">
        <f t="shared" ca="1" si="3"/>
        <v>5</v>
      </c>
    </row>
    <row r="113" spans="1:11" x14ac:dyDescent="0.25">
      <c r="A113" s="16">
        <f>Prices!A113</f>
        <v>110</v>
      </c>
      <c r="B113" s="17">
        <f>Prices!B113</f>
        <v>46023</v>
      </c>
      <c r="C113" s="18">
        <f>Prices!C113</f>
        <v>2629.03</v>
      </c>
      <c r="D113" s="22">
        <f ca="1">Prices!G113</f>
        <v>9.5434045667807353E-3</v>
      </c>
      <c r="E113" s="18">
        <f ca="1">Combine!I113</f>
        <v>7.3909293999782122</v>
      </c>
      <c r="F113" s="23">
        <f>C113*Inputs!$B$11*Inputs!$B$12*0.01</f>
        <v>2629.03</v>
      </c>
      <c r="G113" s="23">
        <f ca="1">C113*Inputs!$B$11*Inputs!$B$12*D113</f>
        <v>2508.9896908203555</v>
      </c>
      <c r="H113" s="23">
        <f>Inputs!$B$4*Inputs!$B$5/SQRT(Inputs!$B$6)</f>
        <v>12500</v>
      </c>
      <c r="I113" s="19">
        <f t="shared" ref="I113:I144" ca="1" si="4">H113/G113</f>
        <v>4.9820850383458213</v>
      </c>
      <c r="J113" s="19">
        <f ca="1">I113*E113/Inputs!$B$7</f>
        <v>3.6822238783101708</v>
      </c>
      <c r="K113" s="24">
        <f t="shared" ref="K113:K144" ca="1" si="5">ROUND(J113,0)</f>
        <v>4</v>
      </c>
    </row>
    <row r="114" spans="1:11" x14ac:dyDescent="0.25">
      <c r="A114" s="16">
        <f>Prices!A114</f>
        <v>111</v>
      </c>
      <c r="B114" s="17">
        <f>Prices!B114</f>
        <v>46024</v>
      </c>
      <c r="C114" s="18">
        <f>Prices!C114</f>
        <v>2645.62</v>
      </c>
      <c r="D114" s="22">
        <f ca="1">Prices!G114</f>
        <v>9.5275911498734975E-3</v>
      </c>
      <c r="E114" s="18">
        <f ca="1">Combine!I114</f>
        <v>7.7157869784735702</v>
      </c>
      <c r="F114" s="23">
        <f>C114*Inputs!$B$11*Inputs!$B$12*0.01</f>
        <v>2645.62</v>
      </c>
      <c r="G114" s="23">
        <f ca="1">C114*Inputs!$B$11*Inputs!$B$12*D114</f>
        <v>2520.6385697928322</v>
      </c>
      <c r="H114" s="23">
        <f>Inputs!$B$4*Inputs!$B$5/SQRT(Inputs!$B$6)</f>
        <v>12500</v>
      </c>
      <c r="I114" s="19">
        <f t="shared" ca="1" si="4"/>
        <v>4.9590608307748614</v>
      </c>
      <c r="J114" s="19">
        <f ca="1">I114*E114/Inputs!$B$7</f>
        <v>3.8263056983551005</v>
      </c>
      <c r="K114" s="24">
        <f t="shared" ca="1" si="5"/>
        <v>4</v>
      </c>
    </row>
    <row r="115" spans="1:11" x14ac:dyDescent="0.25">
      <c r="A115" s="16">
        <f>Prices!A115</f>
        <v>112</v>
      </c>
      <c r="B115" s="17">
        <f>Prices!B115</f>
        <v>46027</v>
      </c>
      <c r="C115" s="18">
        <f>Prices!C115</f>
        <v>2661.65</v>
      </c>
      <c r="D115" s="22">
        <f ca="1">Prices!G115</f>
        <v>9.4493999001101763E-3</v>
      </c>
      <c r="E115" s="18">
        <f ca="1">Combine!I115</f>
        <v>8.1391900168413613</v>
      </c>
      <c r="F115" s="23">
        <f>C115*Inputs!$B$11*Inputs!$B$12*0.01</f>
        <v>2661.65</v>
      </c>
      <c r="G115" s="23">
        <f ca="1">C115*Inputs!$B$11*Inputs!$B$12*D115</f>
        <v>2515.0995244128253</v>
      </c>
      <c r="H115" s="23">
        <f>Inputs!$B$4*Inputs!$B$5/SQRT(Inputs!$B$6)</f>
        <v>12500</v>
      </c>
      <c r="I115" s="19">
        <f t="shared" ca="1" si="4"/>
        <v>4.9699822526578732</v>
      </c>
      <c r="J115" s="19">
        <f ca="1">I115*E115/Inputs!$B$7</f>
        <v>4.0451629934711706</v>
      </c>
      <c r="K115" s="24">
        <f t="shared" ca="1" si="5"/>
        <v>4</v>
      </c>
    </row>
    <row r="116" spans="1:11" x14ac:dyDescent="0.25">
      <c r="A116" s="16">
        <f>Prices!A116</f>
        <v>113</v>
      </c>
      <c r="B116" s="17">
        <f>Prices!B116</f>
        <v>46028</v>
      </c>
      <c r="C116" s="18">
        <f>Prices!C116</f>
        <v>2648.34</v>
      </c>
      <c r="D116" s="22">
        <f ca="1">Prices!G116</f>
        <v>9.4066473257400744E-3</v>
      </c>
      <c r="E116" s="18">
        <f ca="1">Combine!I116</f>
        <v>7.8094772388413904</v>
      </c>
      <c r="F116" s="23">
        <f>C116*Inputs!$B$11*Inputs!$B$12*0.01</f>
        <v>2648.34</v>
      </c>
      <c r="G116" s="23">
        <f ca="1">C116*Inputs!$B$11*Inputs!$B$12*D116</f>
        <v>2491.2000378650469</v>
      </c>
      <c r="H116" s="23">
        <f>Inputs!$B$4*Inputs!$B$5/SQRT(Inputs!$B$6)</f>
        <v>12500</v>
      </c>
      <c r="I116" s="19">
        <f t="shared" ca="1" si="4"/>
        <v>5.017662094575301</v>
      </c>
      <c r="J116" s="19">
        <f ca="1">I116*E116/Inputs!$B$7</f>
        <v>3.9185317919783031</v>
      </c>
      <c r="K116" s="24">
        <f t="shared" ca="1" si="5"/>
        <v>4</v>
      </c>
    </row>
    <row r="117" spans="1:11" x14ac:dyDescent="0.25">
      <c r="A117" s="16">
        <f>Prices!A117</f>
        <v>114</v>
      </c>
      <c r="B117" s="17">
        <f>Prices!B117</f>
        <v>46029</v>
      </c>
      <c r="C117" s="18">
        <f>Prices!C117</f>
        <v>2633.05</v>
      </c>
      <c r="D117" s="22">
        <f ca="1">Prices!G117</f>
        <v>9.3912383052266613E-3</v>
      </c>
      <c r="E117" s="18">
        <f ca="1">Combine!I117</f>
        <v>7.3541979600428169</v>
      </c>
      <c r="F117" s="23">
        <f>C117*Inputs!$B$11*Inputs!$B$12*0.01</f>
        <v>2633.05</v>
      </c>
      <c r="G117" s="23">
        <f ca="1">C117*Inputs!$B$11*Inputs!$B$12*D117</f>
        <v>2472.7600019577062</v>
      </c>
      <c r="H117" s="23">
        <f>Inputs!$B$4*Inputs!$B$5/SQRT(Inputs!$B$6)</f>
        <v>12500</v>
      </c>
      <c r="I117" s="19">
        <f t="shared" ca="1" si="4"/>
        <v>5.0550801493487594</v>
      </c>
      <c r="J117" s="19">
        <f ca="1">I117*E117/Inputs!$B$7</f>
        <v>3.7176060122193584</v>
      </c>
      <c r="K117" s="24">
        <f t="shared" ca="1" si="5"/>
        <v>4</v>
      </c>
    </row>
    <row r="118" spans="1:11" x14ac:dyDescent="0.25">
      <c r="A118" s="16">
        <f>Prices!A118</f>
        <v>115</v>
      </c>
      <c r="B118" s="17">
        <f>Prices!B118</f>
        <v>46030</v>
      </c>
      <c r="C118" s="18">
        <f>Prices!C118</f>
        <v>2634.31</v>
      </c>
      <c r="D118" s="22">
        <f ca="1">Prices!G118</f>
        <v>9.3749240909305406E-3</v>
      </c>
      <c r="E118" s="18">
        <f ca="1">Combine!I118</f>
        <v>7.2918364408109371</v>
      </c>
      <c r="F118" s="23">
        <f>C118*Inputs!$B$11*Inputs!$B$12*0.01</f>
        <v>2634.31</v>
      </c>
      <c r="G118" s="23">
        <f ca="1">C118*Inputs!$B$11*Inputs!$B$12*D118</f>
        <v>2469.6456281979231</v>
      </c>
      <c r="H118" s="23">
        <f>Inputs!$B$4*Inputs!$B$5/SQRT(Inputs!$B$6)</f>
        <v>12500</v>
      </c>
      <c r="I118" s="19">
        <f t="shared" ca="1" si="4"/>
        <v>5.0614549137242539</v>
      </c>
      <c r="J118" s="19">
        <f ca="1">I118*E118/Inputs!$B$7</f>
        <v>3.6907301383416091</v>
      </c>
      <c r="K118" s="24">
        <f t="shared" ca="1" si="5"/>
        <v>4</v>
      </c>
    </row>
    <row r="119" spans="1:11" x14ac:dyDescent="0.25">
      <c r="A119" s="16">
        <f>Prices!A119</f>
        <v>116</v>
      </c>
      <c r="B119" s="17">
        <f>Prices!B119</f>
        <v>46031</v>
      </c>
      <c r="C119" s="18">
        <f>Prices!C119</f>
        <v>2681.06</v>
      </c>
      <c r="D119" s="22">
        <f ca="1">Prices!G119</f>
        <v>9.67394760096019E-3</v>
      </c>
      <c r="E119" s="18">
        <f ca="1">Combine!I119</f>
        <v>8.2951108641238029</v>
      </c>
      <c r="F119" s="23">
        <f>C119*Inputs!$B$11*Inputs!$B$12*0.01</f>
        <v>2681.06</v>
      </c>
      <c r="G119" s="23">
        <f ca="1">C119*Inputs!$B$11*Inputs!$B$12*D119</f>
        <v>2593.6433955030329</v>
      </c>
      <c r="H119" s="23">
        <f>Inputs!$B$4*Inputs!$B$5/SQRT(Inputs!$B$6)</f>
        <v>12500</v>
      </c>
      <c r="I119" s="19">
        <f t="shared" ca="1" si="4"/>
        <v>4.8194751914133693</v>
      </c>
      <c r="J119" s="19">
        <f ca="1">I119*E119/Inputs!$B$7</f>
        <v>3.9978081019668181</v>
      </c>
      <c r="K119" s="24">
        <f t="shared" ca="1" si="5"/>
        <v>4</v>
      </c>
    </row>
    <row r="120" spans="1:11" x14ac:dyDescent="0.25">
      <c r="A120" s="16">
        <f>Prices!A120</f>
        <v>117</v>
      </c>
      <c r="B120" s="17">
        <f>Prices!B120</f>
        <v>46034</v>
      </c>
      <c r="C120" s="18">
        <f>Prices!C120</f>
        <v>2654.11</v>
      </c>
      <c r="D120" s="22">
        <f ca="1">Prices!G120</f>
        <v>9.7206202719516896E-3</v>
      </c>
      <c r="E120" s="18">
        <f ca="1">Combine!I120</f>
        <v>7.5579293027109253</v>
      </c>
      <c r="F120" s="23">
        <f>C120*Inputs!$B$11*Inputs!$B$12*0.01</f>
        <v>2654.11</v>
      </c>
      <c r="G120" s="23">
        <f ca="1">C120*Inputs!$B$11*Inputs!$B$12*D120</f>
        <v>2579.9595469989699</v>
      </c>
      <c r="H120" s="23">
        <f>Inputs!$B$4*Inputs!$B$5/SQRT(Inputs!$B$6)</f>
        <v>12500</v>
      </c>
      <c r="I120" s="19">
        <f t="shared" ca="1" si="4"/>
        <v>4.8450372078663415</v>
      </c>
      <c r="J120" s="19">
        <f ca="1">I120*E120/Inputs!$B$7</f>
        <v>3.6618448686057747</v>
      </c>
      <c r="K120" s="24">
        <f t="shared" ca="1" si="5"/>
        <v>4</v>
      </c>
    </row>
    <row r="121" spans="1:11" x14ac:dyDescent="0.25">
      <c r="A121" s="16">
        <f>Prices!A121</f>
        <v>118</v>
      </c>
      <c r="B121" s="17">
        <f>Prices!B121</f>
        <v>46035</v>
      </c>
      <c r="C121" s="18">
        <f>Prices!C121</f>
        <v>2644.09</v>
      </c>
      <c r="D121" s="22">
        <f ca="1">Prices!G121</f>
        <v>9.7123070391445798E-3</v>
      </c>
      <c r="E121" s="18">
        <f ca="1">Combine!I121</f>
        <v>7.2285125248462254</v>
      </c>
      <c r="F121" s="23">
        <f>C121*Inputs!$B$11*Inputs!$B$12*0.01</f>
        <v>2644.09</v>
      </c>
      <c r="G121" s="23">
        <f ca="1">C121*Inputs!$B$11*Inputs!$B$12*D121</f>
        <v>2568.0213919131793</v>
      </c>
      <c r="H121" s="23">
        <f>Inputs!$B$4*Inputs!$B$5/SQRT(Inputs!$B$6)</f>
        <v>12500</v>
      </c>
      <c r="I121" s="19">
        <f t="shared" ca="1" si="4"/>
        <v>4.867560698428405</v>
      </c>
      <c r="J121" s="19">
        <f ca="1">I121*E121/Inputs!$B$7</f>
        <v>3.5185223474038962</v>
      </c>
      <c r="K121" s="24">
        <f t="shared" ca="1" si="5"/>
        <v>4</v>
      </c>
    </row>
    <row r="122" spans="1:11" x14ac:dyDescent="0.25">
      <c r="A122" s="16">
        <f>Prices!A122</f>
        <v>119</v>
      </c>
      <c r="B122" s="17">
        <f>Prices!B122</f>
        <v>46036</v>
      </c>
      <c r="C122" s="18">
        <f>Prices!C122</f>
        <v>2681.42</v>
      </c>
      <c r="D122" s="22">
        <f ca="1">Prices!G122</f>
        <v>9.4583682027353337E-3</v>
      </c>
      <c r="E122" s="18">
        <f ca="1">Combine!I122</f>
        <v>8.3298375544554837</v>
      </c>
      <c r="F122" s="23">
        <f>C122*Inputs!$B$11*Inputs!$B$12*0.01</f>
        <v>2681.42</v>
      </c>
      <c r="G122" s="23">
        <f ca="1">C122*Inputs!$B$11*Inputs!$B$12*D122</f>
        <v>2536.185766617858</v>
      </c>
      <c r="H122" s="23">
        <f>Inputs!$B$4*Inputs!$B$5/SQRT(Inputs!$B$6)</f>
        <v>12500</v>
      </c>
      <c r="I122" s="19">
        <f t="shared" ca="1" si="4"/>
        <v>4.9286610486224092</v>
      </c>
      <c r="J122" s="19">
        <f ca="1">I122*E122/Inputs!$B$7</f>
        <v>4.1054945895996884</v>
      </c>
      <c r="K122" s="24">
        <f t="shared" ca="1" si="5"/>
        <v>4</v>
      </c>
    </row>
    <row r="123" spans="1:11" x14ac:dyDescent="0.25">
      <c r="A123" s="16">
        <f>Prices!A123</f>
        <v>120</v>
      </c>
      <c r="B123" s="17">
        <f>Prices!B123</f>
        <v>46037</v>
      </c>
      <c r="C123" s="18">
        <f>Prices!C123</f>
        <v>2670.79</v>
      </c>
      <c r="D123" s="22">
        <f ca="1">Prices!G123</f>
        <v>9.2899148000064428E-3</v>
      </c>
      <c r="E123" s="18">
        <f ca="1">Combine!I123</f>
        <v>8.1730813204239485</v>
      </c>
      <c r="F123" s="23">
        <f>C123*Inputs!$B$11*Inputs!$B$12*0.01</f>
        <v>2670.79</v>
      </c>
      <c r="G123" s="23">
        <f ca="1">C123*Inputs!$B$11*Inputs!$B$12*D123</f>
        <v>2481.1411548709207</v>
      </c>
      <c r="H123" s="23">
        <f>Inputs!$B$4*Inputs!$B$5/SQRT(Inputs!$B$6)</f>
        <v>12500</v>
      </c>
      <c r="I123" s="19">
        <f t="shared" ca="1" si="4"/>
        <v>5.0380043777276757</v>
      </c>
      <c r="J123" s="19">
        <f ca="1">I123*E123/Inputs!$B$7</f>
        <v>4.1176019471820151</v>
      </c>
      <c r="K123" s="24">
        <f t="shared" ca="1" si="5"/>
        <v>4</v>
      </c>
    </row>
    <row r="124" spans="1:11" x14ac:dyDescent="0.25">
      <c r="A124" s="16">
        <f>Prices!A124</f>
        <v>121</v>
      </c>
      <c r="B124" s="17">
        <f>Prices!B124</f>
        <v>46038</v>
      </c>
      <c r="C124" s="18">
        <f>Prices!C124</f>
        <v>2662.4</v>
      </c>
      <c r="D124" s="22">
        <f ca="1">Prices!G124</f>
        <v>9.2306311282877064E-3</v>
      </c>
      <c r="E124" s="18">
        <f ca="1">Combine!I124</f>
        <v>7.9606109069078475</v>
      </c>
      <c r="F124" s="23">
        <f>C124*Inputs!$B$11*Inputs!$B$12*0.01</f>
        <v>2662.4</v>
      </c>
      <c r="G124" s="23">
        <f ca="1">C124*Inputs!$B$11*Inputs!$B$12*D124</f>
        <v>2457.5632315953189</v>
      </c>
      <c r="H124" s="23">
        <f>Inputs!$B$4*Inputs!$B$5/SQRT(Inputs!$B$6)</f>
        <v>12500</v>
      </c>
      <c r="I124" s="19">
        <f t="shared" ca="1" si="4"/>
        <v>5.0863391180725257</v>
      </c>
      <c r="J124" s="19">
        <f ca="1">I124*E124/Inputs!$B$7</f>
        <v>4.0490366659560184</v>
      </c>
      <c r="K124" s="24">
        <f t="shared" ca="1" si="5"/>
        <v>4</v>
      </c>
    </row>
    <row r="125" spans="1:11" x14ac:dyDescent="0.25">
      <c r="A125" s="16">
        <f>Prices!A125</f>
        <v>122</v>
      </c>
      <c r="B125" s="17">
        <f>Prices!B125</f>
        <v>46041</v>
      </c>
      <c r="C125" s="18">
        <f>Prices!C125</f>
        <v>2666.33</v>
      </c>
      <c r="D125" s="22">
        <f ca="1">Prices!G125</f>
        <v>9.2177030225428485E-3</v>
      </c>
      <c r="E125" s="18">
        <f ca="1">Combine!I125</f>
        <v>8.0063085414252892</v>
      </c>
      <c r="F125" s="23">
        <f>C125*Inputs!$B$11*Inputs!$B$12*0.01</f>
        <v>2666.33</v>
      </c>
      <c r="G125" s="23">
        <f ca="1">C125*Inputs!$B$11*Inputs!$B$12*D125</f>
        <v>2457.7438100096674</v>
      </c>
      <c r="H125" s="23">
        <f>Inputs!$B$4*Inputs!$B$5/SQRT(Inputs!$B$6)</f>
        <v>12500</v>
      </c>
      <c r="I125" s="19">
        <f t="shared" ca="1" si="4"/>
        <v>5.0859654082297663</v>
      </c>
      <c r="J125" s="19">
        <f ca="1">I125*E125/Inputs!$B$7</f>
        <v>4.0719808289303536</v>
      </c>
      <c r="K125" s="24">
        <f t="shared" ca="1" si="5"/>
        <v>4</v>
      </c>
    </row>
    <row r="126" spans="1:11" x14ac:dyDescent="0.25">
      <c r="A126" s="16">
        <f>Prices!A126</f>
        <v>123</v>
      </c>
      <c r="B126" s="17">
        <f>Prices!B126</f>
        <v>46042</v>
      </c>
      <c r="C126" s="18">
        <f>Prices!C126</f>
        <v>2634.57</v>
      </c>
      <c r="D126" s="22">
        <f ca="1">Prices!G126</f>
        <v>9.3329864475759257E-3</v>
      </c>
      <c r="E126" s="18">
        <f ca="1">Combine!I126</f>
        <v>6.967387435832606</v>
      </c>
      <c r="F126" s="23">
        <f>C126*Inputs!$B$11*Inputs!$B$12*0.01</f>
        <v>2634.57</v>
      </c>
      <c r="G126" s="23">
        <f ca="1">C126*Inputs!$B$11*Inputs!$B$12*D126</f>
        <v>2458.8406105190106</v>
      </c>
      <c r="H126" s="23">
        <f>Inputs!$B$4*Inputs!$B$5/SQRT(Inputs!$B$6)</f>
        <v>12500</v>
      </c>
      <c r="I126" s="19">
        <f t="shared" ca="1" si="4"/>
        <v>5.0836967416775778</v>
      </c>
      <c r="J126" s="19">
        <f ca="1">I126*E126/Inputs!$B$7</f>
        <v>3.5420084805547511</v>
      </c>
      <c r="K126" s="24">
        <f t="shared" ca="1" si="5"/>
        <v>4</v>
      </c>
    </row>
    <row r="127" spans="1:11" x14ac:dyDescent="0.25">
      <c r="A127" s="16">
        <f>Prices!A127</f>
        <v>124</v>
      </c>
      <c r="B127" s="17">
        <f>Prices!B127</f>
        <v>46043</v>
      </c>
      <c r="C127" s="18">
        <f>Prices!C127</f>
        <v>2641.68</v>
      </c>
      <c r="D127" s="22">
        <f ca="1">Prices!G127</f>
        <v>9.3180130299183751E-3</v>
      </c>
      <c r="E127" s="18">
        <f ca="1">Combine!I127</f>
        <v>6.9556384334256771</v>
      </c>
      <c r="F127" s="23">
        <f>C127*Inputs!$B$11*Inputs!$B$12*0.01</f>
        <v>2641.68</v>
      </c>
      <c r="G127" s="23">
        <f ca="1">C127*Inputs!$B$11*Inputs!$B$12*D127</f>
        <v>2461.5208660874773</v>
      </c>
      <c r="H127" s="23">
        <f>Inputs!$B$4*Inputs!$B$5/SQRT(Inputs!$B$6)</f>
        <v>12500</v>
      </c>
      <c r="I127" s="19">
        <f t="shared" ca="1" si="4"/>
        <v>5.0781612994686576</v>
      </c>
      <c r="J127" s="19">
        <f ca="1">I127*E127/Inputs!$B$7</f>
        <v>3.5321853905719074</v>
      </c>
      <c r="K127" s="24">
        <f t="shared" ca="1" si="5"/>
        <v>4</v>
      </c>
    </row>
    <row r="128" spans="1:11" x14ac:dyDescent="0.25">
      <c r="A128" s="16">
        <f>Prices!A128</f>
        <v>125</v>
      </c>
      <c r="B128" s="17">
        <f>Prices!B128</f>
        <v>46044</v>
      </c>
      <c r="C128" s="18">
        <f>Prices!C128</f>
        <v>2611.0500000000002</v>
      </c>
      <c r="D128" s="22">
        <f ca="1">Prices!G128</f>
        <v>9.5048699116782234E-3</v>
      </c>
      <c r="E128" s="18">
        <f ca="1">Combine!I128</f>
        <v>5.774507297879067</v>
      </c>
      <c r="F128" s="23">
        <f>C128*Inputs!$B$11*Inputs!$B$12*0.01</f>
        <v>2611.0500000000002</v>
      </c>
      <c r="G128" s="23">
        <f ca="1">C128*Inputs!$B$11*Inputs!$B$12*D128</f>
        <v>2481.7690582887426</v>
      </c>
      <c r="H128" s="23">
        <f>Inputs!$B$4*Inputs!$B$5/SQRT(Inputs!$B$6)</f>
        <v>12500</v>
      </c>
      <c r="I128" s="19">
        <f t="shared" ca="1" si="4"/>
        <v>5.0367297304524943</v>
      </c>
      <c r="J128" s="19">
        <f ca="1">I128*E128/Inputs!$B$7</f>
        <v>2.9084632585942396</v>
      </c>
      <c r="K128" s="24">
        <f t="shared" ca="1" si="5"/>
        <v>3</v>
      </c>
    </row>
    <row r="129" spans="1:11" x14ac:dyDescent="0.25">
      <c r="A129" s="16">
        <f>Prices!A129</f>
        <v>126</v>
      </c>
      <c r="B129" s="17">
        <f>Prices!B129</f>
        <v>46045</v>
      </c>
      <c r="C129" s="18">
        <f>Prices!C129</f>
        <v>2635.47</v>
      </c>
      <c r="D129" s="22">
        <f ca="1">Prices!G129</f>
        <v>9.5741733401201561E-3</v>
      </c>
      <c r="E129" s="18">
        <f ca="1">Combine!I129</f>
        <v>6.1274063148539302</v>
      </c>
      <c r="F129" s="23">
        <f>C129*Inputs!$B$11*Inputs!$B$12*0.01</f>
        <v>2635.4700000000003</v>
      </c>
      <c r="G129" s="23">
        <f ca="1">C129*Inputs!$B$11*Inputs!$B$12*D129</f>
        <v>2523.2446612686467</v>
      </c>
      <c r="H129" s="23">
        <f>Inputs!$B$4*Inputs!$B$5/SQRT(Inputs!$B$6)</f>
        <v>12500</v>
      </c>
      <c r="I129" s="19">
        <f t="shared" ca="1" si="4"/>
        <v>4.9539389468935608</v>
      </c>
      <c r="J129" s="19">
        <f ca="1">I129*E129/Inputs!$B$7</f>
        <v>3.0354796786596436</v>
      </c>
      <c r="K129" s="24">
        <f t="shared" ca="1" si="5"/>
        <v>3</v>
      </c>
    </row>
    <row r="130" spans="1:11" x14ac:dyDescent="0.25">
      <c r="A130" s="16">
        <f>Prices!A130</f>
        <v>127</v>
      </c>
      <c r="B130" s="17">
        <f>Prices!B130</f>
        <v>46048</v>
      </c>
      <c r="C130" s="18">
        <f>Prices!C130</f>
        <v>2636.87</v>
      </c>
      <c r="D130" s="22">
        <f ca="1">Prices!G130</f>
        <v>9.480400639753566E-3</v>
      </c>
      <c r="E130" s="18">
        <f ca="1">Combine!I130</f>
        <v>6.0806402836948008</v>
      </c>
      <c r="F130" s="23">
        <f>C130*Inputs!$B$11*Inputs!$B$12*0.01</f>
        <v>2636.87</v>
      </c>
      <c r="G130" s="23">
        <f ca="1">C130*Inputs!$B$11*Inputs!$B$12*D130</f>
        <v>2499.8584034946985</v>
      </c>
      <c r="H130" s="23">
        <f>Inputs!$B$4*Inputs!$B$5/SQRT(Inputs!$B$6)</f>
        <v>12500</v>
      </c>
      <c r="I130" s="19">
        <f t="shared" ca="1" si="4"/>
        <v>5.000283209051168</v>
      </c>
      <c r="J130" s="19">
        <f ca="1">I130*E130/Inputs!$B$7</f>
        <v>3.0404923510839241</v>
      </c>
      <c r="K130" s="24">
        <f t="shared" ca="1" si="5"/>
        <v>3</v>
      </c>
    </row>
    <row r="131" spans="1:11" x14ac:dyDescent="0.25">
      <c r="A131" s="16">
        <f>Prices!A131</f>
        <v>128</v>
      </c>
      <c r="B131" s="17">
        <f>Prices!B131</f>
        <v>46049</v>
      </c>
      <c r="C131" s="18">
        <f>Prices!C131</f>
        <v>2698.4</v>
      </c>
      <c r="D131" s="22">
        <f ca="1">Prices!G131</f>
        <v>9.9888433069709147E-3</v>
      </c>
      <c r="E131" s="18">
        <f ca="1">Combine!I131</f>
        <v>7.5960281904975222</v>
      </c>
      <c r="F131" s="23">
        <f>C131*Inputs!$B$11*Inputs!$B$12*0.01</f>
        <v>2698.4</v>
      </c>
      <c r="G131" s="23">
        <f ca="1">C131*Inputs!$B$11*Inputs!$B$12*D131</f>
        <v>2695.3894779530315</v>
      </c>
      <c r="H131" s="23">
        <f>Inputs!$B$4*Inputs!$B$5/SQRT(Inputs!$B$6)</f>
        <v>12500</v>
      </c>
      <c r="I131" s="19">
        <f t="shared" ca="1" si="4"/>
        <v>4.6375487113249827</v>
      </c>
      <c r="J131" s="19">
        <f ca="1">I131*E131/Inputs!$B$7</f>
        <v>3.5226950746030026</v>
      </c>
      <c r="K131" s="24">
        <f t="shared" ca="1" si="5"/>
        <v>4</v>
      </c>
    </row>
    <row r="132" spans="1:11" x14ac:dyDescent="0.25">
      <c r="A132" s="16">
        <f>Prices!A132</f>
        <v>129</v>
      </c>
      <c r="B132" s="17">
        <f>Prices!B132</f>
        <v>46050</v>
      </c>
      <c r="C132" s="18">
        <f>Prices!C132</f>
        <v>2707.33</v>
      </c>
      <c r="D132" s="22">
        <f ca="1">Prices!G132</f>
        <v>9.9817723405181517E-3</v>
      </c>
      <c r="E132" s="18">
        <f ca="1">Combine!I132</f>
        <v>7.8619297760635343</v>
      </c>
      <c r="F132" s="23">
        <f>C132*Inputs!$B$11*Inputs!$B$12*0.01</f>
        <v>2707.33</v>
      </c>
      <c r="G132" s="23">
        <f ca="1">C132*Inputs!$B$11*Inputs!$B$12*D132</f>
        <v>2702.3951710655006</v>
      </c>
      <c r="H132" s="23">
        <f>Inputs!$B$4*Inputs!$B$5/SQRT(Inputs!$B$6)</f>
        <v>12500</v>
      </c>
      <c r="I132" s="19">
        <f t="shared" ca="1" si="4"/>
        <v>4.6255263234027684</v>
      </c>
      <c r="J132" s="19">
        <f ca="1">I132*E132/Inputs!$B$7</f>
        <v>3.6365563131925911</v>
      </c>
      <c r="K132" s="24">
        <f t="shared" ca="1" si="5"/>
        <v>4</v>
      </c>
    </row>
    <row r="133" spans="1:11" x14ac:dyDescent="0.25">
      <c r="A133" s="16">
        <f>Prices!A133</f>
        <v>130</v>
      </c>
      <c r="B133" s="17">
        <f>Prices!B133</f>
        <v>46051</v>
      </c>
      <c r="C133" s="18">
        <f>Prices!C133</f>
        <v>2745.65</v>
      </c>
      <c r="D133" s="22">
        <f ca="1">Prices!G133</f>
        <v>9.9809628705036495E-3</v>
      </c>
      <c r="E133" s="18">
        <f ca="1">Combine!I133</f>
        <v>8.5849898790338628</v>
      </c>
      <c r="F133" s="23">
        <f>C133*Inputs!$B$11*Inputs!$B$12*0.01</f>
        <v>2745.65</v>
      </c>
      <c r="G133" s="23">
        <f ca="1">C133*Inputs!$B$11*Inputs!$B$12*D133</f>
        <v>2740.4230705398345</v>
      </c>
      <c r="H133" s="23">
        <f>Inputs!$B$4*Inputs!$B$5/SQRT(Inputs!$B$6)</f>
        <v>12500</v>
      </c>
      <c r="I133" s="19">
        <f t="shared" ca="1" si="4"/>
        <v>4.5613395005967572</v>
      </c>
      <c r="J133" s="19">
        <f ca="1">I133*E133/Inputs!$B$7</f>
        <v>3.9159053447460535</v>
      </c>
      <c r="K133" s="24">
        <f t="shared" ca="1" si="5"/>
        <v>4</v>
      </c>
    </row>
    <row r="134" spans="1:11" x14ac:dyDescent="0.25">
      <c r="A134" s="16">
        <f>Prices!A134</f>
        <v>131</v>
      </c>
      <c r="B134" s="17">
        <f>Prices!B134</f>
        <v>46052</v>
      </c>
      <c r="C134" s="18">
        <f>Prices!C134</f>
        <v>2711.24</v>
      </c>
      <c r="D134" s="22">
        <f ca="1">Prices!G134</f>
        <v>1.0160421447481686E-2</v>
      </c>
      <c r="E134" s="18">
        <f ca="1">Combine!I134</f>
        <v>7.9073376190808071</v>
      </c>
      <c r="F134" s="23">
        <f>C134*Inputs!$B$11*Inputs!$B$12*0.01</f>
        <v>2711.2400000000002</v>
      </c>
      <c r="G134" s="23">
        <f ca="1">C134*Inputs!$B$11*Inputs!$B$12*D134</f>
        <v>2754.7341045270246</v>
      </c>
      <c r="H134" s="23">
        <f>Inputs!$B$4*Inputs!$B$5/SQRT(Inputs!$B$6)</f>
        <v>12500</v>
      </c>
      <c r="I134" s="19">
        <f t="shared" ca="1" si="4"/>
        <v>4.5376430267654433</v>
      </c>
      <c r="J134" s="19">
        <f ca="1">I134*E134/Inputs!$B$7</f>
        <v>3.5880675407502087</v>
      </c>
      <c r="K134" s="24">
        <f t="shared" ca="1" si="5"/>
        <v>4</v>
      </c>
    </row>
    <row r="135" spans="1:11" x14ac:dyDescent="0.25">
      <c r="A135" s="16">
        <f>Prices!A135</f>
        <v>132</v>
      </c>
      <c r="B135" s="17">
        <f>Prices!B135</f>
        <v>46055</v>
      </c>
      <c r="C135" s="18">
        <f>Prices!C135</f>
        <v>2709.29</v>
      </c>
      <c r="D135" s="22">
        <f ca="1">Prices!G135</f>
        <v>1.0153225057419026E-2</v>
      </c>
      <c r="E135" s="18">
        <f ca="1">Combine!I135</f>
        <v>7.8541017568290643</v>
      </c>
      <c r="F135" s="23">
        <f>C135*Inputs!$B$11*Inputs!$B$12*0.01</f>
        <v>2709.29</v>
      </c>
      <c r="G135" s="23">
        <f ca="1">C135*Inputs!$B$11*Inputs!$B$12*D135</f>
        <v>2750.8031115814792</v>
      </c>
      <c r="H135" s="23">
        <f>Inputs!$B$4*Inputs!$B$5/SQRT(Inputs!$B$6)</f>
        <v>12500</v>
      </c>
      <c r="I135" s="19">
        <f t="shared" ca="1" si="4"/>
        <v>4.5441274758532453</v>
      </c>
      <c r="J135" s="19">
        <f ca="1">I135*E135/Inputs!$B$7</f>
        <v>3.5690039591354195</v>
      </c>
      <c r="K135" s="24">
        <f t="shared" ca="1" si="5"/>
        <v>4</v>
      </c>
    </row>
    <row r="136" spans="1:11" x14ac:dyDescent="0.25">
      <c r="A136" s="16">
        <f>Prices!A136</f>
        <v>133</v>
      </c>
      <c r="B136" s="17">
        <f>Prices!B136</f>
        <v>46056</v>
      </c>
      <c r="C136" s="18">
        <f>Prices!C136</f>
        <v>2719.4</v>
      </c>
      <c r="D136" s="22">
        <f ca="1">Prices!G136</f>
        <v>1.0049613037130926E-2</v>
      </c>
      <c r="E136" s="18">
        <f ca="1">Combine!I136</f>
        <v>8.2005746618600242</v>
      </c>
      <c r="F136" s="23">
        <f>C136*Inputs!$B$11*Inputs!$B$12*0.01</f>
        <v>2719.4</v>
      </c>
      <c r="G136" s="23">
        <f ca="1">C136*Inputs!$B$11*Inputs!$B$12*D136</f>
        <v>2732.8917693173839</v>
      </c>
      <c r="H136" s="23">
        <f>Inputs!$B$4*Inputs!$B$5/SQRT(Inputs!$B$6)</f>
        <v>12500</v>
      </c>
      <c r="I136" s="19">
        <f t="shared" ca="1" si="4"/>
        <v>4.5739096367955412</v>
      </c>
      <c r="J136" s="19">
        <f ca="1">I136*E136/Inputs!$B$7</f>
        <v>3.7508687473142901</v>
      </c>
      <c r="K136" s="24">
        <f t="shared" ca="1" si="5"/>
        <v>4</v>
      </c>
    </row>
    <row r="137" spans="1:11" x14ac:dyDescent="0.25">
      <c r="A137" s="16">
        <f>Prices!A137</f>
        <v>134</v>
      </c>
      <c r="B137" s="17">
        <f>Prices!B137</f>
        <v>46057</v>
      </c>
      <c r="C137" s="18">
        <f>Prices!C137</f>
        <v>2768.23</v>
      </c>
      <c r="D137" s="22">
        <f ca="1">Prices!G137</f>
        <v>1.0328068192107236E-2</v>
      </c>
      <c r="E137" s="18">
        <f ca="1">Combine!I137</f>
        <v>9.1395537007323515</v>
      </c>
      <c r="F137" s="23">
        <f>C137*Inputs!$B$11*Inputs!$B$12*0.01</f>
        <v>2768.23</v>
      </c>
      <c r="G137" s="23">
        <f ca="1">C137*Inputs!$B$11*Inputs!$B$12*D137</f>
        <v>2859.0468211437014</v>
      </c>
      <c r="H137" s="23">
        <f>Inputs!$B$4*Inputs!$B$5/SQRT(Inputs!$B$6)</f>
        <v>12500</v>
      </c>
      <c r="I137" s="19">
        <f t="shared" ca="1" si="4"/>
        <v>4.3720864966456334</v>
      </c>
      <c r="J137" s="19">
        <f ca="1">I137*E137/Inputs!$B$7</f>
        <v>3.9958919320339539</v>
      </c>
      <c r="K137" s="24">
        <f t="shared" ca="1" si="5"/>
        <v>4</v>
      </c>
    </row>
    <row r="138" spans="1:11" x14ac:dyDescent="0.25">
      <c r="A138" s="16">
        <f>Prices!A138</f>
        <v>135</v>
      </c>
      <c r="B138" s="17">
        <f>Prices!B138</f>
        <v>46058</v>
      </c>
      <c r="C138" s="18">
        <f>Prices!C138</f>
        <v>2723.08</v>
      </c>
      <c r="D138" s="22">
        <f ca="1">Prices!G138</f>
        <v>1.0363153834495429E-2</v>
      </c>
      <c r="E138" s="18">
        <f ca="1">Combine!I138</f>
        <v>8.2149958714073925</v>
      </c>
      <c r="F138" s="23">
        <f>C138*Inputs!$B$11*Inputs!$B$12*0.01</f>
        <v>2723.08</v>
      </c>
      <c r="G138" s="23">
        <f ca="1">C138*Inputs!$B$11*Inputs!$B$12*D138</f>
        <v>2821.9696943637814</v>
      </c>
      <c r="H138" s="23">
        <f>Inputs!$B$4*Inputs!$B$5/SQRT(Inputs!$B$6)</f>
        <v>12500</v>
      </c>
      <c r="I138" s="19">
        <f t="shared" ca="1" si="4"/>
        <v>4.4295302054326804</v>
      </c>
      <c r="J138" s="19">
        <f ca="1">I138*E138/Inputs!$B$7</f>
        <v>3.6388572349903812</v>
      </c>
      <c r="K138" s="24">
        <f t="shared" ca="1" si="5"/>
        <v>4</v>
      </c>
    </row>
    <row r="139" spans="1:11" x14ac:dyDescent="0.25">
      <c r="A139" s="16">
        <f>Prices!A139</f>
        <v>136</v>
      </c>
      <c r="B139" s="17">
        <f>Prices!B139</f>
        <v>46059</v>
      </c>
      <c r="C139" s="18">
        <f>Prices!C139</f>
        <v>2751.42</v>
      </c>
      <c r="D139" s="22">
        <f ca="1">Prices!G139</f>
        <v>1.0418143178224593E-2</v>
      </c>
      <c r="E139" s="18">
        <f ca="1">Combine!I139</f>
        <v>9.0364499549880932</v>
      </c>
      <c r="F139" s="23">
        <f>C139*Inputs!$B$11*Inputs!$B$12*0.01</f>
        <v>2751.42</v>
      </c>
      <c r="G139" s="23">
        <f ca="1">C139*Inputs!$B$11*Inputs!$B$12*D139</f>
        <v>2866.468750343071</v>
      </c>
      <c r="H139" s="23">
        <f>Inputs!$B$4*Inputs!$B$5/SQRT(Inputs!$B$6)</f>
        <v>12500</v>
      </c>
      <c r="I139" s="19">
        <f t="shared" ca="1" si="4"/>
        <v>4.3607661860970746</v>
      </c>
      <c r="J139" s="19">
        <f ca="1">I139*E139/Inputs!$B$7</f>
        <v>3.940584540607051</v>
      </c>
      <c r="K139" s="24">
        <f t="shared" ca="1" si="5"/>
        <v>4</v>
      </c>
    </row>
    <row r="140" spans="1:11" x14ac:dyDescent="0.25">
      <c r="A140" s="16">
        <f>Prices!A140</f>
        <v>137</v>
      </c>
      <c r="B140" s="17">
        <f>Prices!B140</f>
        <v>46062</v>
      </c>
      <c r="C140" s="18">
        <f>Prices!C140</f>
        <v>2769.07</v>
      </c>
      <c r="D140" s="22">
        <f ca="1">Prices!G140</f>
        <v>1.0250530785545484E-2</v>
      </c>
      <c r="E140" s="18">
        <f ca="1">Combine!I140</f>
        <v>10.120885735025007</v>
      </c>
      <c r="F140" s="23">
        <f>C140*Inputs!$B$11*Inputs!$B$12*0.01</f>
        <v>2769.07</v>
      </c>
      <c r="G140" s="23">
        <f ca="1">C140*Inputs!$B$11*Inputs!$B$12*D140</f>
        <v>2838.4437282330432</v>
      </c>
      <c r="H140" s="23">
        <f>Inputs!$B$4*Inputs!$B$5/SQRT(Inputs!$B$6)</f>
        <v>12500</v>
      </c>
      <c r="I140" s="19">
        <f t="shared" ca="1" si="4"/>
        <v>4.4038216701873329</v>
      </c>
      <c r="J140" s="19">
        <f ca="1">I140*E140/Inputs!$B$7</f>
        <v>4.4570575921392983</v>
      </c>
      <c r="K140" s="24">
        <f t="shared" ca="1" si="5"/>
        <v>4</v>
      </c>
    </row>
    <row r="141" spans="1:11" x14ac:dyDescent="0.25">
      <c r="A141" s="16">
        <f>Prices!A141</f>
        <v>138</v>
      </c>
      <c r="B141" s="17">
        <f>Prices!B141</f>
        <v>46063</v>
      </c>
      <c r="C141" s="18">
        <f>Prices!C141</f>
        <v>2812.91</v>
      </c>
      <c r="D141" s="22">
        <f ca="1">Prices!G141</f>
        <v>1.0468084065991168E-2</v>
      </c>
      <c r="E141" s="18">
        <f ca="1">Combine!I141</f>
        <v>10.574293965285198</v>
      </c>
      <c r="F141" s="23">
        <f>C141*Inputs!$B$11*Inputs!$B$12*0.01</f>
        <v>2812.91</v>
      </c>
      <c r="G141" s="23">
        <f ca="1">C141*Inputs!$B$11*Inputs!$B$12*D141</f>
        <v>2944.5778350067217</v>
      </c>
      <c r="H141" s="23">
        <f>Inputs!$B$4*Inputs!$B$5/SQRT(Inputs!$B$6)</f>
        <v>12500</v>
      </c>
      <c r="I141" s="19">
        <f t="shared" ca="1" si="4"/>
        <v>4.2450907058367724</v>
      </c>
      <c r="J141" s="19">
        <f ca="1">I141*E141/Inputs!$B$7</f>
        <v>4.4888837032818065</v>
      </c>
      <c r="K141" s="24">
        <f t="shared" ca="1" si="5"/>
        <v>4</v>
      </c>
    </row>
    <row r="142" spans="1:11" x14ac:dyDescent="0.25">
      <c r="A142" s="16">
        <f>Prices!A142</f>
        <v>139</v>
      </c>
      <c r="B142" s="17">
        <f>Prices!B142</f>
        <v>46064</v>
      </c>
      <c r="C142" s="18">
        <f>Prices!C142</f>
        <v>2834.36</v>
      </c>
      <c r="D142" s="22">
        <f ca="1">Prices!G142</f>
        <v>1.0441520544732914E-2</v>
      </c>
      <c r="E142" s="18">
        <f ca="1">Combine!I142</f>
        <v>11.146445550114297</v>
      </c>
      <c r="F142" s="23">
        <f>C142*Inputs!$B$11*Inputs!$B$12*0.01</f>
        <v>2834.36</v>
      </c>
      <c r="G142" s="23">
        <f ca="1">C142*Inputs!$B$11*Inputs!$B$12*D142</f>
        <v>2959.5028171169183</v>
      </c>
      <c r="H142" s="23">
        <f>Inputs!$B$4*Inputs!$B$5/SQRT(Inputs!$B$6)</f>
        <v>12500</v>
      </c>
      <c r="I142" s="19">
        <f t="shared" ca="1" si="4"/>
        <v>4.2236824130403168</v>
      </c>
      <c r="J142" s="19">
        <f ca="1">I142*E142/Inputs!$B$7</f>
        <v>4.7079046037929251</v>
      </c>
      <c r="K142" s="24">
        <f t="shared" ca="1" si="5"/>
        <v>5</v>
      </c>
    </row>
    <row r="143" spans="1:11" x14ac:dyDescent="0.25">
      <c r="A143" s="16">
        <f>Prices!A143</f>
        <v>140</v>
      </c>
      <c r="B143" s="17">
        <f>Prices!B143</f>
        <v>46065</v>
      </c>
      <c r="C143" s="18">
        <f>Prices!C143</f>
        <v>2837.25</v>
      </c>
      <c r="D143" s="22">
        <f ca="1">Prices!G143</f>
        <v>1.0241707042387735E-2</v>
      </c>
      <c r="E143" s="18">
        <f ca="1">Combine!I143</f>
        <v>11.536759844632099</v>
      </c>
      <c r="F143" s="23">
        <f>C143*Inputs!$B$11*Inputs!$B$12*0.01</f>
        <v>2837.25</v>
      </c>
      <c r="G143" s="23">
        <f ca="1">C143*Inputs!$B$11*Inputs!$B$12*D143</f>
        <v>2905.82833060146</v>
      </c>
      <c r="H143" s="23">
        <f>Inputs!$B$4*Inputs!$B$5/SQRT(Inputs!$B$6)</f>
        <v>12500</v>
      </c>
      <c r="I143" s="19">
        <f t="shared" ca="1" si="4"/>
        <v>4.301699404731421</v>
      </c>
      <c r="J143" s="19">
        <f ca="1">I143*E143/Inputs!$B$7</f>
        <v>4.9627672956183257</v>
      </c>
      <c r="K143" s="24">
        <f t="shared" ca="1" si="5"/>
        <v>5</v>
      </c>
    </row>
    <row r="144" spans="1:11" x14ac:dyDescent="0.25">
      <c r="A144" s="16">
        <f>Prices!A144</f>
        <v>141</v>
      </c>
      <c r="B144" s="17">
        <f>Prices!B144</f>
        <v>46066</v>
      </c>
      <c r="C144" s="18">
        <f>Prices!C144</f>
        <v>2823.87</v>
      </c>
      <c r="D144" s="22">
        <f ca="1">Prices!G144</f>
        <v>1.0262251708173152E-2</v>
      </c>
      <c r="E144" s="18">
        <f ca="1">Combine!I144</f>
        <v>11.349961658758788</v>
      </c>
      <c r="F144" s="23">
        <f>C144*Inputs!$B$11*Inputs!$B$12*0.01</f>
        <v>2823.87</v>
      </c>
      <c r="G144" s="23">
        <f ca="1">C144*Inputs!$B$11*Inputs!$B$12*D144</f>
        <v>2897.9264731158919</v>
      </c>
      <c r="H144" s="23">
        <f>Inputs!$B$4*Inputs!$B$5/SQRT(Inputs!$B$6)</f>
        <v>12500</v>
      </c>
      <c r="I144" s="19">
        <f t="shared" ca="1" si="4"/>
        <v>4.313428969286381</v>
      </c>
      <c r="J144" s="19">
        <f ca="1">I144*E144/Inputs!$B$7</f>
        <v>4.895725341917986</v>
      </c>
      <c r="K144" s="24">
        <f t="shared" ca="1" si="5"/>
        <v>5</v>
      </c>
    </row>
    <row r="145" spans="1:11" x14ac:dyDescent="0.25">
      <c r="A145" s="16">
        <f>Prices!A145</f>
        <v>142</v>
      </c>
      <c r="B145" s="17">
        <f>Prices!B145</f>
        <v>46069</v>
      </c>
      <c r="C145" s="18">
        <f>Prices!C145</f>
        <v>2790.04</v>
      </c>
      <c r="D145" s="22">
        <f ca="1">Prices!G145</f>
        <v>1.0324142986669959E-2</v>
      </c>
      <c r="E145" s="18">
        <f ca="1">Combine!I145</f>
        <v>10.548275897891969</v>
      </c>
      <c r="F145" s="23">
        <f>C145*Inputs!$B$11*Inputs!$B$12*0.01</f>
        <v>2790.04</v>
      </c>
      <c r="G145" s="23">
        <f ca="1">C145*Inputs!$B$11*Inputs!$B$12*D145</f>
        <v>2880.4771898528652</v>
      </c>
      <c r="H145" s="23">
        <f>Inputs!$B$4*Inputs!$B$5/SQRT(Inputs!$B$6)</f>
        <v>12500</v>
      </c>
      <c r="I145" s="19">
        <f t="shared" ref="I145:I176" ca="1" si="6">H145/G145</f>
        <v>4.339558752290797</v>
      </c>
      <c r="J145" s="19">
        <f ca="1">I145*E145/Inputs!$B$7</f>
        <v>4.5774862994275161</v>
      </c>
      <c r="K145" s="24">
        <f t="shared" ref="K145:K176" ca="1" si="7">ROUND(J145,0)</f>
        <v>5</v>
      </c>
    </row>
    <row r="146" spans="1:11" x14ac:dyDescent="0.25">
      <c r="A146" s="16">
        <f>Prices!A146</f>
        <v>143</v>
      </c>
      <c r="B146" s="17">
        <f>Prices!B146</f>
        <v>46070</v>
      </c>
      <c r="C146" s="18">
        <f>Prices!C146</f>
        <v>2796.88</v>
      </c>
      <c r="D146" s="22">
        <f ca="1">Prices!G146</f>
        <v>1.0280932312999692E-2</v>
      </c>
      <c r="E146" s="18">
        <f ca="1">Combine!I146</f>
        <v>10.726283165681698</v>
      </c>
      <c r="F146" s="23">
        <f>C146*Inputs!$B$11*Inputs!$B$12*0.01</f>
        <v>2796.88</v>
      </c>
      <c r="G146" s="23">
        <f ca="1">C146*Inputs!$B$11*Inputs!$B$12*D146</f>
        <v>2875.4533967582579</v>
      </c>
      <c r="H146" s="23">
        <f>Inputs!$B$4*Inputs!$B$5/SQRT(Inputs!$B$6)</f>
        <v>12500</v>
      </c>
      <c r="I146" s="19">
        <f t="shared" ca="1" si="6"/>
        <v>4.3471405288961762</v>
      </c>
      <c r="J146" s="19">
        <f ca="1">I146*E146/Inputs!$B$7</f>
        <v>4.662866027395169</v>
      </c>
      <c r="K146" s="24">
        <f t="shared" ca="1" si="7"/>
        <v>5</v>
      </c>
    </row>
    <row r="147" spans="1:11" x14ac:dyDescent="0.25">
      <c r="A147" s="16">
        <f>Prices!A147</f>
        <v>144</v>
      </c>
      <c r="B147" s="17">
        <f>Prices!B147</f>
        <v>46071</v>
      </c>
      <c r="C147" s="18">
        <f>Prices!C147</f>
        <v>2792.92</v>
      </c>
      <c r="D147" s="22">
        <f ca="1">Prices!G147</f>
        <v>1.0255109408182002E-2</v>
      </c>
      <c r="E147" s="18">
        <f ca="1">Combine!I147</f>
        <v>10.613278811765893</v>
      </c>
      <c r="F147" s="23">
        <f>C147*Inputs!$B$11*Inputs!$B$12*0.01</f>
        <v>2792.92</v>
      </c>
      <c r="G147" s="23">
        <f ca="1">C147*Inputs!$B$11*Inputs!$B$12*D147</f>
        <v>2864.1700168299676</v>
      </c>
      <c r="H147" s="23">
        <f>Inputs!$B$4*Inputs!$B$5/SQRT(Inputs!$B$6)</f>
        <v>12500</v>
      </c>
      <c r="I147" s="19">
        <f t="shared" ca="1" si="6"/>
        <v>4.3642660619130647</v>
      </c>
      <c r="J147" s="19">
        <f ca="1">I147*E147/Inputs!$B$7</f>
        <v>4.6319172523810908</v>
      </c>
      <c r="K147" s="24">
        <f t="shared" ca="1" si="7"/>
        <v>5</v>
      </c>
    </row>
    <row r="148" spans="1:11" x14ac:dyDescent="0.25">
      <c r="A148" s="16">
        <f>Prices!A148</f>
        <v>145</v>
      </c>
      <c r="B148" s="17">
        <f>Prices!B148</f>
        <v>46072</v>
      </c>
      <c r="C148" s="18">
        <f>Prices!C148</f>
        <v>2850.74</v>
      </c>
      <c r="D148" s="22">
        <f ca="1">Prices!G148</f>
        <v>9.962866350820521E-3</v>
      </c>
      <c r="E148" s="18">
        <f ca="1">Combine!I148</f>
        <v>12.044652680774952</v>
      </c>
      <c r="F148" s="23">
        <f>C148*Inputs!$B$11*Inputs!$B$12*0.01</f>
        <v>2850.7400000000002</v>
      </c>
      <c r="G148" s="23">
        <f ca="1">C148*Inputs!$B$11*Inputs!$B$12*D148</f>
        <v>2840.1541620938092</v>
      </c>
      <c r="H148" s="23">
        <f>Inputs!$B$4*Inputs!$B$5/SQRT(Inputs!$B$6)</f>
        <v>12500</v>
      </c>
      <c r="I148" s="19">
        <f t="shared" ca="1" si="6"/>
        <v>4.4011695445379591</v>
      </c>
      <c r="J148" s="19">
        <f ca="1">I148*E148/Inputs!$B$7</f>
        <v>5.3010558553164202</v>
      </c>
      <c r="K148" s="24">
        <f t="shared" ca="1" si="7"/>
        <v>5</v>
      </c>
    </row>
    <row r="149" spans="1:11" x14ac:dyDescent="0.25">
      <c r="A149" s="16">
        <f>Prices!A149</f>
        <v>146</v>
      </c>
      <c r="B149" s="17">
        <f>Prices!B149</f>
        <v>46073</v>
      </c>
      <c r="C149" s="18">
        <f>Prices!C149</f>
        <v>2834.75</v>
      </c>
      <c r="D149" s="22">
        <f ca="1">Prices!G149</f>
        <v>1.0002473802072125E-2</v>
      </c>
      <c r="E149" s="18">
        <f ca="1">Combine!I149</f>
        <v>11.715633708346342</v>
      </c>
      <c r="F149" s="23">
        <f>C149*Inputs!$B$11*Inputs!$B$12*0.01</f>
        <v>2834.75</v>
      </c>
      <c r="G149" s="23">
        <f ca="1">C149*Inputs!$B$11*Inputs!$B$12*D149</f>
        <v>2835.4512610423958</v>
      </c>
      <c r="H149" s="23">
        <f>Inputs!$B$4*Inputs!$B$5/SQRT(Inputs!$B$6)</f>
        <v>12500</v>
      </c>
      <c r="I149" s="19">
        <f t="shared" ca="1" si="6"/>
        <v>4.4084693578561565</v>
      </c>
      <c r="J149" s="19">
        <f ca="1">I149*E149/Inputs!$B$7</f>
        <v>5.164801221111154</v>
      </c>
      <c r="K149" s="24">
        <f t="shared" ca="1" si="7"/>
        <v>5</v>
      </c>
    </row>
    <row r="150" spans="1:11" x14ac:dyDescent="0.25">
      <c r="A150" s="16">
        <f>Prices!A150</f>
        <v>147</v>
      </c>
      <c r="B150" s="17">
        <f>Prices!B150</f>
        <v>46076</v>
      </c>
      <c r="C150" s="18">
        <f>Prices!C150</f>
        <v>2845.25</v>
      </c>
      <c r="D150" s="22">
        <f ca="1">Prices!G150</f>
        <v>9.979812224151216E-3</v>
      </c>
      <c r="E150" s="18">
        <f ca="1">Combine!I150</f>
        <v>12.007537183316726</v>
      </c>
      <c r="F150" s="23">
        <f>C150*Inputs!$B$11*Inputs!$B$12*0.01</f>
        <v>2845.25</v>
      </c>
      <c r="G150" s="23">
        <f ca="1">C150*Inputs!$B$11*Inputs!$B$12*D150</f>
        <v>2839.5060730766249</v>
      </c>
      <c r="H150" s="23">
        <f>Inputs!$B$4*Inputs!$B$5/SQRT(Inputs!$B$6)</f>
        <v>12500</v>
      </c>
      <c r="I150" s="19">
        <f t="shared" ca="1" si="6"/>
        <v>4.4021740677089527</v>
      </c>
      <c r="J150" s="19">
        <f ca="1">I150*E150/Inputs!$B$7</f>
        <v>5.2859268805447899</v>
      </c>
      <c r="K150" s="24">
        <f t="shared" ca="1" si="7"/>
        <v>5</v>
      </c>
    </row>
    <row r="151" spans="1:11" x14ac:dyDescent="0.25">
      <c r="A151" s="16">
        <f>Prices!A151</f>
        <v>148</v>
      </c>
      <c r="B151" s="17">
        <f>Prices!B151</f>
        <v>46077</v>
      </c>
      <c r="C151" s="18">
        <f>Prices!C151</f>
        <v>2802.03</v>
      </c>
      <c r="D151" s="22">
        <f ca="1">Prices!G151</f>
        <v>1.0239150733675454E-2</v>
      </c>
      <c r="E151" s="18">
        <f ca="1">Combine!I151</f>
        <v>10.782585011320391</v>
      </c>
      <c r="F151" s="23">
        <f>C151*Inputs!$B$11*Inputs!$B$12*0.01</f>
        <v>2802.03</v>
      </c>
      <c r="G151" s="23">
        <f ca="1">C151*Inputs!$B$11*Inputs!$B$12*D151</f>
        <v>2869.0407530280631</v>
      </c>
      <c r="H151" s="23">
        <f>Inputs!$B$4*Inputs!$B$5/SQRT(Inputs!$B$6)</f>
        <v>12500</v>
      </c>
      <c r="I151" s="19">
        <f t="shared" ca="1" si="6"/>
        <v>4.3568568995777293</v>
      </c>
      <c r="J151" s="19">
        <f ca="1">I151*E151/Inputs!$B$7</f>
        <v>4.6978179901854649</v>
      </c>
      <c r="K151" s="24">
        <f t="shared" ca="1" si="7"/>
        <v>5</v>
      </c>
    </row>
    <row r="152" spans="1:11" x14ac:dyDescent="0.25">
      <c r="A152" s="16">
        <f>Prices!A152</f>
        <v>149</v>
      </c>
      <c r="B152" s="17">
        <f>Prices!B152</f>
        <v>46078</v>
      </c>
      <c r="C152" s="18">
        <f>Prices!C152</f>
        <v>2792.35</v>
      </c>
      <c r="D152" s="22">
        <f ca="1">Prices!G152</f>
        <v>1.0203278199212074E-2</v>
      </c>
      <c r="E152" s="18">
        <f ca="1">Combine!I152</f>
        <v>10.466654777593012</v>
      </c>
      <c r="F152" s="23">
        <f>C152*Inputs!$B$11*Inputs!$B$12*0.01</f>
        <v>2792.35</v>
      </c>
      <c r="G152" s="23">
        <f ca="1">C152*Inputs!$B$11*Inputs!$B$12*D152</f>
        <v>2849.1123879569832</v>
      </c>
      <c r="H152" s="23">
        <f>Inputs!$B$4*Inputs!$B$5/SQRT(Inputs!$B$6)</f>
        <v>12500</v>
      </c>
      <c r="I152" s="19">
        <f t="shared" ca="1" si="6"/>
        <v>4.3873313151270219</v>
      </c>
      <c r="J152" s="19">
        <f ca="1">I152*E152/Inputs!$B$7</f>
        <v>4.5920682270357682</v>
      </c>
      <c r="K152" s="24">
        <f t="shared" ca="1" si="7"/>
        <v>5</v>
      </c>
    </row>
    <row r="153" spans="1:11" x14ac:dyDescent="0.25">
      <c r="A153" s="16">
        <f>Prices!A153</f>
        <v>150</v>
      </c>
      <c r="B153" s="17">
        <f>Prices!B153</f>
        <v>46079</v>
      </c>
      <c r="C153" s="18">
        <f>Prices!C153</f>
        <v>2801.04</v>
      </c>
      <c r="D153" s="22">
        <f ca="1">Prices!G153</f>
        <v>1.019433000244627E-2</v>
      </c>
      <c r="E153" s="18">
        <f ca="1">Combine!I153</f>
        <v>10.496033196127906</v>
      </c>
      <c r="F153" s="23">
        <f>C153*Inputs!$B$11*Inputs!$B$12*0.01</f>
        <v>2801.04</v>
      </c>
      <c r="G153" s="23">
        <f ca="1">C153*Inputs!$B$11*Inputs!$B$12*D153</f>
        <v>2855.4726110052102</v>
      </c>
      <c r="H153" s="23">
        <f>Inputs!$B$4*Inputs!$B$5/SQRT(Inputs!$B$6)</f>
        <v>12500</v>
      </c>
      <c r="I153" s="19">
        <f t="shared" ca="1" si="6"/>
        <v>4.3775590603895278</v>
      </c>
      <c r="J153" s="19">
        <f ca="1">I153*E153/Inputs!$B$7</f>
        <v>4.5947005215858967</v>
      </c>
      <c r="K153" s="24">
        <f t="shared" ca="1" si="7"/>
        <v>5</v>
      </c>
    </row>
    <row r="154" spans="1:11" x14ac:dyDescent="0.25">
      <c r="A154" s="16">
        <f>Prices!A154</f>
        <v>151</v>
      </c>
      <c r="B154" s="17">
        <f>Prices!B154</f>
        <v>46080</v>
      </c>
      <c r="C154" s="18">
        <f>Prices!C154</f>
        <v>2825.52</v>
      </c>
      <c r="D154" s="22">
        <f ca="1">Prices!G154</f>
        <v>9.985208837978184E-3</v>
      </c>
      <c r="E154" s="18">
        <f ca="1">Combine!I154</f>
        <v>11.117790097004898</v>
      </c>
      <c r="F154" s="23">
        <f>C154*Inputs!$B$11*Inputs!$B$12*0.01</f>
        <v>2825.52</v>
      </c>
      <c r="G154" s="23">
        <f ca="1">C154*Inputs!$B$11*Inputs!$B$12*D154</f>
        <v>2821.3407275884119</v>
      </c>
      <c r="H154" s="23">
        <f>Inputs!$B$4*Inputs!$B$5/SQRT(Inputs!$B$6)</f>
        <v>12500</v>
      </c>
      <c r="I154" s="19">
        <f t="shared" ca="1" si="6"/>
        <v>4.4305176889019648</v>
      </c>
      <c r="J154" s="19">
        <f ca="1">I154*E154/Inputs!$B$7</f>
        <v>4.9257565686279294</v>
      </c>
      <c r="K154" s="24">
        <f t="shared" ca="1" si="7"/>
        <v>5</v>
      </c>
    </row>
    <row r="155" spans="1:11" x14ac:dyDescent="0.25">
      <c r="A155" s="16">
        <f>Prices!A155</f>
        <v>152</v>
      </c>
      <c r="B155" s="17">
        <f>Prices!B155</f>
        <v>46083</v>
      </c>
      <c r="C155" s="18">
        <f>Prices!C155</f>
        <v>2867.85</v>
      </c>
      <c r="D155" s="22">
        <f ca="1">Prices!G155</f>
        <v>1.0024094597936316E-2</v>
      </c>
      <c r="E155" s="18">
        <f ca="1">Combine!I155</f>
        <v>11.827705905375621</v>
      </c>
      <c r="F155" s="23">
        <f>C155*Inputs!$B$11*Inputs!$B$12*0.01</f>
        <v>2867.85</v>
      </c>
      <c r="G155" s="23">
        <f ca="1">C155*Inputs!$B$11*Inputs!$B$12*D155</f>
        <v>2874.7599692691665</v>
      </c>
      <c r="H155" s="23">
        <f>Inputs!$B$4*Inputs!$B$5/SQRT(Inputs!$B$6)</f>
        <v>12500</v>
      </c>
      <c r="I155" s="19">
        <f t="shared" ca="1" si="6"/>
        <v>4.3481891126993126</v>
      </c>
      <c r="J155" s="19">
        <f ca="1">I155*E155/Inputs!$B$7</f>
        <v>5.1429102045963644</v>
      </c>
      <c r="K155" s="24">
        <f t="shared" ca="1" si="7"/>
        <v>5</v>
      </c>
    </row>
    <row r="156" spans="1:11" x14ac:dyDescent="0.25">
      <c r="A156" s="16">
        <f>Prices!A156</f>
        <v>153</v>
      </c>
      <c r="B156" s="17">
        <f>Prices!B156</f>
        <v>46084</v>
      </c>
      <c r="C156" s="18">
        <f>Prices!C156</f>
        <v>2868.01</v>
      </c>
      <c r="D156" s="22">
        <f ca="1">Prices!G156</f>
        <v>9.982826571341195E-3</v>
      </c>
      <c r="E156" s="18">
        <f ca="1">Combine!I156</f>
        <v>11.919180757805718</v>
      </c>
      <c r="F156" s="23">
        <f>C156*Inputs!$B$11*Inputs!$B$12*0.01</f>
        <v>2868.01</v>
      </c>
      <c r="G156" s="23">
        <f ca="1">C156*Inputs!$B$11*Inputs!$B$12*D156</f>
        <v>2863.084643487226</v>
      </c>
      <c r="H156" s="23">
        <f>Inputs!$B$4*Inputs!$B$5/SQRT(Inputs!$B$6)</f>
        <v>12500</v>
      </c>
      <c r="I156" s="19">
        <f t="shared" ca="1" si="6"/>
        <v>4.3659205215725123</v>
      </c>
      <c r="J156" s="19">
        <f ca="1">I156*E156/Inputs!$B$7</f>
        <v>5.2038195870836192</v>
      </c>
      <c r="K156" s="24">
        <f t="shared" ca="1" si="7"/>
        <v>5</v>
      </c>
    </row>
    <row r="157" spans="1:11" x14ac:dyDescent="0.25">
      <c r="A157" s="16">
        <f>Prices!A157</f>
        <v>154</v>
      </c>
      <c r="B157" s="17">
        <f>Prices!B157</f>
        <v>46085</v>
      </c>
      <c r="C157" s="18">
        <f>Prices!C157</f>
        <v>2837.4</v>
      </c>
      <c r="D157" s="22">
        <f ca="1">Prices!G157</f>
        <v>1.0003314233905668E-2</v>
      </c>
      <c r="E157" s="18">
        <f ca="1">Combine!I157</f>
        <v>11.227702426921832</v>
      </c>
      <c r="F157" s="23">
        <f>C157*Inputs!$B$11*Inputs!$B$12*0.01</f>
        <v>2837.4</v>
      </c>
      <c r="G157" s="23">
        <f ca="1">C157*Inputs!$B$11*Inputs!$B$12*D157</f>
        <v>2838.3403807283944</v>
      </c>
      <c r="H157" s="23">
        <f>Inputs!$B$4*Inputs!$B$5/SQRT(Inputs!$B$6)</f>
        <v>12500</v>
      </c>
      <c r="I157" s="19">
        <f t="shared" ca="1" si="6"/>
        <v>4.4039820188134602</v>
      </c>
      <c r="J157" s="19">
        <f ca="1">I157*E157/Inputs!$B$7</f>
        <v>4.9446599600751995</v>
      </c>
      <c r="K157" s="24">
        <f t="shared" ca="1" si="7"/>
        <v>5</v>
      </c>
    </row>
    <row r="158" spans="1:11" x14ac:dyDescent="0.25">
      <c r="A158" s="16">
        <f>Prices!A158</f>
        <v>155</v>
      </c>
      <c r="B158" s="17">
        <f>Prices!B158</f>
        <v>46086</v>
      </c>
      <c r="C158" s="18">
        <f>Prices!C158</f>
        <v>2851.81</v>
      </c>
      <c r="D158" s="22">
        <f ca="1">Prices!G158</f>
        <v>9.9732422040649527E-3</v>
      </c>
      <c r="E158" s="18">
        <f ca="1">Combine!I158</f>
        <v>11.465556799283355</v>
      </c>
      <c r="F158" s="23">
        <f>C158*Inputs!$B$11*Inputs!$B$12*0.01</f>
        <v>2851.81</v>
      </c>
      <c r="G158" s="23">
        <f ca="1">C158*Inputs!$B$11*Inputs!$B$12*D158</f>
        <v>2844.1791849974475</v>
      </c>
      <c r="H158" s="23">
        <f>Inputs!$B$4*Inputs!$B$5/SQRT(Inputs!$B$6)</f>
        <v>12500</v>
      </c>
      <c r="I158" s="19">
        <f t="shared" ca="1" si="6"/>
        <v>4.3949411014380999</v>
      </c>
      <c r="J158" s="19">
        <f ca="1">I158*E158/Inputs!$B$7</f>
        <v>5.0390446828043487</v>
      </c>
      <c r="K158" s="24">
        <f t="shared" ca="1" si="7"/>
        <v>5</v>
      </c>
    </row>
    <row r="159" spans="1:11" x14ac:dyDescent="0.25">
      <c r="A159" s="16">
        <f>Prices!A159</f>
        <v>156</v>
      </c>
      <c r="B159" s="17">
        <f>Prices!B159</f>
        <v>46087</v>
      </c>
      <c r="C159" s="18">
        <f>Prices!C159</f>
        <v>2867.98</v>
      </c>
      <c r="D159" s="22">
        <f ca="1">Prices!G159</f>
        <v>9.9522788315835643E-3</v>
      </c>
      <c r="E159" s="18">
        <f ca="1">Combine!I159</f>
        <v>11.79434696618039</v>
      </c>
      <c r="F159" s="23">
        <f>C159*Inputs!$B$11*Inputs!$B$12*0.01</f>
        <v>2867.98</v>
      </c>
      <c r="G159" s="23">
        <f ca="1">C159*Inputs!$B$11*Inputs!$B$12*D159</f>
        <v>2854.2936643405033</v>
      </c>
      <c r="H159" s="23">
        <f>Inputs!$B$4*Inputs!$B$5/SQRT(Inputs!$B$6)</f>
        <v>12500</v>
      </c>
      <c r="I159" s="19">
        <f t="shared" ca="1" si="6"/>
        <v>4.3793671815083464</v>
      </c>
      <c r="J159" s="19">
        <f ca="1">I159*E159/Inputs!$B$7</f>
        <v>5.1651776031012933</v>
      </c>
      <c r="K159" s="24">
        <f t="shared" ca="1" si="7"/>
        <v>5</v>
      </c>
    </row>
    <row r="160" spans="1:11" x14ac:dyDescent="0.25">
      <c r="A160" s="16">
        <f>Prices!A160</f>
        <v>157</v>
      </c>
      <c r="B160" s="17">
        <f>Prices!B160</f>
        <v>46090</v>
      </c>
      <c r="C160" s="18">
        <f>Prices!C160</f>
        <v>2883.52</v>
      </c>
      <c r="D160" s="22">
        <f ca="1">Prices!G160</f>
        <v>9.9547194603879681E-3</v>
      </c>
      <c r="E160" s="18">
        <f ca="1">Combine!I160</f>
        <v>11.956051345485813</v>
      </c>
      <c r="F160" s="23">
        <f>C160*Inputs!$B$11*Inputs!$B$12*0.01</f>
        <v>2883.52</v>
      </c>
      <c r="G160" s="23">
        <f ca="1">C160*Inputs!$B$11*Inputs!$B$12*D160</f>
        <v>2870.4632658417913</v>
      </c>
      <c r="H160" s="23">
        <f>Inputs!$B$4*Inputs!$B$5/SQRT(Inputs!$B$6)</f>
        <v>12500</v>
      </c>
      <c r="I160" s="19">
        <f t="shared" ca="1" si="6"/>
        <v>4.3546977760519274</v>
      </c>
      <c r="J160" s="19">
        <f ca="1">I160*E160/Inputs!$B$7</f>
        <v>5.2064990204549719</v>
      </c>
      <c r="K160" s="24">
        <f t="shared" ca="1" si="7"/>
        <v>5</v>
      </c>
    </row>
    <row r="161" spans="1:11" x14ac:dyDescent="0.25">
      <c r="A161" s="16">
        <f>Prices!A161</f>
        <v>158</v>
      </c>
      <c r="B161" s="17">
        <f>Prices!B161</f>
        <v>46091</v>
      </c>
      <c r="C161" s="18">
        <f>Prices!C161</f>
        <v>2864.77</v>
      </c>
      <c r="D161" s="22">
        <f ca="1">Prices!G161</f>
        <v>9.8249035189907526E-3</v>
      </c>
      <c r="E161" s="18">
        <f ca="1">Combine!I161</f>
        <v>11.682452934454407</v>
      </c>
      <c r="F161" s="23">
        <f>C161*Inputs!$B$11*Inputs!$B$12*0.01</f>
        <v>2864.77</v>
      </c>
      <c r="G161" s="23">
        <f ca="1">C161*Inputs!$B$11*Inputs!$B$12*D161</f>
        <v>2814.6088854099139</v>
      </c>
      <c r="H161" s="23">
        <f>Inputs!$B$4*Inputs!$B$5/SQRT(Inputs!$B$6)</f>
        <v>12500</v>
      </c>
      <c r="I161" s="19">
        <f t="shared" ca="1" si="6"/>
        <v>4.4411143817516674</v>
      </c>
      <c r="J161" s="19">
        <f ca="1">I161*E161/Inputs!$B$7</f>
        <v>5.1883109741342439</v>
      </c>
      <c r="K161" s="24">
        <f t="shared" ca="1" si="7"/>
        <v>5</v>
      </c>
    </row>
    <row r="162" spans="1:11" x14ac:dyDescent="0.25">
      <c r="A162" s="16">
        <f>Prices!A162</f>
        <v>159</v>
      </c>
      <c r="B162" s="17">
        <f>Prices!B162</f>
        <v>46092</v>
      </c>
      <c r="C162" s="18">
        <f>Prices!C162</f>
        <v>2898.67</v>
      </c>
      <c r="D162" s="22">
        <f ca="1">Prices!G162</f>
        <v>9.9148259943671151E-3</v>
      </c>
      <c r="E162" s="18">
        <f ca="1">Combine!I162</f>
        <v>12.102439409582045</v>
      </c>
      <c r="F162" s="23">
        <f>C162*Inputs!$B$11*Inputs!$B$12*0.01</f>
        <v>2898.67</v>
      </c>
      <c r="G162" s="23">
        <f ca="1">C162*Inputs!$B$11*Inputs!$B$12*D162</f>
        <v>2873.9808665092123</v>
      </c>
      <c r="H162" s="23">
        <f>Inputs!$B$4*Inputs!$B$5/SQRT(Inputs!$B$6)</f>
        <v>12500</v>
      </c>
      <c r="I162" s="19">
        <f t="shared" ca="1" si="6"/>
        <v>4.3493678561551175</v>
      </c>
      <c r="J162" s="19">
        <f ca="1">I162*E162/Inputs!$B$7</f>
        <v>5.2637960949101066</v>
      </c>
      <c r="K162" s="24">
        <f t="shared" ca="1" si="7"/>
        <v>5</v>
      </c>
    </row>
    <row r="163" spans="1:11" x14ac:dyDescent="0.25">
      <c r="A163" s="16">
        <f>Prices!A163</f>
        <v>160</v>
      </c>
      <c r="B163" s="17">
        <f>Prices!B163</f>
        <v>46093</v>
      </c>
      <c r="C163" s="18">
        <f>Prices!C163</f>
        <v>2902.67</v>
      </c>
      <c r="D163" s="22">
        <f ca="1">Prices!G163</f>
        <v>9.6929594945520774E-3</v>
      </c>
      <c r="E163" s="18">
        <f ca="1">Combine!I163</f>
        <v>12.39494097798555</v>
      </c>
      <c r="F163" s="23">
        <f>C163*Inputs!$B$11*Inputs!$B$12*0.01</f>
        <v>2902.67</v>
      </c>
      <c r="G163" s="23">
        <f ca="1">C163*Inputs!$B$11*Inputs!$B$12*D163</f>
        <v>2813.5462736051477</v>
      </c>
      <c r="H163" s="23">
        <f>Inputs!$B$4*Inputs!$B$5/SQRT(Inputs!$B$6)</f>
        <v>12500</v>
      </c>
      <c r="I163" s="19">
        <f t="shared" ca="1" si="6"/>
        <v>4.4427916886481773</v>
      </c>
      <c r="J163" s="19">
        <f ca="1">I163*E163/Inputs!$B$7</f>
        <v>5.5068140758278918</v>
      </c>
      <c r="K163" s="24">
        <f t="shared" ca="1" si="7"/>
        <v>6</v>
      </c>
    </row>
    <row r="164" spans="1:11" x14ac:dyDescent="0.25">
      <c r="A164" s="16">
        <f>Prices!A164</f>
        <v>161</v>
      </c>
      <c r="B164" s="17">
        <f>Prices!B164</f>
        <v>46094</v>
      </c>
      <c r="C164" s="18">
        <f>Prices!C164</f>
        <v>2924.43</v>
      </c>
      <c r="D164" s="22">
        <f ca="1">Prices!G164</f>
        <v>9.6673616016811157E-3</v>
      </c>
      <c r="E164" s="18">
        <f ca="1">Combine!I164</f>
        <v>12.67084930018722</v>
      </c>
      <c r="F164" s="23">
        <f>C164*Inputs!$B$11*Inputs!$B$12*0.01</f>
        <v>2924.43</v>
      </c>
      <c r="G164" s="23">
        <f ca="1">C164*Inputs!$B$11*Inputs!$B$12*D164</f>
        <v>2827.1522288804304</v>
      </c>
      <c r="H164" s="23">
        <f>Inputs!$B$4*Inputs!$B$5/SQRT(Inputs!$B$6)</f>
        <v>12500</v>
      </c>
      <c r="I164" s="19">
        <f t="shared" ca="1" si="6"/>
        <v>4.4214103055038096</v>
      </c>
      <c r="J164" s="19">
        <f ca="1">I164*E164/Inputs!$B$7</f>
        <v>5.6023023675333503</v>
      </c>
      <c r="K164" s="24">
        <f t="shared" ca="1" si="7"/>
        <v>6</v>
      </c>
    </row>
    <row r="165" spans="1:11" x14ac:dyDescent="0.25">
      <c r="A165" s="16">
        <f>Prices!A165</f>
        <v>162</v>
      </c>
      <c r="B165" s="17">
        <f>Prices!B165</f>
        <v>46097</v>
      </c>
      <c r="C165" s="18">
        <f>Prices!C165</f>
        <v>2963.15</v>
      </c>
      <c r="D165" s="22">
        <f ca="1">Prices!G165</f>
        <v>9.7702019138309545E-3</v>
      </c>
      <c r="E165" s="18">
        <f ca="1">Combine!I165</f>
        <v>12.996130173664204</v>
      </c>
      <c r="F165" s="23">
        <f>C165*Inputs!$B$11*Inputs!$B$12*0.01</f>
        <v>2963.15</v>
      </c>
      <c r="G165" s="23">
        <f ca="1">C165*Inputs!$B$11*Inputs!$B$12*D165</f>
        <v>2895.0573800968191</v>
      </c>
      <c r="H165" s="23">
        <f>Inputs!$B$4*Inputs!$B$5/SQRT(Inputs!$B$6)</f>
        <v>12500</v>
      </c>
      <c r="I165" s="19">
        <f t="shared" ca="1" si="6"/>
        <v>4.3177037132099825</v>
      </c>
      <c r="J165" s="19">
        <f ca="1">I165*E165/Inputs!$B$7</f>
        <v>5.6113439508190224</v>
      </c>
      <c r="K165" s="24">
        <f t="shared" ca="1" si="7"/>
        <v>6</v>
      </c>
    </row>
    <row r="166" spans="1:11" x14ac:dyDescent="0.25">
      <c r="A166" s="16">
        <f>Prices!A166</f>
        <v>163</v>
      </c>
      <c r="B166" s="17">
        <f>Prices!B166</f>
        <v>46098</v>
      </c>
      <c r="C166" s="18">
        <f>Prices!C166</f>
        <v>2982.69</v>
      </c>
      <c r="D166" s="22">
        <f ca="1">Prices!G166</f>
        <v>9.3438827341641162E-3</v>
      </c>
      <c r="E166" s="18">
        <f ca="1">Combine!I166</f>
        <v>13.791307460000134</v>
      </c>
      <c r="F166" s="23">
        <f>C166*Inputs!$B$11*Inputs!$B$12*0.01</f>
        <v>2982.69</v>
      </c>
      <c r="G166" s="23">
        <f ca="1">C166*Inputs!$B$11*Inputs!$B$12*D166</f>
        <v>2786.9905592363966</v>
      </c>
      <c r="H166" s="23">
        <f>Inputs!$B$4*Inputs!$B$5/SQRT(Inputs!$B$6)</f>
        <v>12500</v>
      </c>
      <c r="I166" s="19">
        <f t="shared" ca="1" si="6"/>
        <v>4.485124629709853</v>
      </c>
      <c r="J166" s="19">
        <f ca="1">I166*E166/Inputs!$B$7</f>
        <v>6.1855732764747833</v>
      </c>
      <c r="K166" s="24">
        <f t="shared" ca="1" si="7"/>
        <v>6</v>
      </c>
    </row>
    <row r="167" spans="1:11" x14ac:dyDescent="0.25">
      <c r="A167" s="16">
        <f>Prices!A167</f>
        <v>164</v>
      </c>
      <c r="B167" s="17">
        <f>Prices!B167</f>
        <v>46099</v>
      </c>
      <c r="C167" s="18">
        <f>Prices!C167</f>
        <v>2992.72</v>
      </c>
      <c r="D167" s="22">
        <f ca="1">Prices!G167</f>
        <v>9.3357500732262604E-3</v>
      </c>
      <c r="E167" s="18">
        <f ca="1">Combine!I167</f>
        <v>14.061878094840553</v>
      </c>
      <c r="F167" s="23">
        <f>C167*Inputs!$B$11*Inputs!$B$12*0.01</f>
        <v>2992.7200000000003</v>
      </c>
      <c r="G167" s="23">
        <f ca="1">C167*Inputs!$B$11*Inputs!$B$12*D167</f>
        <v>2793.9285959145695</v>
      </c>
      <c r="H167" s="23">
        <f>Inputs!$B$4*Inputs!$B$5/SQRT(Inputs!$B$6)</f>
        <v>12500</v>
      </c>
      <c r="I167" s="19">
        <f t="shared" ca="1" si="6"/>
        <v>4.4739869223136779</v>
      </c>
      <c r="J167" s="19">
        <f ca="1">I167*E167/Inputs!$B$7</f>
        <v>6.2912658699485808</v>
      </c>
      <c r="K167" s="24">
        <f t="shared" ca="1" si="7"/>
        <v>6</v>
      </c>
    </row>
    <row r="168" spans="1:11" x14ac:dyDescent="0.25">
      <c r="A168" s="16">
        <f>Prices!A168</f>
        <v>165</v>
      </c>
      <c r="B168" s="17">
        <f>Prices!B168</f>
        <v>46100</v>
      </c>
      <c r="C168" s="18">
        <f>Prices!C168</f>
        <v>3058.65</v>
      </c>
      <c r="D168" s="22">
        <f ca="1">Prices!G168</f>
        <v>9.6246698117448959E-3</v>
      </c>
      <c r="E168" s="18">
        <f ca="1">Combine!I168</f>
        <v>14.507441742255544</v>
      </c>
      <c r="F168" s="23">
        <f>C168*Inputs!$B$11*Inputs!$B$12*0.01</f>
        <v>3058.65</v>
      </c>
      <c r="G168" s="23">
        <f ca="1">C168*Inputs!$B$11*Inputs!$B$12*D168</f>
        <v>2943.8496319693527</v>
      </c>
      <c r="H168" s="23">
        <f>Inputs!$B$4*Inputs!$B$5/SQRT(Inputs!$B$6)</f>
        <v>12500</v>
      </c>
      <c r="I168" s="19">
        <f t="shared" ca="1" si="6"/>
        <v>4.2461407893438672</v>
      </c>
      <c r="J168" s="19">
        <f ca="1">I168*E168/Inputs!$B$7</f>
        <v>6.1600640130821125</v>
      </c>
      <c r="K168" s="24">
        <f t="shared" ca="1" si="7"/>
        <v>6</v>
      </c>
    </row>
    <row r="169" spans="1:11" x14ac:dyDescent="0.25">
      <c r="A169" s="16">
        <f>Prices!A169</f>
        <v>166</v>
      </c>
      <c r="B169" s="17">
        <f>Prices!B169</f>
        <v>46101</v>
      </c>
      <c r="C169" s="18">
        <f>Prices!C169</f>
        <v>3067.63</v>
      </c>
      <c r="D169" s="22">
        <f ca="1">Prices!G169</f>
        <v>9.3445885361526405E-3</v>
      </c>
      <c r="E169" s="18">
        <f ca="1">Combine!I169</f>
        <v>15.245208194009589</v>
      </c>
      <c r="F169" s="23">
        <f>C169*Inputs!$B$11*Inputs!$B$12*0.01</f>
        <v>3067.63</v>
      </c>
      <c r="G169" s="23">
        <f ca="1">C169*Inputs!$B$11*Inputs!$B$12*D169</f>
        <v>2866.5740131157927</v>
      </c>
      <c r="H169" s="23">
        <f>Inputs!$B$4*Inputs!$B$5/SQRT(Inputs!$B$6)</f>
        <v>12500</v>
      </c>
      <c r="I169" s="19">
        <f t="shared" ca="1" si="6"/>
        <v>4.3606060554540695</v>
      </c>
      <c r="J169" s="19">
        <f ca="1">I169*E169/Inputs!$B$7</f>
        <v>6.6478347167456207</v>
      </c>
      <c r="K169" s="24">
        <f t="shared" ca="1" si="7"/>
        <v>7</v>
      </c>
    </row>
    <row r="170" spans="1:11" x14ac:dyDescent="0.25">
      <c r="A170" s="16">
        <f>Prices!A170</f>
        <v>167</v>
      </c>
      <c r="B170" s="17">
        <f>Prices!B170</f>
        <v>46104</v>
      </c>
      <c r="C170" s="18">
        <f>Prices!C170</f>
        <v>3060.09</v>
      </c>
      <c r="D170" s="22">
        <f ca="1">Prices!G170</f>
        <v>9.3572958439518267E-3</v>
      </c>
      <c r="E170" s="18">
        <f ca="1">Combine!I170</f>
        <v>15.841766607003605</v>
      </c>
      <c r="F170" s="23">
        <f>C170*Inputs!$B$11*Inputs!$B$12*0.01</f>
        <v>3060.09</v>
      </c>
      <c r="G170" s="23">
        <f ca="1">C170*Inputs!$B$11*Inputs!$B$12*D170</f>
        <v>2863.4167439118546</v>
      </c>
      <c r="H170" s="23">
        <f>Inputs!$B$4*Inputs!$B$5/SQRT(Inputs!$B$6)</f>
        <v>12500</v>
      </c>
      <c r="I170" s="19">
        <f t="shared" ca="1" si="6"/>
        <v>4.3654141600510217</v>
      </c>
      <c r="J170" s="19">
        <f ca="1">I170*E170/Inputs!$B$7</f>
        <v>6.9155872266436962</v>
      </c>
      <c r="K170" s="24">
        <f t="shared" ca="1" si="7"/>
        <v>7</v>
      </c>
    </row>
    <row r="171" spans="1:11" x14ac:dyDescent="0.25">
      <c r="A171" s="16">
        <f>Prices!A171</f>
        <v>168</v>
      </c>
      <c r="B171" s="17">
        <f>Prices!B171</f>
        <v>46105</v>
      </c>
      <c r="C171" s="18">
        <f>Prices!C171</f>
        <v>3065.04</v>
      </c>
      <c r="D171" s="22">
        <f ca="1">Prices!G171</f>
        <v>9.3527124117984278E-3</v>
      </c>
      <c r="E171" s="18">
        <f ca="1">Combine!I171</f>
        <v>15.964112610675702</v>
      </c>
      <c r="F171" s="23">
        <f>C171*Inputs!$B$11*Inputs!$B$12*0.01</f>
        <v>3065.04</v>
      </c>
      <c r="G171" s="23">
        <f ca="1">C171*Inputs!$B$11*Inputs!$B$12*D171</f>
        <v>2866.6437650658654</v>
      </c>
      <c r="H171" s="23">
        <f>Inputs!$B$4*Inputs!$B$5/SQRT(Inputs!$B$6)</f>
        <v>12500</v>
      </c>
      <c r="I171" s="19">
        <f t="shared" ca="1" si="6"/>
        <v>4.3604999520101844</v>
      </c>
      <c r="J171" s="19">
        <f ca="1">I171*E171/Inputs!$B$7</f>
        <v>6.9611512272736578</v>
      </c>
      <c r="K171" s="24">
        <f t="shared" ca="1" si="7"/>
        <v>7</v>
      </c>
    </row>
    <row r="172" spans="1:11" x14ac:dyDescent="0.25">
      <c r="A172" s="16">
        <f>Prices!A172</f>
        <v>169</v>
      </c>
      <c r="B172" s="17">
        <f>Prices!B172</f>
        <v>46106</v>
      </c>
      <c r="C172" s="18">
        <f>Prices!C172</f>
        <v>3112.02</v>
      </c>
      <c r="D172" s="22">
        <f ca="1">Prices!G172</f>
        <v>9.2862830051122069E-3</v>
      </c>
      <c r="E172" s="18">
        <f ca="1">Combine!I172</f>
        <v>16.224588318597387</v>
      </c>
      <c r="F172" s="23">
        <f>C172*Inputs!$B$11*Inputs!$B$12*0.01</f>
        <v>3112.02</v>
      </c>
      <c r="G172" s="23">
        <f ca="1">C172*Inputs!$B$11*Inputs!$B$12*D172</f>
        <v>2889.9098437569291</v>
      </c>
      <c r="H172" s="23">
        <f>Inputs!$B$4*Inputs!$B$5/SQRT(Inputs!$B$6)</f>
        <v>12500</v>
      </c>
      <c r="I172" s="19">
        <f t="shared" ca="1" si="6"/>
        <v>4.3253944502814656</v>
      </c>
      <c r="J172" s="19">
        <f ca="1">I172*E172/Inputs!$B$7</f>
        <v>7.0177744271362643</v>
      </c>
      <c r="K172" s="24">
        <f t="shared" ca="1" si="7"/>
        <v>7</v>
      </c>
    </row>
    <row r="173" spans="1:11" x14ac:dyDescent="0.25">
      <c r="A173" s="16">
        <f>Prices!A173</f>
        <v>170</v>
      </c>
      <c r="B173" s="17">
        <f>Prices!B173</f>
        <v>46107</v>
      </c>
      <c r="C173" s="18">
        <f>Prices!C173</f>
        <v>3117.27</v>
      </c>
      <c r="D173" s="22">
        <f ca="1">Prices!G173</f>
        <v>8.8249008764670119E-3</v>
      </c>
      <c r="E173" s="18">
        <f ca="1">Combine!I173</f>
        <v>16.572637257229832</v>
      </c>
      <c r="F173" s="23">
        <f>C173*Inputs!$B$11*Inputs!$B$12*0.01</f>
        <v>3117.27</v>
      </c>
      <c r="G173" s="23">
        <f ca="1">C173*Inputs!$B$11*Inputs!$B$12*D173</f>
        <v>2750.959875518432</v>
      </c>
      <c r="H173" s="23">
        <f>Inputs!$B$4*Inputs!$B$5/SQRT(Inputs!$B$6)</f>
        <v>12500</v>
      </c>
      <c r="I173" s="19">
        <f t="shared" ca="1" si="6"/>
        <v>4.5438685279422018</v>
      </c>
      <c r="J173" s="19">
        <f ca="1">I173*E173/Inputs!$B$7</f>
        <v>7.5303884858129013</v>
      </c>
      <c r="K173" s="24">
        <f t="shared" ca="1" si="7"/>
        <v>8</v>
      </c>
    </row>
    <row r="174" spans="1:11" x14ac:dyDescent="0.25">
      <c r="A174" s="16">
        <f>Prices!A174</f>
        <v>171</v>
      </c>
      <c r="B174" s="17">
        <f>Prices!B174</f>
        <v>46108</v>
      </c>
      <c r="C174" s="18">
        <f>Prices!C174</f>
        <v>3135.02</v>
      </c>
      <c r="D174" s="22">
        <f ca="1">Prices!G174</f>
        <v>8.770792497768071E-3</v>
      </c>
      <c r="E174" s="18">
        <f ca="1">Combine!I174</f>
        <v>16.670801105054572</v>
      </c>
      <c r="F174" s="23">
        <f>C174*Inputs!$B$11*Inputs!$B$12*0.01</f>
        <v>3135.02</v>
      </c>
      <c r="G174" s="23">
        <f ca="1">C174*Inputs!$B$11*Inputs!$B$12*D174</f>
        <v>2749.6609896352857</v>
      </c>
      <c r="H174" s="23">
        <f>Inputs!$B$4*Inputs!$B$5/SQRT(Inputs!$B$6)</f>
        <v>12500</v>
      </c>
      <c r="I174" s="19">
        <f t="shared" ca="1" si="6"/>
        <v>4.5460149622510366</v>
      </c>
      <c r="J174" s="19">
        <f ca="1">I174*E174/Inputs!$B$7</f>
        <v>7.5785711256289208</v>
      </c>
      <c r="K174" s="24">
        <f t="shared" ca="1" si="7"/>
        <v>8</v>
      </c>
    </row>
    <row r="175" spans="1:11" x14ac:dyDescent="0.25">
      <c r="A175" s="16">
        <f>Prices!A175</f>
        <v>172</v>
      </c>
      <c r="B175" s="17">
        <f>Prices!B175</f>
        <v>46111</v>
      </c>
      <c r="C175" s="18">
        <f>Prices!C175</f>
        <v>3174.08</v>
      </c>
      <c r="D175" s="22">
        <f ca="1">Prices!G175</f>
        <v>8.854266770918896E-3</v>
      </c>
      <c r="E175" s="18">
        <f ca="1">Combine!I175</f>
        <v>16.809592701146144</v>
      </c>
      <c r="F175" s="23">
        <f>C175*Inputs!$B$11*Inputs!$B$12*0.01</f>
        <v>3174.08</v>
      </c>
      <c r="G175" s="23">
        <f ca="1">C175*Inputs!$B$11*Inputs!$B$12*D175</f>
        <v>2810.4151072238251</v>
      </c>
      <c r="H175" s="23">
        <f>Inputs!$B$4*Inputs!$B$5/SQRT(Inputs!$B$6)</f>
        <v>12500</v>
      </c>
      <c r="I175" s="19">
        <f t="shared" ca="1" si="6"/>
        <v>4.4477415339357851</v>
      </c>
      <c r="J175" s="19">
        <f ca="1">I175*E175/Inputs!$B$7</f>
        <v>7.4764723625431531</v>
      </c>
      <c r="K175" s="24">
        <f t="shared" ca="1" si="7"/>
        <v>7</v>
      </c>
    </row>
    <row r="176" spans="1:11" x14ac:dyDescent="0.25">
      <c r="A176" s="16">
        <f>Prices!A176</f>
        <v>173</v>
      </c>
      <c r="B176" s="17">
        <f>Prices!B176</f>
        <v>46112</v>
      </c>
      <c r="C176" s="18">
        <f>Prices!C176</f>
        <v>3159.38</v>
      </c>
      <c r="D176" s="22">
        <f ca="1">Prices!G176</f>
        <v>8.7546714450063099E-3</v>
      </c>
      <c r="E176" s="18">
        <f ca="1">Combine!I176</f>
        <v>16.754642392779505</v>
      </c>
      <c r="F176" s="23">
        <f>C176*Inputs!$B$11*Inputs!$B$12*0.01</f>
        <v>3159.38</v>
      </c>
      <c r="G176" s="23">
        <f ca="1">C176*Inputs!$B$11*Inputs!$B$12*D176</f>
        <v>2765.9333869924035</v>
      </c>
      <c r="H176" s="23">
        <f>Inputs!$B$4*Inputs!$B$5/SQRT(Inputs!$B$6)</f>
        <v>12500</v>
      </c>
      <c r="I176" s="19">
        <f t="shared" ca="1" si="6"/>
        <v>4.5192700803225563</v>
      </c>
      <c r="J176" s="19">
        <f ca="1">I176*E176/Inputs!$B$7</f>
        <v>7.5718754072192338</v>
      </c>
      <c r="K176" s="24">
        <f t="shared" ca="1" si="7"/>
        <v>8</v>
      </c>
    </row>
    <row r="177" spans="1:11" x14ac:dyDescent="0.25">
      <c r="A177" s="16">
        <f>Prices!A177</f>
        <v>174</v>
      </c>
      <c r="B177" s="17">
        <f>Prices!B177</f>
        <v>46113</v>
      </c>
      <c r="C177" s="18">
        <f>Prices!C177</f>
        <v>3106.42</v>
      </c>
      <c r="D177" s="22">
        <f ca="1">Prices!G177</f>
        <v>9.2080067495968147E-3</v>
      </c>
      <c r="E177" s="18">
        <f ca="1">Combine!I177</f>
        <v>15.834021270752313</v>
      </c>
      <c r="F177" s="23">
        <f>C177*Inputs!$B$11*Inputs!$B$12*0.01</f>
        <v>3106.42</v>
      </c>
      <c r="G177" s="23">
        <f ca="1">C177*Inputs!$B$11*Inputs!$B$12*D177</f>
        <v>2860.3936327082538</v>
      </c>
      <c r="H177" s="23">
        <f>Inputs!$B$4*Inputs!$B$5/SQRT(Inputs!$B$6)</f>
        <v>12500</v>
      </c>
      <c r="I177" s="19">
        <f t="shared" ref="I177:I183" ca="1" si="8">H177/G177</f>
        <v>4.3700279070209138</v>
      </c>
      <c r="J177" s="19">
        <f ca="1">I177*E177/Inputs!$B$7</f>
        <v>6.919511483355036</v>
      </c>
      <c r="K177" s="24">
        <f t="shared" ref="K177:K183" ca="1" si="9">ROUND(J177,0)</f>
        <v>7</v>
      </c>
    </row>
    <row r="178" spans="1:11" x14ac:dyDescent="0.25">
      <c r="A178" s="16">
        <f>Prices!A178</f>
        <v>175</v>
      </c>
      <c r="B178" s="17">
        <f>Prices!B178</f>
        <v>46114</v>
      </c>
      <c r="C178" s="18">
        <f>Prices!C178</f>
        <v>3117.27</v>
      </c>
      <c r="D178" s="22">
        <f ca="1">Prices!G178</f>
        <v>9.1978237095159329E-3</v>
      </c>
      <c r="E178" s="18">
        <f ca="1">Combine!I178</f>
        <v>16.088398933262038</v>
      </c>
      <c r="F178" s="23">
        <f>C178*Inputs!$B$11*Inputs!$B$12*0.01</f>
        <v>3117.27</v>
      </c>
      <c r="G178" s="23">
        <f ca="1">C178*Inputs!$B$11*Inputs!$B$12*D178</f>
        <v>2867.2099914962732</v>
      </c>
      <c r="H178" s="23">
        <f>Inputs!$B$4*Inputs!$B$5/SQRT(Inputs!$B$6)</f>
        <v>12500</v>
      </c>
      <c r="I178" s="19">
        <f t="shared" ca="1" si="8"/>
        <v>4.3596388255737031</v>
      </c>
      <c r="J178" s="19">
        <f ca="1">I178*E178/Inputs!$B$7</f>
        <v>7.0139608630767727</v>
      </c>
      <c r="K178" s="24">
        <f t="shared" ca="1" si="9"/>
        <v>7</v>
      </c>
    </row>
    <row r="179" spans="1:11" x14ac:dyDescent="0.25">
      <c r="A179" s="16">
        <f>Prices!A179</f>
        <v>176</v>
      </c>
      <c r="B179" s="17">
        <f>Prices!B179</f>
        <v>46115</v>
      </c>
      <c r="C179" s="18">
        <f>Prices!C179</f>
        <v>3125.99</v>
      </c>
      <c r="D179" s="22">
        <f ca="1">Prices!G179</f>
        <v>9.12546834049505E-3</v>
      </c>
      <c r="E179" s="18">
        <f ca="1">Combine!I179</f>
        <v>16.322939233248409</v>
      </c>
      <c r="F179" s="23">
        <f>C179*Inputs!$B$11*Inputs!$B$12*0.01</f>
        <v>3125.9900000000002</v>
      </c>
      <c r="G179" s="23">
        <f ca="1">C179*Inputs!$B$11*Inputs!$B$12*D179</f>
        <v>2852.6122777704122</v>
      </c>
      <c r="H179" s="23">
        <f>Inputs!$B$4*Inputs!$B$5/SQRT(Inputs!$B$6)</f>
        <v>12500</v>
      </c>
      <c r="I179" s="19">
        <f t="shared" ca="1" si="8"/>
        <v>4.3819484678688756</v>
      </c>
      <c r="J179" s="19">
        <f ca="1">I179*E179/Inputs!$B$7</f>
        <v>7.1526278564249619</v>
      </c>
      <c r="K179" s="24">
        <f t="shared" ca="1" si="9"/>
        <v>7</v>
      </c>
    </row>
    <row r="180" spans="1:11" x14ac:dyDescent="0.25">
      <c r="A180" s="16">
        <f>Prices!A180</f>
        <v>177</v>
      </c>
      <c r="B180" s="17">
        <f>Prices!B180</f>
        <v>46118</v>
      </c>
      <c r="C180" s="18">
        <f>Prices!C180</f>
        <v>3108.55</v>
      </c>
      <c r="D180" s="22">
        <f ca="1">Prices!G180</f>
        <v>8.9480841321614192E-3</v>
      </c>
      <c r="E180" s="18">
        <f ca="1">Combine!I180</f>
        <v>16.347159710799417</v>
      </c>
      <c r="F180" s="23">
        <f>C180*Inputs!$B$11*Inputs!$B$12*0.01</f>
        <v>3108.55</v>
      </c>
      <c r="G180" s="23">
        <f ca="1">C180*Inputs!$B$11*Inputs!$B$12*D180</f>
        <v>2781.5566929030379</v>
      </c>
      <c r="H180" s="23">
        <f>Inputs!$B$4*Inputs!$B$5/SQRT(Inputs!$B$6)</f>
        <v>12500</v>
      </c>
      <c r="I180" s="19">
        <f t="shared" ca="1" si="8"/>
        <v>4.4938864743950546</v>
      </c>
      <c r="J180" s="19">
        <f ca="1">I180*E180/Inputs!$B$7</f>
        <v>7.346227991913727</v>
      </c>
      <c r="K180" s="24">
        <f t="shared" ca="1" si="9"/>
        <v>7</v>
      </c>
    </row>
    <row r="181" spans="1:11" x14ac:dyDescent="0.25">
      <c r="A181" s="16">
        <f>Prices!A181</f>
        <v>178</v>
      </c>
      <c r="B181" s="17">
        <f>Prices!B181</f>
        <v>46119</v>
      </c>
      <c r="C181" s="18">
        <f>Prices!C181</f>
        <v>3137.18</v>
      </c>
      <c r="D181" s="22">
        <f ca="1">Prices!G181</f>
        <v>8.9865640150474709E-3</v>
      </c>
      <c r="E181" s="18">
        <f ca="1">Combine!I181</f>
        <v>16.646576255101632</v>
      </c>
      <c r="F181" s="23">
        <f>C181*Inputs!$B$11*Inputs!$B$12*0.01</f>
        <v>3137.1800000000003</v>
      </c>
      <c r="G181" s="23">
        <f ca="1">C181*Inputs!$B$11*Inputs!$B$12*D181</f>
        <v>2819.2468896726623</v>
      </c>
      <c r="H181" s="23">
        <f>Inputs!$B$4*Inputs!$B$5/SQRT(Inputs!$B$6)</f>
        <v>12500</v>
      </c>
      <c r="I181" s="19">
        <f t="shared" ca="1" si="8"/>
        <v>4.4338082080677061</v>
      </c>
      <c r="J181" s="19">
        <f ca="1">I181*E181/Inputs!$B$7</f>
        <v>7.3807726436094594</v>
      </c>
      <c r="K181" s="24">
        <f t="shared" ca="1" si="9"/>
        <v>7</v>
      </c>
    </row>
    <row r="182" spans="1:11" x14ac:dyDescent="0.25">
      <c r="A182" s="16">
        <f>Prices!A182</f>
        <v>179</v>
      </c>
      <c r="B182" s="17">
        <f>Prices!B182</f>
        <v>46120</v>
      </c>
      <c r="C182" s="18">
        <f>Prices!C182</f>
        <v>3157.81</v>
      </c>
      <c r="D182" s="22">
        <f ca="1">Prices!G182</f>
        <v>8.9651028068396602E-3</v>
      </c>
      <c r="E182" s="18">
        <f ca="1">Combine!I182</f>
        <v>16.899249954300462</v>
      </c>
      <c r="F182" s="23">
        <f>C182*Inputs!$B$11*Inputs!$B$12*0.01</f>
        <v>3157.81</v>
      </c>
      <c r="G182" s="23">
        <f ca="1">C182*Inputs!$B$11*Inputs!$B$12*D182</f>
        <v>2831.0091294466347</v>
      </c>
      <c r="H182" s="23">
        <f>Inputs!$B$4*Inputs!$B$5/SQRT(Inputs!$B$6)</f>
        <v>12500</v>
      </c>
      <c r="I182" s="19">
        <f t="shared" ca="1" si="8"/>
        <v>4.415386679605418</v>
      </c>
      <c r="J182" s="19">
        <f ca="1">I182*E182/Inputs!$B$7</f>
        <v>7.4616723143540726</v>
      </c>
      <c r="K182" s="24">
        <f t="shared" ca="1" si="9"/>
        <v>7</v>
      </c>
    </row>
    <row r="183" spans="1:11" x14ac:dyDescent="0.25">
      <c r="A183" s="16">
        <f>Prices!A183</f>
        <v>180</v>
      </c>
      <c r="B183" s="17">
        <f>Prices!B183</f>
        <v>46121</v>
      </c>
      <c r="C183" s="18">
        <f>Prices!C183</f>
        <v>3127.97</v>
      </c>
      <c r="D183" s="22">
        <f ca="1">Prices!G183</f>
        <v>8.7902772618603433E-3</v>
      </c>
      <c r="E183" s="18">
        <f ca="1">Combine!I183</f>
        <v>16.643386290149749</v>
      </c>
      <c r="F183" s="23">
        <f>C183*Inputs!$B$11*Inputs!$B$12*0.01</f>
        <v>3127.9700000000003</v>
      </c>
      <c r="G183" s="23">
        <f ca="1">C183*Inputs!$B$11*Inputs!$B$12*D183</f>
        <v>2749.5723566781298</v>
      </c>
      <c r="H183" s="23">
        <f>Inputs!$B$4*Inputs!$B$5/SQRT(Inputs!$B$6)</f>
        <v>12500</v>
      </c>
      <c r="I183" s="19">
        <f t="shared" ca="1" si="8"/>
        <v>4.5461615038571885</v>
      </c>
      <c r="J183" s="19">
        <f ca="1">I183*E183/Inputs!$B$7</f>
        <v>7.5663522046103298</v>
      </c>
      <c r="K183" s="24">
        <f t="shared" ca="1" si="9"/>
        <v>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8"/>
  <sheetViews>
    <sheetView topLeftCell="A3" zoomScaleNormal="100" workbookViewId="0">
      <selection activeCell="L9" sqref="L9"/>
    </sheetView>
  </sheetViews>
  <sheetFormatPr defaultColWidth="8.7109375" defaultRowHeight="15" x14ac:dyDescent="0.25"/>
  <cols>
    <col min="1" max="1" width="22" customWidth="1"/>
    <col min="2" max="3" width="12" customWidth="1"/>
    <col min="4" max="4" width="14" customWidth="1"/>
    <col min="5" max="6" width="12" customWidth="1"/>
    <col min="7" max="12" width="14" customWidth="1"/>
  </cols>
  <sheetData>
    <row r="1" spans="1:12" ht="19.5" customHeight="1" x14ac:dyDescent="0.25">
      <c r="A1" s="1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3" spans="1:12" x14ac:dyDescent="0.25">
      <c r="A3" s="5" t="s">
        <v>128</v>
      </c>
      <c r="B3" s="6">
        <v>1000000</v>
      </c>
    </row>
    <row r="4" spans="1:12" x14ac:dyDescent="0.25">
      <c r="A4" s="5" t="s">
        <v>129</v>
      </c>
      <c r="B4" s="8">
        <v>0.2</v>
      </c>
    </row>
    <row r="5" spans="1:12" ht="25.5" x14ac:dyDescent="0.25">
      <c r="A5" s="5" t="s">
        <v>130</v>
      </c>
      <c r="B5" s="10">
        <v>2.5</v>
      </c>
    </row>
    <row r="6" spans="1:12" ht="25.5" x14ac:dyDescent="0.25">
      <c r="A6" s="5" t="s">
        <v>131</v>
      </c>
      <c r="B6" s="12">
        <f>SUM(H9:H14)</f>
        <v>0.88349999999999995</v>
      </c>
    </row>
    <row r="8" spans="1:12" ht="25.5" x14ac:dyDescent="0.25">
      <c r="A8" s="13" t="s">
        <v>132</v>
      </c>
      <c r="B8" s="13" t="s">
        <v>133</v>
      </c>
      <c r="C8" s="13" t="s">
        <v>89</v>
      </c>
      <c r="D8" s="13" t="s">
        <v>134</v>
      </c>
      <c r="E8" s="13" t="s">
        <v>135</v>
      </c>
      <c r="F8" s="13" t="s">
        <v>136</v>
      </c>
      <c r="G8" s="13" t="s">
        <v>137</v>
      </c>
      <c r="H8" s="13" t="s">
        <v>138</v>
      </c>
      <c r="I8" s="13" t="s">
        <v>139</v>
      </c>
      <c r="J8" s="13" t="s">
        <v>124</v>
      </c>
      <c r="K8" s="13" t="s">
        <v>140</v>
      </c>
      <c r="L8" s="13" t="s">
        <v>141</v>
      </c>
    </row>
    <row r="9" spans="1:12" x14ac:dyDescent="0.25">
      <c r="A9" s="25" t="s">
        <v>142</v>
      </c>
      <c r="B9" s="25" t="s">
        <v>143</v>
      </c>
      <c r="C9" s="10">
        <v>2450</v>
      </c>
      <c r="D9" s="10">
        <v>100</v>
      </c>
      <c r="E9" s="11">
        <v>1</v>
      </c>
      <c r="F9" s="8">
        <v>0.15</v>
      </c>
      <c r="G9" s="10">
        <v>12.5</v>
      </c>
      <c r="H9" s="8">
        <v>0.16669999999999999</v>
      </c>
      <c r="I9" s="23">
        <f>C9*D9*E9*F9/SQRT(Inputs!$B$6)</f>
        <v>2296.875</v>
      </c>
      <c r="J9" s="19">
        <f>($B$3*$B$4/SQRT(Inputs!$B$6))/I9</f>
        <v>5.4421768707482991</v>
      </c>
      <c r="K9" s="19">
        <f>J9*G9/Inputs!$B$7</f>
        <v>6.8027210884353737</v>
      </c>
      <c r="L9" s="19">
        <f t="shared" ref="L9:L14" si="0">K9*H9*$B$5</f>
        <v>2.8350340136054419</v>
      </c>
    </row>
    <row r="10" spans="1:12" x14ac:dyDescent="0.25">
      <c r="A10" s="25" t="s">
        <v>144</v>
      </c>
      <c r="B10" s="25" t="s">
        <v>145</v>
      </c>
      <c r="C10" s="10">
        <v>78</v>
      </c>
      <c r="D10" s="10">
        <v>1000</v>
      </c>
      <c r="E10" s="11">
        <v>1</v>
      </c>
      <c r="F10" s="8">
        <v>0.35</v>
      </c>
      <c r="G10" s="10">
        <v>-8</v>
      </c>
      <c r="H10" s="8">
        <v>0.16669999999999999</v>
      </c>
      <c r="I10" s="23">
        <f>C10*D10*E10*F10/SQRT(Inputs!$B$6)</f>
        <v>1706.25</v>
      </c>
      <c r="J10" s="19">
        <f>($B$3*$B$4/SQRT(Inputs!$B$6))/I10</f>
        <v>7.3260073260073257</v>
      </c>
      <c r="K10" s="19">
        <f>J10*G10/Inputs!$B$7</f>
        <v>-5.8608058608058604</v>
      </c>
      <c r="L10" s="19">
        <f t="shared" si="0"/>
        <v>-2.4424908424908418</v>
      </c>
    </row>
    <row r="11" spans="1:12" x14ac:dyDescent="0.25">
      <c r="A11" s="25" t="s">
        <v>146</v>
      </c>
      <c r="B11" s="25" t="s">
        <v>147</v>
      </c>
      <c r="C11" s="10">
        <v>5250</v>
      </c>
      <c r="D11" s="10">
        <v>50</v>
      </c>
      <c r="E11" s="11">
        <v>1</v>
      </c>
      <c r="F11" s="8">
        <v>0.16</v>
      </c>
      <c r="G11" s="10">
        <v>6</v>
      </c>
      <c r="H11" s="8">
        <v>0.16669999999999999</v>
      </c>
      <c r="I11" s="23">
        <f>C11*D11*E11*F11/SQRT(Inputs!$B$6)</f>
        <v>2625</v>
      </c>
      <c r="J11" s="19">
        <f>($B$3*$B$4/SQRT(Inputs!$B$6))/I11</f>
        <v>4.7619047619047619</v>
      </c>
      <c r="K11" s="19">
        <f>J11*G11/Inputs!$B$7</f>
        <v>2.8571428571428568</v>
      </c>
      <c r="L11" s="19">
        <f t="shared" si="0"/>
        <v>1.1907142857142854</v>
      </c>
    </row>
    <row r="12" spans="1:12" x14ac:dyDescent="0.25">
      <c r="A12" s="25" t="s">
        <v>148</v>
      </c>
      <c r="B12" s="25" t="s">
        <v>149</v>
      </c>
      <c r="C12" s="10">
        <v>111.5</v>
      </c>
      <c r="D12" s="10">
        <v>1000</v>
      </c>
      <c r="E12" s="11">
        <v>1</v>
      </c>
      <c r="F12" s="8">
        <v>0.06</v>
      </c>
      <c r="G12" s="10">
        <v>15</v>
      </c>
      <c r="H12" s="8">
        <v>0.16669999999999999</v>
      </c>
      <c r="I12" s="23">
        <f>C12*D12*E12*F12/SQRT(Inputs!$B$6)</f>
        <v>418.125</v>
      </c>
      <c r="J12" s="19">
        <f>($B$3*$B$4/SQRT(Inputs!$B$6))/I12</f>
        <v>29.895366218236173</v>
      </c>
      <c r="K12" s="19">
        <f>J12*G12/Inputs!$B$7</f>
        <v>44.843049327354258</v>
      </c>
      <c r="L12" s="19">
        <f t="shared" si="0"/>
        <v>18.688340807174885</v>
      </c>
    </row>
    <row r="13" spans="1:12" x14ac:dyDescent="0.25">
      <c r="A13" s="25" t="s">
        <v>150</v>
      </c>
      <c r="B13" s="25" t="s">
        <v>135</v>
      </c>
      <c r="C13" s="10">
        <v>1.08</v>
      </c>
      <c r="D13" s="10">
        <v>125000</v>
      </c>
      <c r="E13" s="11">
        <v>1</v>
      </c>
      <c r="F13" s="8">
        <v>0.08</v>
      </c>
      <c r="G13" s="10">
        <v>-4</v>
      </c>
      <c r="H13" s="8">
        <v>0.05</v>
      </c>
      <c r="I13" s="23">
        <f>C13*D13*E13*F13/SQRT(Inputs!$B$6)</f>
        <v>675</v>
      </c>
      <c r="J13" s="19">
        <f>($B$3*$B$4/SQRT(Inputs!$B$6))/I13</f>
        <v>18.518518518518519</v>
      </c>
      <c r="K13" s="19">
        <f>J13*G13/Inputs!$B$7</f>
        <v>-7.4074074074074074</v>
      </c>
      <c r="L13" s="19">
        <f t="shared" si="0"/>
        <v>-0.92592592592592604</v>
      </c>
    </row>
    <row r="14" spans="1:12" x14ac:dyDescent="0.25">
      <c r="A14" s="25" t="s">
        <v>151</v>
      </c>
      <c r="B14" s="25" t="s">
        <v>152</v>
      </c>
      <c r="C14" s="10">
        <v>4.3499999999999996</v>
      </c>
      <c r="D14" s="10">
        <v>5000</v>
      </c>
      <c r="E14" s="11">
        <v>1</v>
      </c>
      <c r="F14" s="8">
        <v>0.22</v>
      </c>
      <c r="G14" s="10">
        <v>10.5</v>
      </c>
      <c r="H14" s="8">
        <v>0.16669999999999999</v>
      </c>
      <c r="I14" s="23">
        <f>C14*D14*E14*F14/SQRT(Inputs!$B$6)</f>
        <v>299.0625</v>
      </c>
      <c r="J14" s="19">
        <f>($B$3*$B$4/SQRT(Inputs!$B$6))/I14</f>
        <v>41.797283176593524</v>
      </c>
      <c r="K14" s="19">
        <f>J14*G14/Inputs!$B$7</f>
        <v>43.887147335423201</v>
      </c>
      <c r="L14" s="19">
        <f t="shared" si="0"/>
        <v>18.289968652037619</v>
      </c>
    </row>
    <row r="15" spans="1:12" ht="24" x14ac:dyDescent="0.25">
      <c r="A15" s="2" t="s">
        <v>153</v>
      </c>
      <c r="I15" s="23">
        <f>SUMPRODUCT(ABS(L9:L14),C9:C14,D9:D14,E9:E14)</f>
        <v>3804216.9372294368</v>
      </c>
      <c r="J15" s="7" t="s">
        <v>154</v>
      </c>
    </row>
    <row r="16" spans="1:12" ht="24" x14ac:dyDescent="0.25">
      <c r="I16" s="23">
        <f>SQRT(SUMPRODUCT((L9:L14*I9:I14)^2))</f>
        <v>12685.009159359988</v>
      </c>
      <c r="J16" s="7" t="s">
        <v>155</v>
      </c>
    </row>
    <row r="17" spans="1:10" ht="24" x14ac:dyDescent="0.25">
      <c r="I17" s="23">
        <f>$B$3*$B$4/SQRT(Inputs!$B$6)</f>
        <v>12500</v>
      </c>
      <c r="J17" s="7" t="s">
        <v>156</v>
      </c>
    </row>
    <row r="18" spans="1:10" ht="60" x14ac:dyDescent="0.25">
      <c r="A18" s="7" t="s">
        <v>157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8"/>
  <sheetViews>
    <sheetView tabSelected="1" topLeftCell="A24" zoomScaleNormal="100" workbookViewId="0">
      <selection activeCell="G7" sqref="G7"/>
    </sheetView>
  </sheetViews>
  <sheetFormatPr defaultColWidth="8.7109375" defaultRowHeight="15" x14ac:dyDescent="0.25"/>
  <cols>
    <col min="1" max="1" width="32" customWidth="1"/>
    <col min="2" max="3" width="14" customWidth="1"/>
    <col min="4" max="4" width="50" customWidth="1"/>
  </cols>
  <sheetData>
    <row r="1" spans="1:4" ht="19.5" customHeight="1" x14ac:dyDescent="0.25">
      <c r="A1" s="1" t="s">
        <v>158</v>
      </c>
      <c r="B1" s="4"/>
      <c r="C1" s="4"/>
      <c r="D1" s="4"/>
    </row>
    <row r="3" spans="1:4" x14ac:dyDescent="0.25">
      <c r="A3" s="2" t="s">
        <v>159</v>
      </c>
    </row>
    <row r="4" spans="1:4" x14ac:dyDescent="0.25">
      <c r="A4" s="5" t="s">
        <v>160</v>
      </c>
      <c r="B4" s="10">
        <v>97.6</v>
      </c>
    </row>
    <row r="5" spans="1:4" x14ac:dyDescent="0.25">
      <c r="A5" s="5" t="s">
        <v>134</v>
      </c>
      <c r="B5" s="10">
        <v>1000</v>
      </c>
    </row>
    <row r="6" spans="1:4" x14ac:dyDescent="0.25">
      <c r="A6" s="5" t="s">
        <v>161</v>
      </c>
      <c r="B6" s="11">
        <v>1</v>
      </c>
    </row>
    <row r="7" spans="1:4" x14ac:dyDescent="0.25">
      <c r="A7" s="5" t="s">
        <v>162</v>
      </c>
      <c r="B7" s="8">
        <v>0.87</v>
      </c>
    </row>
    <row r="8" spans="1:4" x14ac:dyDescent="0.25">
      <c r="A8" s="5" t="s">
        <v>163</v>
      </c>
      <c r="B8" s="10">
        <v>5</v>
      </c>
    </row>
    <row r="9" spans="1:4" x14ac:dyDescent="0.25">
      <c r="A9" s="5" t="s">
        <v>128</v>
      </c>
      <c r="B9" s="6">
        <v>250000</v>
      </c>
    </row>
    <row r="10" spans="1:4" x14ac:dyDescent="0.25">
      <c r="A10" s="5" t="s">
        <v>164</v>
      </c>
      <c r="B10" s="8">
        <v>12</v>
      </c>
    </row>
    <row r="11" spans="1:4" x14ac:dyDescent="0.25">
      <c r="A11" s="5" t="s">
        <v>165</v>
      </c>
      <c r="B11" s="9">
        <v>256</v>
      </c>
    </row>
    <row r="13" spans="1:4" x14ac:dyDescent="0.25">
      <c r="A13" s="2" t="s">
        <v>166</v>
      </c>
    </row>
    <row r="14" spans="1:4" x14ac:dyDescent="0.25">
      <c r="A14" s="5" t="s">
        <v>167</v>
      </c>
      <c r="B14" s="12">
        <f>B7/SQRT(B11)</f>
        <v>5.4375E-2</v>
      </c>
    </row>
    <row r="15" spans="1:4" x14ac:dyDescent="0.25">
      <c r="A15" s="5" t="s">
        <v>168</v>
      </c>
      <c r="B15" s="23">
        <f>B4*B5*B6*B14</f>
        <v>5307</v>
      </c>
    </row>
    <row r="16" spans="1:4" x14ac:dyDescent="0.25">
      <c r="A16" s="5" t="s">
        <v>123</v>
      </c>
      <c r="B16" s="23">
        <f>B9*B10/SQRT(B11)</f>
        <v>187500</v>
      </c>
    </row>
    <row r="17" spans="1:4" x14ac:dyDescent="0.25">
      <c r="A17" s="5" t="s">
        <v>124</v>
      </c>
      <c r="B17" s="19">
        <f>B16/B15</f>
        <v>35.330695308083662</v>
      </c>
    </row>
    <row r="18" spans="1:4" ht="25.5" x14ac:dyDescent="0.25">
      <c r="A18" s="5" t="s">
        <v>169</v>
      </c>
      <c r="B18" s="19">
        <f>B17</f>
        <v>35.330695308083662</v>
      </c>
    </row>
    <row r="19" spans="1:4" x14ac:dyDescent="0.25">
      <c r="A19" s="5" t="s">
        <v>170</v>
      </c>
      <c r="B19" s="19">
        <f>B17*B8/10</f>
        <v>17.665347654041831</v>
      </c>
    </row>
    <row r="20" spans="1:4" x14ac:dyDescent="0.25">
      <c r="A20" s="5" t="s">
        <v>171</v>
      </c>
      <c r="B20" s="24">
        <f>ROUND(B19,0)</f>
        <v>18</v>
      </c>
    </row>
    <row r="21" spans="1:4" x14ac:dyDescent="0.25">
      <c r="A21" s="5" t="s">
        <v>172</v>
      </c>
      <c r="B21" s="23">
        <f>B20*B4*B5*B6</f>
        <v>1756800</v>
      </c>
      <c r="C21">
        <f>+B21/B9</f>
        <v>7.0271999999999997</v>
      </c>
      <c r="D21">
        <f>+B21*3%</f>
        <v>52704</v>
      </c>
    </row>
    <row r="23" spans="1:4" x14ac:dyDescent="0.25">
      <c r="A23" s="2" t="s">
        <v>173</v>
      </c>
    </row>
    <row r="24" spans="1:4" x14ac:dyDescent="0.25">
      <c r="A24" s="5" t="s">
        <v>174</v>
      </c>
      <c r="B24" s="9">
        <v>3</v>
      </c>
    </row>
    <row r="25" spans="1:4" x14ac:dyDescent="0.25">
      <c r="A25" s="5" t="s">
        <v>175</v>
      </c>
      <c r="B25" s="10">
        <v>0.7</v>
      </c>
    </row>
    <row r="26" spans="1:4" x14ac:dyDescent="0.25">
      <c r="A26" s="5" t="s">
        <v>176</v>
      </c>
      <c r="B26" s="19">
        <f>1/SQRT((1/B24)+(1-1/B24)*B25)</f>
        <v>1.1180339887498949</v>
      </c>
    </row>
    <row r="28" spans="1:4" x14ac:dyDescent="0.25">
      <c r="A28" s="2" t="s">
        <v>177</v>
      </c>
    </row>
    <row r="29" spans="1:4" ht="25.5" x14ac:dyDescent="0.25">
      <c r="A29" s="5" t="s">
        <v>178</v>
      </c>
    </row>
    <row r="30" spans="1:4" ht="38.25" x14ac:dyDescent="0.25">
      <c r="A30" s="5" t="s">
        <v>179</v>
      </c>
    </row>
    <row r="31" spans="1:4" ht="38.25" x14ac:dyDescent="0.25">
      <c r="A31" s="5" t="s">
        <v>180</v>
      </c>
    </row>
    <row r="32" spans="1:4" ht="38.25" x14ac:dyDescent="0.25">
      <c r="A32" s="5" t="s">
        <v>181</v>
      </c>
    </row>
    <row r="33" spans="1:1" ht="38.25" x14ac:dyDescent="0.25">
      <c r="A33" s="5" t="s">
        <v>182</v>
      </c>
    </row>
    <row r="34" spans="1:1" ht="38.25" x14ac:dyDescent="0.25">
      <c r="A34" s="5" t="s">
        <v>183</v>
      </c>
    </row>
    <row r="35" spans="1:1" ht="25.5" x14ac:dyDescent="0.25">
      <c r="A35" s="5" t="s">
        <v>184</v>
      </c>
    </row>
    <row r="36" spans="1:1" ht="38.25" x14ac:dyDescent="0.25">
      <c r="A36" s="5" t="s">
        <v>185</v>
      </c>
    </row>
    <row r="37" spans="1:1" ht="38.25" x14ac:dyDescent="0.25">
      <c r="A37" s="5" t="s">
        <v>186</v>
      </c>
    </row>
    <row r="38" spans="1:1" ht="38.25" x14ac:dyDescent="0.25">
      <c r="A38" s="5" t="s">
        <v>187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8"/>
  <sheetViews>
    <sheetView zoomScaleNormal="100" workbookViewId="0">
      <selection activeCell="B7" sqref="B7"/>
    </sheetView>
  </sheetViews>
  <sheetFormatPr defaultColWidth="8.7109375" defaultRowHeight="15" x14ac:dyDescent="0.25"/>
  <cols>
    <col min="1" max="1" width="30" customWidth="1"/>
    <col min="2" max="2" width="80" customWidth="1"/>
  </cols>
  <sheetData>
    <row r="1" spans="1:2" ht="19.5" customHeight="1" x14ac:dyDescent="0.25">
      <c r="A1" s="1" t="s">
        <v>188</v>
      </c>
      <c r="B1" s="4"/>
    </row>
    <row r="3" spans="1:2" x14ac:dyDescent="0.25">
      <c r="A3" s="2" t="s">
        <v>137</v>
      </c>
      <c r="B3" s="5" t="s">
        <v>189</v>
      </c>
    </row>
    <row r="4" spans="1:2" x14ac:dyDescent="0.25">
      <c r="A4" s="2" t="s">
        <v>190</v>
      </c>
      <c r="B4" s="5" t="s">
        <v>191</v>
      </c>
    </row>
    <row r="5" spans="1:2" x14ac:dyDescent="0.25">
      <c r="A5" s="2" t="s">
        <v>192</v>
      </c>
      <c r="B5" s="5" t="s">
        <v>193</v>
      </c>
    </row>
    <row r="6" spans="1:2" x14ac:dyDescent="0.25">
      <c r="A6" s="2" t="s">
        <v>57</v>
      </c>
      <c r="B6" s="5" t="s">
        <v>194</v>
      </c>
    </row>
    <row r="7" spans="1:2" ht="25.5" x14ac:dyDescent="0.25">
      <c r="A7" s="2" t="s">
        <v>195</v>
      </c>
      <c r="B7" s="5" t="s">
        <v>196</v>
      </c>
    </row>
    <row r="8" spans="1:2" ht="25.5" x14ac:dyDescent="0.25">
      <c r="A8" s="2" t="s">
        <v>197</v>
      </c>
      <c r="B8" s="5" t="s">
        <v>198</v>
      </c>
    </row>
    <row r="9" spans="1:2" x14ac:dyDescent="0.25">
      <c r="A9" s="2" t="s">
        <v>124</v>
      </c>
      <c r="B9" s="5" t="s">
        <v>199</v>
      </c>
    </row>
    <row r="10" spans="1:2" ht="25.5" x14ac:dyDescent="0.25">
      <c r="A10" s="2" t="s">
        <v>200</v>
      </c>
      <c r="B10" s="5" t="s">
        <v>201</v>
      </c>
    </row>
    <row r="11" spans="1:2" x14ac:dyDescent="0.25">
      <c r="A11" s="2" t="s">
        <v>202</v>
      </c>
      <c r="B11" s="5" t="s">
        <v>203</v>
      </c>
    </row>
    <row r="12" spans="1:2" x14ac:dyDescent="0.25">
      <c r="A12" s="2" t="s">
        <v>204</v>
      </c>
      <c r="B12" s="5" t="s">
        <v>205</v>
      </c>
    </row>
    <row r="13" spans="1:2" ht="25.5" x14ac:dyDescent="0.25">
      <c r="A13" s="2" t="s">
        <v>113</v>
      </c>
      <c r="B13" s="5" t="s">
        <v>206</v>
      </c>
    </row>
    <row r="14" spans="1:2" x14ac:dyDescent="0.25">
      <c r="A14" s="2" t="s">
        <v>207</v>
      </c>
      <c r="B14" s="5" t="s">
        <v>208</v>
      </c>
    </row>
    <row r="15" spans="1:2" x14ac:dyDescent="0.25">
      <c r="A15" s="2" t="s">
        <v>209</v>
      </c>
      <c r="B15" s="5" t="s">
        <v>210</v>
      </c>
    </row>
    <row r="16" spans="1:2" x14ac:dyDescent="0.25">
      <c r="A16" s="2" t="s">
        <v>211</v>
      </c>
      <c r="B16" s="5" t="s">
        <v>212</v>
      </c>
    </row>
    <row r="17" spans="1:2" x14ac:dyDescent="0.25">
      <c r="A17" s="2" t="s">
        <v>121</v>
      </c>
      <c r="B17" s="5" t="s">
        <v>213</v>
      </c>
    </row>
    <row r="18" spans="1:2" x14ac:dyDescent="0.25">
      <c r="A18" s="2" t="s">
        <v>214</v>
      </c>
      <c r="B18" s="5" t="s">
        <v>215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Inputs</vt:lpstr>
      <vt:lpstr>Prices</vt:lpstr>
      <vt:lpstr>Rules</vt:lpstr>
      <vt:lpstr>Combine</vt:lpstr>
      <vt:lpstr>Position</vt:lpstr>
      <vt:lpstr>Portfolio</vt:lpstr>
      <vt:lpstr>Discretionary</vt:lpstr>
      <vt:lpstr>Glossary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Luis Carlos Gaitan</cp:lastModifiedBy>
  <cp:revision>0</cp:revision>
  <dcterms:created xsi:type="dcterms:W3CDTF">2026-04-22T07:51:34Z</dcterms:created>
  <dcterms:modified xsi:type="dcterms:W3CDTF">2026-04-24T17:07:31Z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2026-04-22T13:37:04Z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ec302311-a76e-4d47-bdb2-f537e3ae027e</vt:lpwstr>
  </property>
  <property fmtid="{D5CDD505-2E9C-101B-9397-08002B2CF9AE}" pid="7" name="MSIP_Label_defa4170-0d19-0005-0004-bc88714345d2_ActionId">
    <vt:lpwstr>0ee2e246-5203-4ae3-9cef-6a1cab82d2c9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